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F:\01 - ARCHIVIO UFF-TECNICO\04 - SENSOR-LIST\"/>
    </mc:Choice>
  </mc:AlternateContent>
  <xr:revisionPtr revIDLastSave="0" documentId="13_ncr:1_{3B4B68D2-B80D-4B17-9F77-DA3928C8F0BD}" xr6:coauthVersionLast="47" xr6:coauthVersionMax="47" xr10:uidLastSave="{00000000-0000-0000-0000-000000000000}"/>
  <bookViews>
    <workbookView xWindow="-120" yWindow="-120" windowWidth="29040" windowHeight="15840" tabRatio="601" firstSheet="1" activeTab="1" xr2:uid="{00000000-000D-0000-FFFF-FFFF00000000}"/>
  </bookViews>
  <sheets>
    <sheet name="Foglio1" sheetId="3" state="hidden" r:id="rId1"/>
    <sheet name="SL" sheetId="1" r:id="rId2"/>
    <sheet name="Foglio2" sheetId="2" state="hidden" r:id="rId3"/>
  </sheets>
  <externalReferences>
    <externalReference r:id="rId4"/>
  </externalReferences>
  <definedNames>
    <definedName name="_pm110">Foglio2!$D$9</definedName>
    <definedName name="_pm1100">Foglio2!$D$17</definedName>
    <definedName name="_pm12">Foglio2!$D$3</definedName>
    <definedName name="_pm150">Foglio2!$D$10</definedName>
    <definedName name="_pm1500">Foglio2!$D$18</definedName>
    <definedName name="_pm18">Foglio2!$D$4</definedName>
    <definedName name="_pm1850">Foglio2!$D$19</definedName>
    <definedName name="_pm220">Foglio2!$D$11</definedName>
    <definedName name="_pm2200">Foglio2!$D$20</definedName>
    <definedName name="_pm25">Foglio2!$D$5</definedName>
    <definedName name="_pm300">Foglio2!$D$12</definedName>
    <definedName name="_pm3000">Foglio2!$D$21</definedName>
    <definedName name="_pm37">Foglio2!$D$6</definedName>
    <definedName name="_pm3700">Foglio2!$D$22</definedName>
    <definedName name="_pm400">Foglio2!$D$13</definedName>
    <definedName name="_pm4500">Foglio2!$D$23</definedName>
    <definedName name="_pm55">Foglio2!$D$7</definedName>
    <definedName name="_pm550">Foglio2!$D$14</definedName>
    <definedName name="_pm75">Foglio2!$D$8</definedName>
    <definedName name="_pm750">Foglio2!$D$15</definedName>
    <definedName name="_pm920">Foglio2!$D$16</definedName>
    <definedName name="_xlnm.Print_Area" localSheetId="1">SL!$A:$O</definedName>
    <definedName name="DatiEsterni_1" localSheetId="0" hidden="1">Foglio1!$A$1:$S$949</definedName>
    <definedName name="_xlnm.Print_Titles" localSheetId="1">SL!$1:$11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1" l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O80" i="1"/>
  <c r="N80" i="1"/>
  <c r="M80" i="1"/>
  <c r="L80" i="1"/>
  <c r="K80" i="1"/>
  <c r="J80" i="1"/>
  <c r="I80" i="1"/>
  <c r="B2" i="1"/>
  <c r="B3" i="1"/>
  <c r="B4" i="1"/>
  <c r="B5" i="1"/>
  <c r="E6" i="1"/>
  <c r="O39" i="1"/>
  <c r="N39" i="1"/>
  <c r="M39" i="1"/>
  <c r="L39" i="1"/>
  <c r="K39" i="1"/>
  <c r="J39" i="1"/>
  <c r="I39" i="1"/>
  <c r="O93" i="1" l="1"/>
  <c r="N93" i="1"/>
  <c r="M93" i="1"/>
  <c r="L93" i="1"/>
  <c r="K93" i="1"/>
  <c r="J93" i="1"/>
  <c r="I93" i="1"/>
  <c r="O92" i="1"/>
  <c r="N92" i="1"/>
  <c r="M92" i="1"/>
  <c r="L92" i="1"/>
  <c r="K92" i="1"/>
  <c r="J92" i="1"/>
  <c r="I92" i="1"/>
  <c r="O91" i="1"/>
  <c r="N91" i="1"/>
  <c r="M91" i="1"/>
  <c r="L91" i="1"/>
  <c r="K91" i="1"/>
  <c r="J91" i="1"/>
  <c r="I91" i="1"/>
  <c r="O90" i="1"/>
  <c r="N90" i="1"/>
  <c r="M90" i="1"/>
  <c r="L90" i="1"/>
  <c r="K90" i="1"/>
  <c r="J90" i="1"/>
  <c r="I90" i="1"/>
  <c r="O88" i="1"/>
  <c r="N88" i="1"/>
  <c r="M88" i="1"/>
  <c r="L88" i="1"/>
  <c r="K88" i="1"/>
  <c r="J88" i="1"/>
  <c r="I88" i="1"/>
  <c r="O87" i="1"/>
  <c r="N87" i="1"/>
  <c r="M87" i="1"/>
  <c r="L87" i="1"/>
  <c r="K87" i="1"/>
  <c r="J87" i="1"/>
  <c r="I87" i="1"/>
  <c r="O85" i="1"/>
  <c r="N85" i="1"/>
  <c r="M85" i="1"/>
  <c r="L85" i="1"/>
  <c r="K85" i="1"/>
  <c r="J85" i="1"/>
  <c r="I85" i="1"/>
  <c r="O84" i="1"/>
  <c r="N84" i="1"/>
  <c r="M84" i="1"/>
  <c r="L84" i="1"/>
  <c r="K84" i="1"/>
  <c r="J84" i="1"/>
  <c r="I84" i="1"/>
  <c r="O83" i="1"/>
  <c r="N83" i="1"/>
  <c r="M83" i="1"/>
  <c r="L83" i="1"/>
  <c r="K83" i="1"/>
  <c r="J83" i="1"/>
  <c r="I83" i="1"/>
  <c r="O82" i="1"/>
  <c r="N82" i="1"/>
  <c r="M82" i="1"/>
  <c r="L82" i="1"/>
  <c r="K82" i="1"/>
  <c r="J82" i="1"/>
  <c r="I82" i="1"/>
  <c r="O79" i="1"/>
  <c r="N79" i="1"/>
  <c r="M79" i="1"/>
  <c r="L79" i="1"/>
  <c r="K79" i="1"/>
  <c r="J79" i="1"/>
  <c r="I79" i="1"/>
  <c r="O78" i="1"/>
  <c r="N78" i="1"/>
  <c r="M78" i="1"/>
  <c r="L78" i="1"/>
  <c r="K78" i="1"/>
  <c r="J78" i="1"/>
  <c r="I78" i="1"/>
  <c r="O77" i="1"/>
  <c r="N77" i="1"/>
  <c r="M77" i="1"/>
  <c r="L77" i="1"/>
  <c r="K77" i="1"/>
  <c r="J77" i="1"/>
  <c r="I77" i="1"/>
  <c r="O76" i="1"/>
  <c r="N76" i="1"/>
  <c r="M76" i="1"/>
  <c r="L76" i="1"/>
  <c r="K76" i="1"/>
  <c r="J76" i="1"/>
  <c r="I76" i="1"/>
  <c r="O74" i="1"/>
  <c r="N74" i="1"/>
  <c r="M74" i="1"/>
  <c r="L74" i="1"/>
  <c r="K74" i="1"/>
  <c r="J74" i="1"/>
  <c r="I74" i="1"/>
  <c r="O72" i="1"/>
  <c r="N72" i="1"/>
  <c r="M72" i="1"/>
  <c r="L72" i="1"/>
  <c r="K72" i="1"/>
  <c r="J72" i="1"/>
  <c r="I72" i="1"/>
  <c r="O71" i="1"/>
  <c r="N71" i="1"/>
  <c r="M71" i="1"/>
  <c r="L71" i="1"/>
  <c r="K71" i="1"/>
  <c r="J71" i="1"/>
  <c r="I71" i="1"/>
  <c r="O70" i="1"/>
  <c r="N70" i="1"/>
  <c r="M70" i="1"/>
  <c r="L70" i="1"/>
  <c r="K70" i="1"/>
  <c r="J70" i="1"/>
  <c r="I70" i="1"/>
  <c r="O69" i="1"/>
  <c r="N69" i="1"/>
  <c r="M69" i="1"/>
  <c r="L69" i="1"/>
  <c r="K69" i="1"/>
  <c r="J69" i="1"/>
  <c r="I69" i="1"/>
  <c r="O68" i="1"/>
  <c r="N68" i="1"/>
  <c r="M68" i="1"/>
  <c r="L68" i="1"/>
  <c r="K68" i="1"/>
  <c r="J68" i="1"/>
  <c r="I68" i="1"/>
  <c r="O67" i="1"/>
  <c r="N67" i="1"/>
  <c r="M67" i="1"/>
  <c r="L67" i="1"/>
  <c r="K67" i="1"/>
  <c r="J67" i="1"/>
  <c r="I67" i="1"/>
  <c r="O65" i="1"/>
  <c r="N65" i="1"/>
  <c r="M65" i="1"/>
  <c r="L65" i="1"/>
  <c r="K65" i="1"/>
  <c r="J65" i="1"/>
  <c r="I65" i="1"/>
  <c r="O63" i="1"/>
  <c r="N63" i="1"/>
  <c r="M63" i="1"/>
  <c r="L63" i="1"/>
  <c r="K63" i="1"/>
  <c r="J63" i="1"/>
  <c r="I63" i="1"/>
  <c r="O61" i="1"/>
  <c r="N61" i="1"/>
  <c r="M61" i="1"/>
  <c r="L61" i="1"/>
  <c r="K61" i="1"/>
  <c r="J61" i="1"/>
  <c r="I61" i="1"/>
  <c r="O60" i="1"/>
  <c r="N60" i="1"/>
  <c r="M60" i="1"/>
  <c r="L60" i="1"/>
  <c r="K60" i="1"/>
  <c r="J60" i="1"/>
  <c r="I60" i="1"/>
  <c r="O59" i="1"/>
  <c r="N59" i="1"/>
  <c r="M59" i="1"/>
  <c r="L59" i="1"/>
  <c r="K59" i="1"/>
  <c r="J59" i="1"/>
  <c r="I59" i="1"/>
  <c r="O58" i="1"/>
  <c r="N58" i="1"/>
  <c r="M58" i="1"/>
  <c r="L58" i="1"/>
  <c r="K58" i="1"/>
  <c r="J58" i="1"/>
  <c r="I58" i="1"/>
  <c r="O57" i="1"/>
  <c r="N57" i="1"/>
  <c r="M57" i="1"/>
  <c r="L57" i="1"/>
  <c r="K57" i="1"/>
  <c r="J57" i="1"/>
  <c r="I57" i="1"/>
  <c r="O56" i="1"/>
  <c r="N56" i="1"/>
  <c r="M56" i="1"/>
  <c r="L56" i="1"/>
  <c r="K56" i="1"/>
  <c r="J56" i="1"/>
  <c r="I56" i="1"/>
  <c r="O51" i="1"/>
  <c r="N51" i="1"/>
  <c r="M51" i="1"/>
  <c r="L51" i="1"/>
  <c r="K51" i="1"/>
  <c r="J51" i="1"/>
  <c r="I51" i="1"/>
  <c r="O50" i="1"/>
  <c r="N50" i="1"/>
  <c r="M50" i="1"/>
  <c r="L50" i="1"/>
  <c r="K50" i="1"/>
  <c r="J50" i="1"/>
  <c r="I50" i="1"/>
  <c r="O49" i="1"/>
  <c r="N49" i="1"/>
  <c r="M49" i="1"/>
  <c r="L49" i="1"/>
  <c r="K49" i="1"/>
  <c r="J49" i="1"/>
  <c r="I49" i="1"/>
  <c r="O48" i="1"/>
  <c r="N48" i="1"/>
  <c r="M48" i="1"/>
  <c r="L48" i="1"/>
  <c r="K48" i="1"/>
  <c r="J48" i="1"/>
  <c r="I48" i="1"/>
  <c r="O47" i="1"/>
  <c r="N47" i="1"/>
  <c r="M47" i="1"/>
  <c r="L47" i="1"/>
  <c r="K47" i="1"/>
  <c r="J47" i="1"/>
  <c r="I47" i="1"/>
  <c r="O46" i="1"/>
  <c r="N46" i="1"/>
  <c r="M46" i="1"/>
  <c r="L46" i="1"/>
  <c r="K46" i="1"/>
  <c r="J46" i="1"/>
  <c r="I46" i="1"/>
  <c r="O54" i="1" l="1"/>
  <c r="N54" i="1"/>
  <c r="M54" i="1"/>
  <c r="L54" i="1"/>
  <c r="K54" i="1"/>
  <c r="J54" i="1"/>
  <c r="I54" i="1"/>
  <c r="O53" i="1"/>
  <c r="N53" i="1"/>
  <c r="M53" i="1"/>
  <c r="L53" i="1"/>
  <c r="K53" i="1"/>
  <c r="J53" i="1"/>
  <c r="I53" i="1"/>
  <c r="O44" i="1"/>
  <c r="N44" i="1"/>
  <c r="M44" i="1"/>
  <c r="L44" i="1"/>
  <c r="K44" i="1"/>
  <c r="J44" i="1"/>
  <c r="I44" i="1"/>
  <c r="O43" i="1"/>
  <c r="N43" i="1"/>
  <c r="M43" i="1"/>
  <c r="L43" i="1"/>
  <c r="K43" i="1"/>
  <c r="J43" i="1"/>
  <c r="I43" i="1"/>
  <c r="O41" i="1"/>
  <c r="N41" i="1"/>
  <c r="M41" i="1"/>
  <c r="L41" i="1"/>
  <c r="K41" i="1"/>
  <c r="J41" i="1"/>
  <c r="I41" i="1"/>
  <c r="O38" i="1"/>
  <c r="N38" i="1"/>
  <c r="M38" i="1"/>
  <c r="L38" i="1"/>
  <c r="K38" i="1"/>
  <c r="J38" i="1"/>
  <c r="I38" i="1"/>
  <c r="O37" i="1"/>
  <c r="N37" i="1"/>
  <c r="M37" i="1"/>
  <c r="L37" i="1"/>
  <c r="K37" i="1"/>
  <c r="J37" i="1"/>
  <c r="I37" i="1"/>
  <c r="O36" i="1"/>
  <c r="N36" i="1"/>
  <c r="M36" i="1"/>
  <c r="L36" i="1"/>
  <c r="K36" i="1"/>
  <c r="J36" i="1"/>
  <c r="I36" i="1"/>
  <c r="O35" i="1"/>
  <c r="N35" i="1"/>
  <c r="M35" i="1"/>
  <c r="L35" i="1"/>
  <c r="K35" i="1"/>
  <c r="J35" i="1"/>
  <c r="I35" i="1"/>
  <c r="O31" i="1"/>
  <c r="N31" i="1"/>
  <c r="M31" i="1"/>
  <c r="L31" i="1"/>
  <c r="K31" i="1"/>
  <c r="J31" i="1"/>
  <c r="I31" i="1"/>
  <c r="O30" i="1"/>
  <c r="N30" i="1"/>
  <c r="M30" i="1"/>
  <c r="L30" i="1"/>
  <c r="K30" i="1"/>
  <c r="J30" i="1"/>
  <c r="I30" i="1"/>
  <c r="O29" i="1"/>
  <c r="N29" i="1"/>
  <c r="M29" i="1"/>
  <c r="L29" i="1"/>
  <c r="K29" i="1"/>
  <c r="J29" i="1"/>
  <c r="I29" i="1"/>
  <c r="O28" i="1"/>
  <c r="N28" i="1"/>
  <c r="M28" i="1"/>
  <c r="L28" i="1"/>
  <c r="K28" i="1"/>
  <c r="J28" i="1"/>
  <c r="I28" i="1"/>
  <c r="O27" i="1"/>
  <c r="N27" i="1"/>
  <c r="M27" i="1"/>
  <c r="L27" i="1"/>
  <c r="K27" i="1"/>
  <c r="J27" i="1"/>
  <c r="I27" i="1"/>
  <c r="O33" i="1"/>
  <c r="N33" i="1"/>
  <c r="M33" i="1"/>
  <c r="L33" i="1"/>
  <c r="K33" i="1"/>
  <c r="J33" i="1"/>
  <c r="I33" i="1"/>
  <c r="O18" i="1" l="1"/>
  <c r="N18" i="1"/>
  <c r="M18" i="1"/>
  <c r="L18" i="1"/>
  <c r="K18" i="1"/>
  <c r="J18" i="1"/>
  <c r="I18" i="1"/>
  <c r="O15" i="1" l="1"/>
  <c r="N15" i="1"/>
  <c r="M15" i="1"/>
  <c r="L15" i="1"/>
  <c r="K15" i="1"/>
  <c r="J15" i="1"/>
  <c r="I15" i="1"/>
  <c r="O13" i="1"/>
  <c r="N13" i="1"/>
  <c r="M13" i="1"/>
  <c r="L13" i="1"/>
  <c r="K13" i="1"/>
  <c r="J13" i="1"/>
  <c r="I13" i="1"/>
  <c r="O10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FD446-1271-4393-AE59-D6CAD6ADB3F5}" keepAlive="1" name="Query - Foglio1" description="Connessione alla query 'Foglio1' nella cartella di lavoro." type="5" refreshedVersion="8" background="1" refreshOnLoad="1" saveData="1">
    <dbPr connection="Provider=Microsoft.Mashup.OleDb.1;Data Source=$Workbook$;Location=Foglio1;Extended Properties=&quot;&quot;" command="SELECT * FROM [Foglio1]"/>
  </connection>
</connections>
</file>

<file path=xl/sharedStrings.xml><?xml version="1.0" encoding="utf-8"?>
<sst xmlns="http://schemas.openxmlformats.org/spreadsheetml/2006/main" count="10081" uniqueCount="3490">
  <si>
    <t>Hz</t>
  </si>
  <si>
    <t>AC/DC</t>
  </si>
  <si>
    <t>NOTE</t>
  </si>
  <si>
    <t>VOLT</t>
  </si>
  <si>
    <t>Customer</t>
  </si>
  <si>
    <t>Project</t>
  </si>
  <si>
    <t>Status</t>
  </si>
  <si>
    <t>DESIGNATION</t>
  </si>
  <si>
    <t>SENSOR LIST</t>
  </si>
  <si>
    <t>OPERATING VOLTAGE</t>
  </si>
  <si>
    <t>FREQUENCY</t>
  </si>
  <si>
    <t>SUPPLIER</t>
  </si>
  <si>
    <t>LAYOUT
POSITION</t>
  </si>
  <si>
    <t>ITEM
NUMBER</t>
  </si>
  <si>
    <t>Order n°</t>
  </si>
  <si>
    <t>date</t>
  </si>
  <si>
    <t>MODEL</t>
  </si>
  <si>
    <t>ATEX</t>
  </si>
  <si>
    <t>Location</t>
  </si>
  <si>
    <t>Project N°</t>
  </si>
  <si>
    <t>QTY</t>
  </si>
  <si>
    <t>TRASMEC
JOB N°</t>
  </si>
  <si>
    <t>Rev.N°</t>
  </si>
  <si>
    <t>by</t>
  </si>
  <si>
    <t>ADDITIONAL SENSORS - SEE RELATED TECNICAL DOCUMENTS
(I.E. ADDITIONAL MOTORS FOR: MOVING FLOOR, LUBRICATION SYSTEMS, FAN BLADES)</t>
  </si>
  <si>
    <t>DESCRIPTION</t>
  </si>
  <si>
    <t>TECH.DOC.
NR.</t>
  </si>
  <si>
    <r>
      <rPr>
        <b/>
        <sz val="16"/>
        <rFont val="Arial Narrow"/>
        <family val="2"/>
      </rPr>
      <t>TRASMEC s.r.l.</t>
    </r>
    <r>
      <rPr>
        <b/>
        <sz val="14"/>
        <rFont val="Arial Narrow"/>
        <family val="2"/>
      </rPr>
      <t xml:space="preserve">
</t>
    </r>
    <r>
      <rPr>
        <sz val="8"/>
        <rFont val="Arial Narrow"/>
        <family val="2"/>
      </rPr>
      <t xml:space="preserve">Via Bergamo, 2/a - 26011 Casalbuttano (CR)
</t>
    </r>
    <r>
      <rPr>
        <b/>
        <sz val="9"/>
        <rFont val="Arial Narrow"/>
        <family val="2"/>
      </rPr>
      <t>Technical dept.</t>
    </r>
  </si>
  <si>
    <t>SPEED CONTROL</t>
  </si>
  <si>
    <t>LIMIT SWITCH</t>
  </si>
  <si>
    <t>CABLE</t>
  </si>
  <si>
    <t>-</t>
  </si>
  <si>
    <t>SWITCH CHAIN CONTROL</t>
  </si>
  <si>
    <t>SWITCH TORQUE CONTROL</t>
  </si>
  <si>
    <t>SWITCH OVERFLOW</t>
  </si>
  <si>
    <t>COCLEE</t>
  </si>
  <si>
    <t>LEVEL SENSOR</t>
  </si>
  <si>
    <t>LEVEL SENSOR - RADAR</t>
  </si>
  <si>
    <t>ANTI SIDE-SKID CONTROL</t>
  </si>
  <si>
    <t>SAFETY CABLE LEFT</t>
  </si>
  <si>
    <t>SAFETY CABLE RIGHT</t>
  </si>
  <si>
    <t>POSITION SWITCH</t>
  </si>
  <si>
    <t>REFER TO THE INTERLOCKING FILES FOR THE DESCRIPTION OF THE FUNCTION OF EACH SENSOR.</t>
  </si>
  <si>
    <t>Final Customer</t>
  </si>
  <si>
    <t xml:space="preserve">Project ° </t>
  </si>
  <si>
    <t>INTERNAL ORDER CONF NR</t>
  </si>
  <si>
    <t>CUSTOMER</t>
  </si>
  <si>
    <t>FINAL CUSTOMER</t>
  </si>
  <si>
    <t>PLANT</t>
  </si>
  <si>
    <t>Vendor</t>
  </si>
  <si>
    <t>YEAR</t>
  </si>
  <si>
    <t>Project Engineer</t>
  </si>
  <si>
    <t>DELIVERY</t>
  </si>
  <si>
    <t>REMARKS</t>
  </si>
  <si>
    <t>MOTOR &amp; SENSOR LIST DELIVERED TO PURCHASE DEPT.
AND TO CUSTOMER</t>
  </si>
  <si>
    <t>PROJECT STATUS</t>
  </si>
  <si>
    <t>FOLDER NAME</t>
  </si>
  <si>
    <t>700</t>
  </si>
  <si>
    <t>AT063</t>
  </si>
  <si>
    <t>link</t>
  </si>
  <si>
    <t>DIEFFENBACHER</t>
  </si>
  <si>
    <t>ARAUCO</t>
  </si>
  <si>
    <t>GRAYLING MDP</t>
  </si>
  <si>
    <t>USA</t>
  </si>
  <si>
    <t>Brugnoli</t>
  </si>
  <si>
    <t>YES</t>
  </si>
  <si>
    <t>Completato</t>
  </si>
  <si>
    <t>700-DIEFFENBACHER-ARAUCO-GRAYLING MDP-2016</t>
  </si>
  <si>
    <t>AS826</t>
  </si>
  <si>
    <t>AS822</t>
  </si>
  <si>
    <t>AS857</t>
  </si>
  <si>
    <t>NOT REQUIRED</t>
  </si>
  <si>
    <t>AT292</t>
  </si>
  <si>
    <t>701</t>
  </si>
  <si>
    <t>AS202</t>
  </si>
  <si>
    <t>BIPAN S.P.A</t>
  </si>
  <si>
    <t>NEW SILO FIBRA</t>
  </si>
  <si>
    <t>ITALY</t>
  </si>
  <si>
    <t xml:space="preserve"> - </t>
  </si>
  <si>
    <t>701-BIPAN S.P.A--NEW SILO FIBRA-2016</t>
  </si>
  <si>
    <t>702</t>
  </si>
  <si>
    <t>AS132</t>
  </si>
  <si>
    <t>IMAL</t>
  </si>
  <si>
    <t>RURSUS</t>
  </si>
  <si>
    <t>BELGIUM</t>
  </si>
  <si>
    <t>702-IMAL--RURSUS-2016</t>
  </si>
  <si>
    <t>703</t>
  </si>
  <si>
    <t>AS185</t>
  </si>
  <si>
    <t>PG BISON</t>
  </si>
  <si>
    <t>SUD AFRICA</t>
  </si>
  <si>
    <t>703-IMAL--PG BISON-2016</t>
  </si>
  <si>
    <t>704</t>
  </si>
  <si>
    <t>AS184</t>
  </si>
  <si>
    <t>NEW PB PLANT</t>
  </si>
  <si>
    <t>704-PG BISON-PG BISON-NEW PB PLANT-2016</t>
  </si>
  <si>
    <t>705</t>
  </si>
  <si>
    <t>AS197</t>
  </si>
  <si>
    <t>DELHEZ BOIS</t>
  </si>
  <si>
    <t>IN-OUT NEW DRIER</t>
  </si>
  <si>
    <t>705-DELHEZ BOIS--IN-OUT NEW DRIER-2016</t>
  </si>
  <si>
    <t>706</t>
  </si>
  <si>
    <t>AS196</t>
  </si>
  <si>
    <t>TECHNIC ONE</t>
  </si>
  <si>
    <t>NEW DRIER INFEED</t>
  </si>
  <si>
    <t>706-TECHNIC ONE-DELHEZ BOIS-NEW DRIER INFEED-2016</t>
  </si>
  <si>
    <t>707</t>
  </si>
  <si>
    <t>AS253</t>
  </si>
  <si>
    <t>SONAE</t>
  </si>
  <si>
    <t>OLIVEIRA DO HOSPITAL</t>
  </si>
  <si>
    <t>OUTFEED FALCON MILLS</t>
  </si>
  <si>
    <t>PORTUGAL</t>
  </si>
  <si>
    <t>707-SONAE--OLIVEIRA DO HOSPITAL-OUTFEED FALCON MILLS-2016</t>
  </si>
  <si>
    <t>708</t>
  </si>
  <si>
    <t>AS370-AS371</t>
  </si>
  <si>
    <t>SIA CONTIPLUS</t>
  </si>
  <si>
    <t>KRONOSPAN</t>
  </si>
  <si>
    <t>BURGOS-VARIOUS</t>
  </si>
  <si>
    <t>SPAIN</t>
  </si>
  <si>
    <t>708-SIA CONTIPLUS-KRONOSPAN-BURGOS-VARIOUS-2016</t>
  </si>
  <si>
    <t>709</t>
  </si>
  <si>
    <t>AS195</t>
  </si>
  <si>
    <t>INSTALMEC</t>
  </si>
  <si>
    <t>BURGOS-NEW DRIER</t>
  </si>
  <si>
    <t>PER IMPIANTO VEDI FALDONE NR.698</t>
  </si>
  <si>
    <t>709-INSTALMEC-KRONOSPAN-BURGOS-NEW DRIER-2016</t>
  </si>
  <si>
    <t>710</t>
  </si>
  <si>
    <t>AS310</t>
  </si>
  <si>
    <t xml:space="preserve">GREENPLY </t>
  </si>
  <si>
    <t>NEW MDF PLANT 2</t>
  </si>
  <si>
    <t>INDIA</t>
  </si>
  <si>
    <t>710-DIEFFENBACHER-GREENPLY -NEW MDF PLANT 2-2016</t>
  </si>
  <si>
    <t>711</t>
  </si>
  <si>
    <t>AS302</t>
  </si>
  <si>
    <t>SZCZECINEK-NEW TB800</t>
  </si>
  <si>
    <t>POLAND</t>
  </si>
  <si>
    <t>711-KRONOSPAN--SZCZECINEK-NEW TB800-2016</t>
  </si>
  <si>
    <t>712</t>
  </si>
  <si>
    <t>AS339</t>
  </si>
  <si>
    <t>GROUP FRANCOIS BELGIUM</t>
  </si>
  <si>
    <t>VARIOUS</t>
  </si>
  <si>
    <t>712-IMAL--GROUP FRANCOIS BELGIUM-VARIOUS-2016</t>
  </si>
  <si>
    <t>713</t>
  </si>
  <si>
    <t>AS213</t>
  </si>
  <si>
    <t>GRUPPO MAURO SAVIOLA</t>
  </si>
  <si>
    <t>SIA VIADANA</t>
  </si>
  <si>
    <t>713-GRUPPO MAURO SAVIOLA--SIA VIADANA-VARIOUS-2016</t>
  </si>
  <si>
    <t>714</t>
  </si>
  <si>
    <t>AS348</t>
  </si>
  <si>
    <t>SWISS KRONO</t>
  </si>
  <si>
    <t>SWITZERLAND</t>
  </si>
  <si>
    <t>AT062, AT202</t>
  </si>
  <si>
    <t>714-DIEFFENBACHER-KRONOSPAN-SWISS KRONO-2016</t>
  </si>
  <si>
    <t>715</t>
  </si>
  <si>
    <t>AS373</t>
  </si>
  <si>
    <t>TRASMEC CHINA</t>
  </si>
  <si>
    <t>BORG</t>
  </si>
  <si>
    <t>NEW BELT CONVEYORS</t>
  </si>
  <si>
    <t>AUSTRALIA</t>
  </si>
  <si>
    <t>Longari</t>
  </si>
  <si>
    <t>715-TRASMEC CHINA-BORG-NEW BELT CONVEYORS-2016</t>
  </si>
  <si>
    <t>716</t>
  </si>
  <si>
    <t>PANEL PLUS MDF II</t>
  </si>
  <si>
    <t>THAILAND</t>
  </si>
  <si>
    <t>DIRETTO TRASMEC CHINA</t>
  </si>
  <si>
    <t>716-TRASMEC CHINA-DIEFFENBACHER-PANEL PLUS MDF II-2016</t>
  </si>
  <si>
    <t>717</t>
  </si>
  <si>
    <t>AS567</t>
  </si>
  <si>
    <t>PAL</t>
  </si>
  <si>
    <t>VARIOUS SCREWS - AUSTRALIA 1</t>
  </si>
  <si>
    <t>717-PAL-BORG-NEW PB PLANT-VARIOUS SCREWS - AUSTRALIA 1-2016</t>
  </si>
  <si>
    <t>718</t>
  </si>
  <si>
    <t>AS358 parte A</t>
  </si>
  <si>
    <t>718-BORG--NEW PB PLANT-2016</t>
  </si>
  <si>
    <t>AS358 parte B</t>
  </si>
  <si>
    <t>AT675</t>
  </si>
  <si>
    <t>719</t>
  </si>
  <si>
    <t>AS665</t>
  </si>
  <si>
    <t>PANEL PLUS</t>
  </si>
  <si>
    <t>NEW MDF 2 PLANT PROJECT</t>
  </si>
  <si>
    <t xml:space="preserve">   </t>
  </si>
  <si>
    <t>Altro ordine AT006</t>
  </si>
  <si>
    <t>719-PANEL PLUS-PANEL PLUS-NEW MDF 2 PLANT PROJECT-2016</t>
  </si>
  <si>
    <t>720</t>
  </si>
  <si>
    <t>AS650</t>
  </si>
  <si>
    <t>NORBORD</t>
  </si>
  <si>
    <t>INVERNESS OSB</t>
  </si>
  <si>
    <t>SCOTLAND</t>
  </si>
  <si>
    <t>720-DIEFFENBACHER-NORBORD-INVERNESS OSB-2016</t>
  </si>
  <si>
    <t>721</t>
  </si>
  <si>
    <t>SWIVEL SCREWS</t>
  </si>
  <si>
    <t>721-DIEFFENBACHER-NORBORD-INVERNESS OSB-SWIVEL SCREWS-2016</t>
  </si>
  <si>
    <t>722</t>
  </si>
  <si>
    <t>CHIRK</t>
  </si>
  <si>
    <t>ENGLAND</t>
  </si>
  <si>
    <t>Morto</t>
  </si>
  <si>
    <t>722-INSTALMEC-KRONOSPAN-CHIRK--2016</t>
  </si>
  <si>
    <t>723</t>
  </si>
  <si>
    <t>FALCO-NEW DRIER</t>
  </si>
  <si>
    <t>HUNGARY</t>
  </si>
  <si>
    <t>723-KRONOSPAN-KRONOSPAN-FALCO-NEW DRIER--2016</t>
  </si>
  <si>
    <t>724</t>
  </si>
  <si>
    <t>AS771</t>
  </si>
  <si>
    <t>Franzini</t>
  </si>
  <si>
    <t>14/04/2017;31/03/2017</t>
  </si>
  <si>
    <t>Altro ordine: AT040; AT116</t>
  </si>
  <si>
    <t>724-IMAL-NORBORD-INVERNESS OSB--2016</t>
  </si>
  <si>
    <t>725</t>
  </si>
  <si>
    <t>AT583</t>
  </si>
  <si>
    <t>SANEM OSB</t>
  </si>
  <si>
    <t>LUXENBOURG</t>
  </si>
  <si>
    <t>Franzini/Brugnoli</t>
  </si>
  <si>
    <t>725-IMAL-KRONOSPAN-SANEM OSB--2016</t>
  </si>
  <si>
    <t>726</t>
  </si>
  <si>
    <t>PB PLANT - STEP 2</t>
  </si>
  <si>
    <t>726-IMAL-PG BISON-PB PLANT - STEP 2--2016</t>
  </si>
  <si>
    <t>727</t>
  </si>
  <si>
    <t>AS747</t>
  </si>
  <si>
    <t>727-BIPAN S.P.A--BIPAN S.P.A--2016</t>
  </si>
  <si>
    <t>728</t>
  </si>
  <si>
    <t>AS725</t>
  </si>
  <si>
    <t>SALAS</t>
  </si>
  <si>
    <t>Fragale</t>
  </si>
  <si>
    <t>728-KRONOSPAN--SALAS--2016</t>
  </si>
  <si>
    <t>729</t>
  </si>
  <si>
    <t>AS767</t>
  </si>
  <si>
    <t>PLACAS BRASIL</t>
  </si>
  <si>
    <t>BRASIL</t>
  </si>
  <si>
    <t>729-DIEFFENBACHER--PLACAS BRASIL--2016</t>
  </si>
  <si>
    <t>730</t>
  </si>
  <si>
    <t>AS763</t>
  </si>
  <si>
    <t>MDF 1 -CONVEYORS</t>
  </si>
  <si>
    <t>730-PANEL PLUS-PANEL PLUS-MDF 1 -CONVEYORS-2016</t>
  </si>
  <si>
    <t>731</t>
  </si>
  <si>
    <t>AS569</t>
  </si>
  <si>
    <t>AUSTRALIA 2</t>
  </si>
  <si>
    <t>731-PAL-BORG-NEW PB PLANT-2016</t>
  </si>
  <si>
    <t>732</t>
  </si>
  <si>
    <t>AS788</t>
  </si>
  <si>
    <t>FANTONI</t>
  </si>
  <si>
    <t>ALIMENTAZ NUOVA CALDAIA</t>
  </si>
  <si>
    <t>732-FANTONI--ALIMENTAZ NUOVA CALDAIA-2016</t>
  </si>
  <si>
    <t>IT00118COC00067</t>
  </si>
  <si>
    <t>MODIFICHE VARIE</t>
  </si>
  <si>
    <t>Ricambi</t>
  </si>
  <si>
    <t>733</t>
  </si>
  <si>
    <t>AT060</t>
  </si>
  <si>
    <t>KRONOSPAN UFA</t>
  </si>
  <si>
    <t>OSB</t>
  </si>
  <si>
    <t xml:space="preserve"> </t>
  </si>
  <si>
    <t>Merlini</t>
  </si>
  <si>
    <t>733-DIEFFENBACHER-KRONOSPAN UFA-OSB-2016</t>
  </si>
  <si>
    <t>734</t>
  </si>
  <si>
    <t>AS825</t>
  </si>
  <si>
    <t>EGGER</t>
  </si>
  <si>
    <t>RAMBERVILLERS</t>
  </si>
  <si>
    <t>FRANCE</t>
  </si>
  <si>
    <t xml:space="preserve"> Altro ordine (ricambi): AT021</t>
  </si>
  <si>
    <t>734-EGGER--RAMBERVILLERS-2016</t>
  </si>
  <si>
    <t>735</t>
  </si>
  <si>
    <t>AS823</t>
  </si>
  <si>
    <t>FALCO</t>
  </si>
  <si>
    <t>20/02/17-15/03/2017</t>
  </si>
  <si>
    <t>735-SIA CONTIPLUS--FALCO-2016</t>
  </si>
  <si>
    <t>736</t>
  </si>
  <si>
    <t>AS815</t>
  </si>
  <si>
    <t>MOGILEV</t>
  </si>
  <si>
    <t>BELARUS</t>
  </si>
  <si>
    <t>736-KRONOSPAN--MOGILEV-2016</t>
  </si>
  <si>
    <t>737</t>
  </si>
  <si>
    <t>AS855</t>
  </si>
  <si>
    <t>KASTAMONU</t>
  </si>
  <si>
    <t>IMPIANTO TURCHIA</t>
  </si>
  <si>
    <t>TURKIYE</t>
  </si>
  <si>
    <t>737-SIA CONTIPLUS-KASTAMONU-IMPIANTO TURCHIA-2017</t>
  </si>
  <si>
    <t>738</t>
  </si>
  <si>
    <t>AT033</t>
  </si>
  <si>
    <t>TK15N-C</t>
  </si>
  <si>
    <t>738-TECHNIC ONE--TK15N-C-</t>
  </si>
  <si>
    <t>739</t>
  </si>
  <si>
    <t>AT039</t>
  </si>
  <si>
    <t>LOSAN SPAGNA</t>
  </si>
  <si>
    <t>739-PAL--LOSAN SPAGNA-</t>
  </si>
  <si>
    <t>740</t>
  </si>
  <si>
    <t>AT178</t>
  </si>
  <si>
    <t>KRONOSPAN SL</t>
  </si>
  <si>
    <t>BURGOS</t>
  </si>
  <si>
    <t>FEEDING SYSTEM SILO 8</t>
  </si>
  <si>
    <t>740-KRONOSPAN SL-KRONOSPAN-BURGOS-2017</t>
  </si>
  <si>
    <t>AT073</t>
  </si>
  <si>
    <t>BUNKERS FOR SCREENS FEEDING</t>
  </si>
  <si>
    <t>AT284</t>
  </si>
  <si>
    <t>DEWATERING SYSTEMS FOR VERT.SCREW AND TK</t>
  </si>
  <si>
    <t>AT168</t>
  </si>
  <si>
    <t>SCREW CONV.ROLLER SCREENS INSTALMEC</t>
  </si>
  <si>
    <t>AT402</t>
  </si>
  <si>
    <t>30-06-07-09/2017</t>
  </si>
  <si>
    <t>AU212</t>
  </si>
  <si>
    <t>Bonazzoli</t>
  </si>
  <si>
    <t>741</t>
  </si>
  <si>
    <t>AT074</t>
  </si>
  <si>
    <t xml:space="preserve">FINSA </t>
  </si>
  <si>
    <t>FINSA</t>
  </si>
  <si>
    <t>FIBRANOR-RABADE</t>
  </si>
  <si>
    <t>741-FINSA -FINSA-FIBRANOR-RABADE-2017</t>
  </si>
  <si>
    <t>742</t>
  </si>
  <si>
    <t>AT075</t>
  </si>
  <si>
    <t>FINANCIERA MADERERA</t>
  </si>
  <si>
    <t>NEW MDF REFINER</t>
  </si>
  <si>
    <t>ex LUSO FINSA</t>
  </si>
  <si>
    <t>742-FINANCIERA MADERERA--NEW MDF REFINER-2017</t>
  </si>
  <si>
    <t>743</t>
  </si>
  <si>
    <t>AU128</t>
  </si>
  <si>
    <t>OREMBER</t>
  </si>
  <si>
    <t>CONVEYING SYSTEM FOR CLEANING TOWER</t>
  </si>
  <si>
    <t>743-FINSA -FINSA-OREMBER-2018</t>
  </si>
  <si>
    <t>AU194</t>
  </si>
  <si>
    <t>744</t>
  </si>
  <si>
    <t>AT077</t>
  </si>
  <si>
    <t>STRZELCE</t>
  </si>
  <si>
    <t>744-DIEFFENBACHER--STRZELCE-2017</t>
  </si>
  <si>
    <t>745</t>
  </si>
  <si>
    <t>AT091</t>
  </si>
  <si>
    <t>745-PG BISON-PG BISON--2017</t>
  </si>
  <si>
    <t>746</t>
  </si>
  <si>
    <t>AU047</t>
  </si>
  <si>
    <t>SANTIAGO DE COMPOSTELA</t>
  </si>
  <si>
    <t>PB PLANT- STEP1-CHIPPING AND STORAGE</t>
  </si>
  <si>
    <t>Layout da iniziare</t>
  </si>
  <si>
    <t>746-FINANCIERA MADERERA-FINSA-SANTIAGO DE COMPOSTELA-2017</t>
  </si>
  <si>
    <t>747</t>
  </si>
  <si>
    <t>AT146</t>
  </si>
  <si>
    <t>LINEX PANNEAUX</t>
  </si>
  <si>
    <t>08/05-07/07-ecc</t>
  </si>
  <si>
    <t>AT222</t>
  </si>
  <si>
    <t>747-PAL--LINEX PANNEAUX-2017</t>
  </si>
  <si>
    <t>748</t>
  </si>
  <si>
    <t>AT167</t>
  </si>
  <si>
    <t>UFA</t>
  </si>
  <si>
    <t>RUSSIA</t>
  </si>
  <si>
    <t>AT200</t>
  </si>
  <si>
    <t>748-SIA CONTIPLUS-KRONOSPAN-UFA-2017</t>
  </si>
  <si>
    <t>749</t>
  </si>
  <si>
    <t>AT184</t>
  </si>
  <si>
    <t>SAIB</t>
  </si>
  <si>
    <t>FOSSADELLO CAORSO</t>
  </si>
  <si>
    <t>MODIFY  MILL AREA DRY CHIP AND SCREEN</t>
  </si>
  <si>
    <t>P. Ferrari</t>
  </si>
  <si>
    <t>749-SAIB--FOSSADELLO CAORSO-2017</t>
  </si>
  <si>
    <t>750</t>
  </si>
  <si>
    <t>AU046</t>
  </si>
  <si>
    <t>PELLET E PALLETS BLOCK BSC</t>
  </si>
  <si>
    <t>750-IMAL--PELLET E PALLETS BLOCK BSC-2017</t>
  </si>
  <si>
    <t>751</t>
  </si>
  <si>
    <t>AT221</t>
  </si>
  <si>
    <t>ROQUETTE ITALIA</t>
  </si>
  <si>
    <t>751-ROQUETTE ITALIA---2017</t>
  </si>
  <si>
    <t>752</t>
  </si>
  <si>
    <t>AT671</t>
  </si>
  <si>
    <t>CMP</t>
  </si>
  <si>
    <t>IMPIANTO FRATI</t>
  </si>
  <si>
    <t>Modification on bucket elevator</t>
  </si>
  <si>
    <t>ON HOLD</t>
  </si>
  <si>
    <t>752-CMP--IMPIANTO FRATI-2017</t>
  </si>
  <si>
    <t>AT253</t>
  </si>
  <si>
    <t>753</t>
  </si>
  <si>
    <t>AT313</t>
  </si>
  <si>
    <t>PFLEIDERER</t>
  </si>
  <si>
    <t>GERMANY</t>
  </si>
  <si>
    <t>753-DIEFFENBACHER--PFLEIDERER-2017</t>
  </si>
  <si>
    <t>AT673</t>
  </si>
  <si>
    <t>CASSA AGGIUNTIVA</t>
  </si>
  <si>
    <t>754</t>
  </si>
  <si>
    <t>AT230</t>
  </si>
  <si>
    <t>754-DELHEZ BOIS--DELHEZ BOIS-2017</t>
  </si>
  <si>
    <t>755</t>
  </si>
  <si>
    <t>AT520</t>
  </si>
  <si>
    <t>TRICOYA</t>
  </si>
  <si>
    <t>WOOD CHIPS HANDLING SYSTEMS</t>
  </si>
  <si>
    <t>755-PAL--TRICOYA-2017</t>
  </si>
  <si>
    <t>IT00118COC00216</t>
  </si>
  <si>
    <t xml:space="preserve"> STEP 2 </t>
  </si>
  <si>
    <t>756</t>
  </si>
  <si>
    <t>AT291</t>
  </si>
  <si>
    <t>756-TECHNIC ONE--DELHEZ BOIS-2017</t>
  </si>
  <si>
    <t>757</t>
  </si>
  <si>
    <t>AT517</t>
  </si>
  <si>
    <t>VYNCKE</t>
  </si>
  <si>
    <t>ENECO</t>
  </si>
  <si>
    <t>HOLLAND</t>
  </si>
  <si>
    <t>Ordine per overbelt magnetic separator</t>
  </si>
  <si>
    <t>TRM CHN</t>
  </si>
  <si>
    <t>757-TRASMEC CHINA-VYNCKE-ENECO-2017</t>
  </si>
  <si>
    <t>758</t>
  </si>
  <si>
    <t>AT336</t>
  </si>
  <si>
    <t>LE CREUSOT</t>
  </si>
  <si>
    <t>758-KRONOSPAN--LE CREUSOT-2017</t>
  </si>
  <si>
    <t>759</t>
  </si>
  <si>
    <t>AT721</t>
  </si>
  <si>
    <t>HOLTEC</t>
  </si>
  <si>
    <t>ALTAILES PAVLOVSKY MDF</t>
  </si>
  <si>
    <t>759-HOLTEC--ALTAILES PAVLOVSKY MDF-2017</t>
  </si>
  <si>
    <t>760</t>
  </si>
  <si>
    <t>AT368</t>
  </si>
  <si>
    <t>TN CONVEYOR FOR CHIPS LINE INFEED</t>
  </si>
  <si>
    <t>760-SAIB--FOSSADELLO CAORSO-2017</t>
  </si>
  <si>
    <t>761</t>
  </si>
  <si>
    <t>AT363</t>
  </si>
  <si>
    <t>SEBES</t>
  </si>
  <si>
    <t>CONVEYING SYSTEM BETW. CLEANING TOWERS</t>
  </si>
  <si>
    <t>ROMANIA</t>
  </si>
  <si>
    <t>761-KRONOSPAN--SEBES-2017</t>
  </si>
  <si>
    <t>AT853</t>
  </si>
  <si>
    <t>BELT CONVEYOR FOR CLEANING TOWER , HOPPERS</t>
  </si>
  <si>
    <t>08/01/18 - 13/02/18</t>
  </si>
  <si>
    <t>762</t>
  </si>
  <si>
    <t>AT375</t>
  </si>
  <si>
    <t>PJSC</t>
  </si>
  <si>
    <t>KOROSTENSKIY MDF PLANT</t>
  </si>
  <si>
    <t>UKRAINE</t>
  </si>
  <si>
    <t>762-PJSC--KOROSTENSKIY MDF PLANT-2017</t>
  </si>
  <si>
    <t>763</t>
  </si>
  <si>
    <t>FSC VIETNAM CORPORATION</t>
  </si>
  <si>
    <t>KIM TIN MDF</t>
  </si>
  <si>
    <t>VIETNAM</t>
  </si>
  <si>
    <t>763-TRASMEC CHINA-FSC VIETNAM CORPORATION-KIM TIN MDF-2017</t>
  </si>
  <si>
    <t>764</t>
  </si>
  <si>
    <t>AT584</t>
  </si>
  <si>
    <t>31/03/18-31/05/18</t>
  </si>
  <si>
    <t>764-DIEFFENBACHER-KRONOSPAN-SANEM OSB-2017</t>
  </si>
  <si>
    <t>IT00118COC00325</t>
  </si>
  <si>
    <t>764-DIEFFENBACHER-KRONOSPAN-SANEM OSB-2018</t>
  </si>
  <si>
    <t>765</t>
  </si>
  <si>
    <t>SIAM</t>
  </si>
  <si>
    <t>FIBERBOARD</t>
  </si>
  <si>
    <t>per offerta</t>
  </si>
  <si>
    <t>765-SIAM--FIBERBOARD-2017</t>
  </si>
  <si>
    <t>766</t>
  </si>
  <si>
    <t>AT483</t>
  </si>
  <si>
    <t>SIA BALTIC BLOCK</t>
  </si>
  <si>
    <t>Bosio</t>
  </si>
  <si>
    <t>766-IMAL--SIA BALTIC BLOCK-2017</t>
  </si>
  <si>
    <t>767</t>
  </si>
  <si>
    <t>none</t>
  </si>
  <si>
    <t>DIMECO</t>
  </si>
  <si>
    <t>BERSEY</t>
  </si>
  <si>
    <t xml:space="preserve">KRONOSPAN SMORGON </t>
  </si>
  <si>
    <t>767-DIMECO-BERSEY-KRONOSPAN SMORGON -2017</t>
  </si>
  <si>
    <t>768</t>
  </si>
  <si>
    <t>AT445</t>
  </si>
  <si>
    <t>768-ARAUCO--BRASIL-2017</t>
  </si>
  <si>
    <t>769</t>
  </si>
  <si>
    <t>AT435</t>
  </si>
  <si>
    <t>POMPOSA</t>
  </si>
  <si>
    <t>SPARE PARTS</t>
  </si>
  <si>
    <t>769-KASTAMONU--POMPOSA-2017</t>
  </si>
  <si>
    <t>AT436</t>
  </si>
  <si>
    <t>Macchine nuove</t>
  </si>
  <si>
    <t>AT649</t>
  </si>
  <si>
    <t>AT773</t>
  </si>
  <si>
    <t>DISEGNI CON RELAZIONE DI CALCOLO</t>
  </si>
  <si>
    <t>Solo relazioni calcolo PCM</t>
  </si>
  <si>
    <t>AT794</t>
  </si>
  <si>
    <t>RICAMBI PER COCLEA AT1062C-C008009</t>
  </si>
  <si>
    <t>AT797</t>
  </si>
  <si>
    <t>AU251</t>
  </si>
  <si>
    <t>RICAMBI/MODIFICHE VARI + SERRANDE PNEUM</t>
  </si>
  <si>
    <t>769-KASTAMONU--POMPOSA-2018</t>
  </si>
  <si>
    <t>IT00118COC00042</t>
  </si>
  <si>
    <t>SERRANDA A GHIGLIOTTINA + RICAMBI</t>
  </si>
  <si>
    <t>IT00118COC00197</t>
  </si>
  <si>
    <t>TK 19"N - TH40"HP - SERRANDA PNEUMATICA</t>
  </si>
  <si>
    <t>Pannunzio</t>
  </si>
  <si>
    <t>IT00118COC00572</t>
  </si>
  <si>
    <t>SCREW</t>
  </si>
  <si>
    <t>770</t>
  </si>
  <si>
    <t>AT466</t>
  </si>
  <si>
    <t>RADAUTI</t>
  </si>
  <si>
    <t>770-EGGER--RADAUTI-2017</t>
  </si>
  <si>
    <t>771</t>
  </si>
  <si>
    <t>AT515</t>
  </si>
  <si>
    <t>SCREW FOR DRYER ONE</t>
  </si>
  <si>
    <t>771-TECHNIC ONE--SCREW FOR DRYER ONE-2017</t>
  </si>
  <si>
    <t>772</t>
  </si>
  <si>
    <t xml:space="preserve">VANACHAI </t>
  </si>
  <si>
    <t>NEW MDF LINE</t>
  </si>
  <si>
    <t>772-TRASMEC CHINA-VANACHAI -NEW MDF LINE-2017</t>
  </si>
  <si>
    <t>773</t>
  </si>
  <si>
    <t>AT535</t>
  </si>
  <si>
    <t>NOVOPAN</t>
  </si>
  <si>
    <t>ECUADOR</t>
  </si>
  <si>
    <t>773-PAL--NOVOPAN-2017</t>
  </si>
  <si>
    <t>774</t>
  </si>
  <si>
    <t>AT834</t>
  </si>
  <si>
    <t>BJELOVAR</t>
  </si>
  <si>
    <t>CROATIA</t>
  </si>
  <si>
    <t>774-KRONOSPAN--BJELOVAR-2017</t>
  </si>
  <si>
    <t>775</t>
  </si>
  <si>
    <t>AT524</t>
  </si>
  <si>
    <t>KRONOSPAN POLSKA</t>
  </si>
  <si>
    <t>SZCZECINEK</t>
  </si>
  <si>
    <t>RECY II CLEANING TOWER</t>
  </si>
  <si>
    <t>775-KRONOSPAN POLSKA--SZCZECINEK-2017</t>
  </si>
  <si>
    <t>776</t>
  </si>
  <si>
    <t>AT523</t>
  </si>
  <si>
    <t>HORIZONT PROJECT DEV.</t>
  </si>
  <si>
    <t>BISKUPIEC</t>
  </si>
  <si>
    <t>776-HORIZONT PROJECT DEV.-EGGER-BISKUPIEC-2017</t>
  </si>
  <si>
    <t>AT679</t>
  </si>
  <si>
    <t>Banboard</t>
  </si>
  <si>
    <t>IT00118COC00114</t>
  </si>
  <si>
    <t>SPLITTED CONVEYOR</t>
  </si>
  <si>
    <t>776-HORIZONT PROJECT DEV.-EGGER-BISKUPIEC-2018</t>
  </si>
  <si>
    <t>777</t>
  </si>
  <si>
    <t>AT609</t>
  </si>
  <si>
    <t>SONAE ARAUCO LINARES</t>
  </si>
  <si>
    <t>prolunghe + macchine nuove</t>
  </si>
  <si>
    <t>777-PAL--SONAE ARAUCO LINARES-2017</t>
  </si>
  <si>
    <t>778</t>
  </si>
  <si>
    <t>AT633</t>
  </si>
  <si>
    <t xml:space="preserve">SZCZECINEK </t>
  </si>
  <si>
    <t>tk scarico torre</t>
  </si>
  <si>
    <t>778-INSTALMEC-KRONOSPAN-SZCZECINEK -2017</t>
  </si>
  <si>
    <t>AT650</t>
  </si>
  <si>
    <t>tn vari scarico torre</t>
  </si>
  <si>
    <t>AU085</t>
  </si>
  <si>
    <t>SCREW AND SPARE PARTS</t>
  </si>
  <si>
    <t>778-INSTALMEC-KRONOSPAN-SZCZECINEK -2018</t>
  </si>
  <si>
    <t>779</t>
  </si>
  <si>
    <t>AT643</t>
  </si>
  <si>
    <t xml:space="preserve">LUSO FINSA </t>
  </si>
  <si>
    <t>NELAS</t>
  </si>
  <si>
    <t>VYNCKE BOILER FEEDING</t>
  </si>
  <si>
    <t>779-LUSO FINSA --NELAS-2017</t>
  </si>
  <si>
    <t>780</t>
  </si>
  <si>
    <t>AT661</t>
  </si>
  <si>
    <t xml:space="preserve">THANH THANH DAT </t>
  </si>
  <si>
    <t>780-IMAL--THANH THANH DAT -2017</t>
  </si>
  <si>
    <t>781</t>
  </si>
  <si>
    <t>AT660</t>
  </si>
  <si>
    <t>WISMAR</t>
  </si>
  <si>
    <t>781-PAL-EGGER-WISMAR-2017</t>
  </si>
  <si>
    <t>782</t>
  </si>
  <si>
    <t>AT814</t>
  </si>
  <si>
    <t>THIEN LAN DAT</t>
  </si>
  <si>
    <t>On Hold</t>
  </si>
  <si>
    <t>NO</t>
  </si>
  <si>
    <t>782-DIEFFENBACHER--THIEN LAN DAT-2017</t>
  </si>
  <si>
    <t>783</t>
  </si>
  <si>
    <t>AT835</t>
  </si>
  <si>
    <t>783-CMP--IMPIANTO FRATI-2018</t>
  </si>
  <si>
    <t>784</t>
  </si>
  <si>
    <t>AT796</t>
  </si>
  <si>
    <t>GIM EXPORT GROUP</t>
  </si>
  <si>
    <t>PLANT RESTORE</t>
  </si>
  <si>
    <t>BULGARIA</t>
  </si>
  <si>
    <t>784-GIM EXPORT GROUP-KASTAMONU-PLANT RESTORE-2017</t>
  </si>
  <si>
    <t>785</t>
  </si>
  <si>
    <t>AT821</t>
  </si>
  <si>
    <t>RELOCATION DARBO</t>
  </si>
  <si>
    <t>785-DIEFFENBACHER-KASTAMONU-RELOCATION DARBO-2017</t>
  </si>
  <si>
    <t>786</t>
  </si>
  <si>
    <t>SONAE ARAUCO</t>
  </si>
  <si>
    <t>Macchine copiate da PAL Kronospan Sandebeck</t>
  </si>
  <si>
    <t>786-PAL-SONAE ARAUCO-OLIVEIRA DO HOSPITAL-2017</t>
  </si>
  <si>
    <t>787</t>
  </si>
  <si>
    <t>SPB</t>
  </si>
  <si>
    <t>787-TRASMEC CHINA-SPB-NEW MDF LINE-2017</t>
  </si>
  <si>
    <t>788</t>
  </si>
  <si>
    <t>AT851</t>
  </si>
  <si>
    <t>COCLEA PER TRASPORTO SABBIA DA LEVIGATRICE</t>
  </si>
  <si>
    <t>N°1 coclea, motore fornitura cliente</t>
  </si>
  <si>
    <t>788-SAIB--FOSSADELLO CAORSO-2017</t>
  </si>
  <si>
    <t>789</t>
  </si>
  <si>
    <t>BUNGE</t>
  </si>
  <si>
    <t>SOYA MEAL</t>
  </si>
  <si>
    <t>789-TRASMEC CHINA-BUNGE-SOYA MEAL-2017</t>
  </si>
  <si>
    <t>790</t>
  </si>
  <si>
    <t>AT876</t>
  </si>
  <si>
    <t>Belt conveyor TN800</t>
  </si>
  <si>
    <t>N°1 TN800 Later</t>
  </si>
  <si>
    <t>790-SONAE--OLIVEIRA DO HOSPITAL-2018</t>
  </si>
  <si>
    <t>791</t>
  </si>
  <si>
    <t>AU249</t>
  </si>
  <si>
    <t>SANEM</t>
  </si>
  <si>
    <t>NASTRI A TUBO</t>
  </si>
  <si>
    <t>29/06/18-01/10/18</t>
  </si>
  <si>
    <t>New Tubolators for  recy , drier , boiler</t>
  </si>
  <si>
    <t>791-KRONOSPAN--SANEM-2018</t>
  </si>
  <si>
    <t>792</t>
  </si>
  <si>
    <t>AT855</t>
  </si>
  <si>
    <t>SIA CONTIPLUS RIGA</t>
  </si>
  <si>
    <t>MIELEC</t>
  </si>
  <si>
    <t>RECY I CLEANING TOWER</t>
  </si>
  <si>
    <t>20/04/18-20/05/18</t>
  </si>
  <si>
    <t>792-SIA CONTIPLUS RIGA--MIELEC-2018</t>
  </si>
  <si>
    <t>793</t>
  </si>
  <si>
    <t>AT857</t>
  </si>
  <si>
    <t>BUCINA ZVOLEN</t>
  </si>
  <si>
    <t>SLOVAKIA</t>
  </si>
  <si>
    <t>793-SIA CONTIPLUS RIGA--BUCINA ZVOLEN-2018</t>
  </si>
  <si>
    <t>794</t>
  </si>
  <si>
    <t>IT00118COC00040</t>
  </si>
  <si>
    <t>IMAL-PAL</t>
  </si>
  <si>
    <t>EASTABOGA</t>
  </si>
  <si>
    <t>ALABAMA</t>
  </si>
  <si>
    <t>794-IMAL-PAL-KRONOSPAN-EASTABOGA-2018</t>
  </si>
  <si>
    <t>IT00118COC00327</t>
  </si>
  <si>
    <t>795</t>
  </si>
  <si>
    <t>AU017</t>
  </si>
  <si>
    <t>SONAE-ARAUCO</t>
  </si>
  <si>
    <t>COMPONENTI PER COCLEA</t>
  </si>
  <si>
    <t>795-IMAL-SONAE-ARAUCO--2018</t>
  </si>
  <si>
    <t>796</t>
  </si>
  <si>
    <t>AU006</t>
  </si>
  <si>
    <t>MAGNETIC OVERBELT FOR TN002569</t>
  </si>
  <si>
    <t>796-VYNCKE-KASTAMONU-POMPOSA-2018</t>
  </si>
  <si>
    <t>797</t>
  </si>
  <si>
    <t>KASTAMONU FUEL</t>
  </si>
  <si>
    <t>797-TRASMEC CHINA-VYNCKE-KASTAMONU FUEL-2018</t>
  </si>
  <si>
    <t>798</t>
  </si>
  <si>
    <t>AU069</t>
  </si>
  <si>
    <t>SCARICO TORRE DI PULIZIA</t>
  </si>
  <si>
    <t>798-INSTALMEC-KRONOSPAN-MIELEC-2018</t>
  </si>
  <si>
    <t>799</t>
  </si>
  <si>
    <t>AU068</t>
  </si>
  <si>
    <t>799-INSTALMEC-KRONOSPAN-BUCINA ZVOLEN-2018</t>
  </si>
  <si>
    <t>800</t>
  </si>
  <si>
    <t>AU083</t>
  </si>
  <si>
    <t>RECALOR</t>
  </si>
  <si>
    <t>LEUTKIRCH</t>
  </si>
  <si>
    <t>800-RECALOR-PFLEIDERER-LEUTKIRCH-2018</t>
  </si>
  <si>
    <t>801</t>
  </si>
  <si>
    <t>AU098</t>
  </si>
  <si>
    <t>N/A</t>
  </si>
  <si>
    <t>SCREW + VARIOUS</t>
  </si>
  <si>
    <t>801-PAL-N/A-N/A-2018</t>
  </si>
  <si>
    <t>802</t>
  </si>
  <si>
    <t>AU115</t>
  </si>
  <si>
    <t xml:space="preserve">NOVOPAN </t>
  </si>
  <si>
    <t>PB PLANT - 1000 M3</t>
  </si>
  <si>
    <t>28/08/19-21/09/18</t>
  </si>
  <si>
    <t>secco confermato, verde da confermare</t>
  </si>
  <si>
    <t>802-NOVOPAN --PB PLANT - 1000 M3-2018</t>
  </si>
  <si>
    <t>IT00118COC00021</t>
  </si>
  <si>
    <t>803</t>
  </si>
  <si>
    <t>AU116</t>
  </si>
  <si>
    <t>CELLA  TERUEL</t>
  </si>
  <si>
    <t>DOSING SCREW INFEED NEW RING FLAKER</t>
  </si>
  <si>
    <t>803-FINANCIERA MADERERA-FINSA -CELLA  TERUEL-2018</t>
  </si>
  <si>
    <t>804</t>
  </si>
  <si>
    <t>AU117</t>
  </si>
  <si>
    <t xml:space="preserve">CMP S.P.A. </t>
  </si>
  <si>
    <t>BIPAN</t>
  </si>
  <si>
    <t>BICINICCO</t>
  </si>
  <si>
    <t>CARICO SEPARATORI SCHEUCH MDF</t>
  </si>
  <si>
    <t>804-CMP S.P.A. -BIPAN-BICINICCO-2018</t>
  </si>
  <si>
    <t>IT00118COC00128</t>
  </si>
  <si>
    <t>Schemi approvati</t>
  </si>
  <si>
    <t>805</t>
  </si>
  <si>
    <t>AU108</t>
  </si>
  <si>
    <t>SAIB S.P.A.</t>
  </si>
  <si>
    <t>FOSSADELLO DI CAORSO</t>
  </si>
  <si>
    <t>NEW STORAGE CHIPS</t>
  </si>
  <si>
    <t>805-SAIB S.P.A.-SAIB-FOSSADELLO DI CAORSO-2018</t>
  </si>
  <si>
    <t>AU181</t>
  </si>
  <si>
    <t>806</t>
  </si>
  <si>
    <t>AU118</t>
  </si>
  <si>
    <t>METRO INDUSTRIAL PARK</t>
  </si>
  <si>
    <t>METROPLY</t>
  </si>
  <si>
    <t>806-METRO INDUSTRIAL PARK--METROPLY-2018</t>
  </si>
  <si>
    <t>807</t>
  </si>
  <si>
    <t>AU109</t>
  </si>
  <si>
    <t>LA FABRIL</t>
  </si>
  <si>
    <t>807-VYNCKE--LA FABRIL-2018</t>
  </si>
  <si>
    <t>808</t>
  </si>
  <si>
    <t>RAINBOW PELLET</t>
  </si>
  <si>
    <t>MALESIA</t>
  </si>
  <si>
    <t>808-TRASMEC CHINA--RAINBOW PELLET-2018</t>
  </si>
  <si>
    <t>809</t>
  </si>
  <si>
    <t>AU153</t>
  </si>
  <si>
    <t>809-EGGER--SPARE PARTS-2018</t>
  </si>
  <si>
    <t>810</t>
  </si>
  <si>
    <t>BA RIA SERECE</t>
  </si>
  <si>
    <t>810-TRASMEC CHINA-BA RIA SERECE-SOYA MEAL-2018</t>
  </si>
  <si>
    <t>811</t>
  </si>
  <si>
    <t>811-TRASMEC CHINA-VYNCKE-LA FABRIL-2018</t>
  </si>
  <si>
    <t>812</t>
  </si>
  <si>
    <t>AU205</t>
  </si>
  <si>
    <t>812-VYNCKE-PFLEIDERER-LEUTKIRCH-2018</t>
  </si>
  <si>
    <t>813</t>
  </si>
  <si>
    <t>AU218</t>
  </si>
  <si>
    <t>GRAJEWO</t>
  </si>
  <si>
    <t>813-INSTALMEC-PFLEIDERER-GRAJEWO-2018</t>
  </si>
  <si>
    <t>814</t>
  </si>
  <si>
    <t>AU217</t>
  </si>
  <si>
    <t>814-INSTALMEC-KRONOSPAN-BJELOVAR-2018</t>
  </si>
  <si>
    <t>IT00118COC00013</t>
  </si>
  <si>
    <t>COCLEA PER SCARICO CALDAIA</t>
  </si>
  <si>
    <t>815</t>
  </si>
  <si>
    <t>AU247</t>
  </si>
  <si>
    <t>MDP LINE 2</t>
  </si>
  <si>
    <t>CONEVORS FORMING STATION AREA</t>
  </si>
  <si>
    <t>815-DIEFFENBACHER-NOVOPAN-MDP LINE 2-2018</t>
  </si>
  <si>
    <t>816</t>
  </si>
  <si>
    <t>AU245</t>
  </si>
  <si>
    <t>ARMOR PANNEAUX</t>
  </si>
  <si>
    <t>SERRANDA RICAMBIO</t>
  </si>
  <si>
    <t>E. Vrioni</t>
  </si>
  <si>
    <t>816-ARMOR PANNEAUX-ARMOR PANNEAUX-ARMOR PANNEAUX-2018</t>
  </si>
  <si>
    <t>817</t>
  </si>
  <si>
    <t>AU262</t>
  </si>
  <si>
    <t>TABLEROS HISPANOS</t>
  </si>
  <si>
    <t>817-DIEFFENBACHER--TABLEROS HISPANOS-2018</t>
  </si>
  <si>
    <t>818</t>
  </si>
  <si>
    <t>AU261</t>
  </si>
  <si>
    <t>JIHLAVA</t>
  </si>
  <si>
    <t>CZECH REPUBLIC</t>
  </si>
  <si>
    <t>RICAMBI COCLEA+DISEGNI</t>
  </si>
  <si>
    <t>818-INSTALMEC-KRONOSPAN-JIHLAVA-2018</t>
  </si>
  <si>
    <t>819</t>
  </si>
  <si>
    <t>AU0260</t>
  </si>
  <si>
    <t>RECUPERO TRASPORTATORE ESISTENTE</t>
  </si>
  <si>
    <t>819-ROQUETTE ITALIA---2018</t>
  </si>
  <si>
    <t>AU0256</t>
  </si>
  <si>
    <t>SERRANDA MOTORIZZATA SPECIALE</t>
  </si>
  <si>
    <t>820</t>
  </si>
  <si>
    <t>IT00118COC00020</t>
  </si>
  <si>
    <t>TK30"HP sostituisce macchina non-TRM</t>
  </si>
  <si>
    <t>820-EGGER--RAMBERVILLERS-2018</t>
  </si>
  <si>
    <t>821</t>
  </si>
  <si>
    <t>IT00118COC00047</t>
  </si>
  <si>
    <t>RIGA</t>
  </si>
  <si>
    <t>LATVIA</t>
  </si>
  <si>
    <t>821-SIA CONTIPLUS RIGA-KRONOSPAN-RIGA-2018</t>
  </si>
  <si>
    <t>822</t>
  </si>
  <si>
    <t>IT00118COC00006</t>
  </si>
  <si>
    <t>SPARE PARTS FOR HOLTEC CONV.POS.500.02.8</t>
  </si>
  <si>
    <t>822-KRONOSPAN-KRONOSPAN-BURGOS-2018</t>
  </si>
  <si>
    <t>IT00118COC00060</t>
  </si>
  <si>
    <t xml:space="preserve">AREA 700 NEW PZ - AREA 600 BY PASS </t>
  </si>
  <si>
    <t>Completato. Manca relazioni di calcolo</t>
  </si>
  <si>
    <t>IT00118COC00077</t>
  </si>
  <si>
    <t>AREA 500 - INSTALLATION NEW OVERBELT SGM</t>
  </si>
  <si>
    <t>Completato,. Manca relaz calcolo</t>
  </si>
  <si>
    <t>823</t>
  </si>
  <si>
    <t>IT00118COC00107</t>
  </si>
  <si>
    <t>Prospect - REC</t>
  </si>
  <si>
    <t>823-EGGER--BISKUPIEC-2018</t>
  </si>
  <si>
    <t>824</t>
  </si>
  <si>
    <t>TARTAK II</t>
  </si>
  <si>
    <t>824-TRASMEC CHINA-VYNCKE-TARTAK II-2018</t>
  </si>
  <si>
    <t>825</t>
  </si>
  <si>
    <t>IT00118COC00524</t>
  </si>
  <si>
    <t>COLUMBUS</t>
  </si>
  <si>
    <t>04/19-08/19</t>
  </si>
  <si>
    <t>825-EGGER--COLUMBUS-2018</t>
  </si>
  <si>
    <t>826</t>
  </si>
  <si>
    <t>IT00118COC00127</t>
  </si>
  <si>
    <t>BEESKOW</t>
  </si>
  <si>
    <t>826-IMAL-SONAE ARAUCO-BEESKOW-2018</t>
  </si>
  <si>
    <t>827</t>
  </si>
  <si>
    <t>VPI-OSB1</t>
  </si>
  <si>
    <t>827-TRASMEC CHINA-VANACHAI -VPI-OSB1-2018</t>
  </si>
  <si>
    <t>828</t>
  </si>
  <si>
    <t>IT00118COC00166</t>
  </si>
  <si>
    <t>BOILER INFEED SYSTEM</t>
  </si>
  <si>
    <t>828-FINANCIERA MADERERA-FINSA-OREMBER-2018</t>
  </si>
  <si>
    <t>829</t>
  </si>
  <si>
    <t>IT00118COC00194</t>
  </si>
  <si>
    <t>NEW PRESSING PLANT</t>
  </si>
  <si>
    <t>829-TABLEROS HISPANOS--TABLEROS HISPANOS-2018</t>
  </si>
  <si>
    <t>830</t>
  </si>
  <si>
    <t>IT00118COC00215</t>
  </si>
  <si>
    <t>ENCHAPES DECORATICO S.A</t>
  </si>
  <si>
    <t>BOTROSA</t>
  </si>
  <si>
    <t>CONVEYING AND STORAGE SYSTEM FOR BOILER PLANT</t>
  </si>
  <si>
    <t>830-ENCHAPES DECORATICO S.A--BOTROSA-2018</t>
  </si>
  <si>
    <t>831</t>
  </si>
  <si>
    <t>IT00118COC00251</t>
  </si>
  <si>
    <t>BRIERLEY -UK</t>
  </si>
  <si>
    <t>SEPARATORE MAGNETICO OVERBELT</t>
  </si>
  <si>
    <t>831-VYNCKE--BRIERLEY -UK-2018</t>
  </si>
  <si>
    <t>832</t>
  </si>
  <si>
    <t>IT00118COC00283</t>
  </si>
  <si>
    <t>DIEFFENBACHER-STARWOOD</t>
  </si>
  <si>
    <t>STARWOOD</t>
  </si>
  <si>
    <t>FORMING AREA - INEGOL</t>
  </si>
  <si>
    <t>832-DIEFFENBACHER-STARWOOD-FORMING AREA - INEGOL-</t>
  </si>
  <si>
    <t>Ordine TRM Romania</t>
  </si>
  <si>
    <t>833</t>
  </si>
  <si>
    <t>IT00118COC00269</t>
  </si>
  <si>
    <t>KRONOSPAN 000 RUSSIA</t>
  </si>
  <si>
    <t>EGORIEVSK</t>
  </si>
  <si>
    <t>SOSTITUZIONE CLAPPA CLPMTR-AE0086C IV009072</t>
  </si>
  <si>
    <t>833-KRONOSPAN 000 RUSSIA--EGORIEVSK-2018</t>
  </si>
  <si>
    <t>834</t>
  </si>
  <si>
    <t>IT00118COC00284</t>
  </si>
  <si>
    <t>834-DIEFFENBACHER-SONAE ARAUCO-BEESKOW-2018</t>
  </si>
  <si>
    <t>835</t>
  </si>
  <si>
    <t>IT00118COC00282</t>
  </si>
  <si>
    <t>ORIS 2 - OSB</t>
  </si>
  <si>
    <t>BOILER INFEED SYSTEM-OUTLET DRYER</t>
  </si>
  <si>
    <t>Longari/Brugnoli</t>
  </si>
  <si>
    <t>835-DIEFFENBACHER-KRONOSPAN-ORIS 2 - OSB-2018</t>
  </si>
  <si>
    <t>IT00118COC00426</t>
  </si>
  <si>
    <t>SCARICO ESSICATOIO</t>
  </si>
  <si>
    <t>IT00119COC00014</t>
  </si>
  <si>
    <t>835-DIEFFENBACHER-KRONOSPAN-ORIS 2 - OSB-2019</t>
  </si>
  <si>
    <t>IT00119COC00129</t>
  </si>
  <si>
    <t>836</t>
  </si>
  <si>
    <t>IT00118COC00400</t>
  </si>
  <si>
    <t>PALSER</t>
  </si>
  <si>
    <t>SERTA</t>
  </si>
  <si>
    <t>836-IMAL-PALSER-SERTA-2018</t>
  </si>
  <si>
    <t>837</t>
  </si>
  <si>
    <t>IT00118COC00326</t>
  </si>
  <si>
    <t xml:space="preserve">KRONOSPAN </t>
  </si>
  <si>
    <t>DELETED</t>
  </si>
  <si>
    <t>837-KRONOSPAN --STRZELCE-2018</t>
  </si>
  <si>
    <t>IT00119COC00195</t>
  </si>
  <si>
    <t>CONTIPLUS AG</t>
  </si>
  <si>
    <t xml:space="preserve">TK40HP + SPARES FOR EXISTING ONES </t>
  </si>
  <si>
    <t>completare i ricambi</t>
  </si>
  <si>
    <t>837-CONTIPLUS AG-KRONOSPAN -STRZELCE-2019</t>
  </si>
  <si>
    <t>IT00119COC00196</t>
  </si>
  <si>
    <t>Chain conveyor</t>
  </si>
  <si>
    <t>838</t>
  </si>
  <si>
    <t>IT00118COC00285</t>
  </si>
  <si>
    <t>SERA ENERGIES</t>
  </si>
  <si>
    <t>BIOMAX GRENOBLE</t>
  </si>
  <si>
    <t>838-SERA ENERGIES--BIOMAX GRENOBLE-2018</t>
  </si>
  <si>
    <t>839</t>
  </si>
  <si>
    <t>IT00118COC00382</t>
  </si>
  <si>
    <t>2 COCLEE DOSATRICI FORN. PARZIALE</t>
  </si>
  <si>
    <t>839-INSTALMEC-KRONOSPAN-CHIRK-2018</t>
  </si>
  <si>
    <t>840</t>
  </si>
  <si>
    <t>INFEED BOILER</t>
  </si>
  <si>
    <t>840-TRASMEC CHINA-VANACHAI -VPI-OSB1-2018</t>
  </si>
  <si>
    <t>841</t>
  </si>
  <si>
    <t>IT00118COC00390</t>
  </si>
  <si>
    <t>SERRANDE SOTTO TK</t>
  </si>
  <si>
    <t>841-BORG--NEW PB PLANT-2018</t>
  </si>
  <si>
    <t>842</t>
  </si>
  <si>
    <t>IT00118COC00428</t>
  </si>
  <si>
    <t>CAPWATT</t>
  </si>
  <si>
    <t>BOILER INFEED</t>
  </si>
  <si>
    <t>842-VYNCKE-SONAE-CAPWATT-2018</t>
  </si>
  <si>
    <t>IT00118COC00455</t>
  </si>
  <si>
    <t>DISEGNI PER STRUTTURE</t>
  </si>
  <si>
    <t>843</t>
  </si>
  <si>
    <t>AGT</t>
  </si>
  <si>
    <t xml:space="preserve">MDF 2 PLANT </t>
  </si>
  <si>
    <t>843-GIM EXPORT GROUP-AGT-MDF 2 PLANT -2018</t>
  </si>
  <si>
    <t>844</t>
  </si>
  <si>
    <t>IT00118COC00427</t>
  </si>
  <si>
    <t>NORBORD COWIE</t>
  </si>
  <si>
    <t>844-PAL--NORBORD COWIE-2018</t>
  </si>
  <si>
    <t>IT00118COC00604</t>
  </si>
  <si>
    <t>IT00118COC00185</t>
  </si>
  <si>
    <t>844-PAL--NORBORD COWIE-2019</t>
  </si>
  <si>
    <t>845</t>
  </si>
  <si>
    <t>IT00118COC00401</t>
  </si>
  <si>
    <t>GBMC1</t>
  </si>
  <si>
    <t>GMBC 1</t>
  </si>
  <si>
    <t>845-IMAL--GBMC1-2018</t>
  </si>
  <si>
    <t>IT00118COC00402</t>
  </si>
  <si>
    <t>GBMC2</t>
  </si>
  <si>
    <t>GMBC 2</t>
  </si>
  <si>
    <t>845-IMAL--GBMC2-2018</t>
  </si>
  <si>
    <t>846</t>
  </si>
  <si>
    <t>IT00118COC00429</t>
  </si>
  <si>
    <t>PANTEC</t>
  </si>
  <si>
    <t>20/1218-30/07/19</t>
  </si>
  <si>
    <t>846-CMP-PANTEC-2018</t>
  </si>
  <si>
    <t>847</t>
  </si>
  <si>
    <t>IT00118COC00471</t>
  </si>
  <si>
    <t>NOLTE</t>
  </si>
  <si>
    <t>AUSTRIA</t>
  </si>
  <si>
    <t>847-DIEFFENBACHER--NOLTE-2018</t>
  </si>
  <si>
    <t>848</t>
  </si>
  <si>
    <t>IT00118COC00454</t>
  </si>
  <si>
    <t>848-INSTALMEC-KRONOSPAN-RIGA-2018</t>
  </si>
  <si>
    <t>849</t>
  </si>
  <si>
    <t>IT00118COC00452</t>
  </si>
  <si>
    <t>18/04-30/07/19</t>
  </si>
  <si>
    <t>849-CMP--IMPIANTO FRATI-2018</t>
  </si>
  <si>
    <t>IT00118COC00509</t>
  </si>
  <si>
    <t>850</t>
  </si>
  <si>
    <t>IT00118COC00478</t>
  </si>
  <si>
    <t>CONTIPLUS</t>
  </si>
  <si>
    <t>850-CONTIPLUS--JIHLAVA-2018</t>
  </si>
  <si>
    <t>851</t>
  </si>
  <si>
    <t>IT00118COC00481</t>
  </si>
  <si>
    <t>FUNDERMAX</t>
  </si>
  <si>
    <t>RECY</t>
  </si>
  <si>
    <t>851-DIEFFENBACHER--FUNDERMAX-2018</t>
  </si>
  <si>
    <t>IT00118COC00523</t>
  </si>
  <si>
    <t xml:space="preserve">Clappa </t>
  </si>
  <si>
    <t>852</t>
  </si>
  <si>
    <t>IT00118COC00482</t>
  </si>
  <si>
    <t>TENO</t>
  </si>
  <si>
    <t>CILE</t>
  </si>
  <si>
    <t>852-PAL-ARAUCO-TENO-2018</t>
  </si>
  <si>
    <t>853</t>
  </si>
  <si>
    <t>IT00118COC00532</t>
  </si>
  <si>
    <t>PFEIFER HOLZ LAUTERBACH</t>
  </si>
  <si>
    <t>853-TECHNIC ONE--PFEIFER HOLZ LAUTERBACH-2018</t>
  </si>
  <si>
    <t>854</t>
  </si>
  <si>
    <t>IT00118COC00533</t>
  </si>
  <si>
    <t>BURGOS C9</t>
  </si>
  <si>
    <t>854-KRONOSPAN-BURGOS C9-2018</t>
  </si>
  <si>
    <t>IT00118COC00236</t>
  </si>
  <si>
    <t>IT00119COC00168</t>
  </si>
  <si>
    <t>855</t>
  </si>
  <si>
    <t>IT00118COC00571</t>
  </si>
  <si>
    <t>MAGNETIC OVERBELT</t>
  </si>
  <si>
    <t>855-VYNCKE--ENECO-2018</t>
  </si>
  <si>
    <t>856</t>
  </si>
  <si>
    <t>IT00119COC00128</t>
  </si>
  <si>
    <t>856-CMP--PANTEC-2019</t>
  </si>
  <si>
    <t>IT00119COC00435</t>
  </si>
  <si>
    <t>857</t>
  </si>
  <si>
    <t>IT00118COC00583</t>
  </si>
  <si>
    <t xml:space="preserve">BURGOS </t>
  </si>
  <si>
    <t>DOUBLE DOSING SCREW CONVEYOR</t>
  </si>
  <si>
    <t>857-KRONOSPAN--BURGOS -2018</t>
  </si>
  <si>
    <t>858</t>
  </si>
  <si>
    <t>IT00118COC00602</t>
  </si>
  <si>
    <t>BARONY</t>
  </si>
  <si>
    <t>SILDE GATES</t>
  </si>
  <si>
    <t>858-EGGER--BARONY-2019</t>
  </si>
  <si>
    <t>IT00119COC00010</t>
  </si>
  <si>
    <t>TK15N</t>
  </si>
  <si>
    <t>859</t>
  </si>
  <si>
    <t>IT00119COC00013</t>
  </si>
  <si>
    <t>FINANCERA MADERERA SA</t>
  </si>
  <si>
    <t>FINSA CELLA</t>
  </si>
  <si>
    <t>859-PAL-FINANCERA MADERERA SA-FINSA CELLA-2019</t>
  </si>
  <si>
    <t>IT00119COC00324</t>
  </si>
  <si>
    <t>860</t>
  </si>
  <si>
    <t>IT00119COC00011</t>
  </si>
  <si>
    <t>DE SMET</t>
  </si>
  <si>
    <t>860-PAL--DE SMET-2019</t>
  </si>
  <si>
    <t>IT00119COC00445</t>
  </si>
  <si>
    <t>861</t>
  </si>
  <si>
    <t>IT00119COC00015</t>
  </si>
  <si>
    <t>PIET RETIEF</t>
  </si>
  <si>
    <t>861-PG BISON--PIET RETIEF-2019</t>
  </si>
  <si>
    <t>IT00119COC00022</t>
  </si>
  <si>
    <t>862</t>
  </si>
  <si>
    <t>IT00119COC00012</t>
  </si>
  <si>
    <t>LOMBARDO</t>
  </si>
  <si>
    <t>862-PAL--LOMBARDO-2019</t>
  </si>
  <si>
    <t>863</t>
  </si>
  <si>
    <t>TRM ROM</t>
  </si>
  <si>
    <t>TRASMEC ROMANIA</t>
  </si>
  <si>
    <t>PINKSDREV</t>
  </si>
  <si>
    <t>863-TRASMEC ROMANIA-BERSEY-PINKSDREV-2019</t>
  </si>
  <si>
    <t>864</t>
  </si>
  <si>
    <t>IT00119COC00049</t>
  </si>
  <si>
    <t>ELEKTROGORSK</t>
  </si>
  <si>
    <t>864-INSTALMEC-KRONOSPAN-ELEKTROGORSK-2019</t>
  </si>
  <si>
    <t>IT00119COC00056</t>
  </si>
  <si>
    <t>865</t>
  </si>
  <si>
    <t>IT00118COC00490</t>
  </si>
  <si>
    <t>STEP 2</t>
  </si>
  <si>
    <t>865-FINANCIERA MADERERA-FINSA-SANTIAGO DE COMPOSTELA-2019</t>
  </si>
  <si>
    <t>IT00118COC00460</t>
  </si>
  <si>
    <t>STEP 2 - INTEGRATION</t>
  </si>
  <si>
    <t>IT00119COC00934</t>
  </si>
  <si>
    <t>SCREWS FOR GLUING PLANT</t>
  </si>
  <si>
    <t>866</t>
  </si>
  <si>
    <t>IT00119COC00053</t>
  </si>
  <si>
    <t>BELTS FOR RECY</t>
  </si>
  <si>
    <t>866-KASTAMONU--POMPOSA-2019</t>
  </si>
  <si>
    <t>867</t>
  </si>
  <si>
    <t>IT00119COC00035</t>
  </si>
  <si>
    <t>SANDEBECK</t>
  </si>
  <si>
    <t>RICAMBI</t>
  </si>
  <si>
    <t>867-KRONOSPAN--SANDEBECK-2019</t>
  </si>
  <si>
    <t>IT00119COC00093</t>
  </si>
  <si>
    <t>868</t>
  </si>
  <si>
    <t>IT00119COC00090</t>
  </si>
  <si>
    <t>868-EGGER--RADAUTI-2019</t>
  </si>
  <si>
    <t>869</t>
  </si>
  <si>
    <t>IT00119COC00149</t>
  </si>
  <si>
    <t xml:space="preserve">4° TORRE DI PULIZIA </t>
  </si>
  <si>
    <t>869-SAIB S.P.A.-SAIB-FOSSADELLO DI CAORSO-2019</t>
  </si>
  <si>
    <t>870</t>
  </si>
  <si>
    <t>IT00119COC00148</t>
  </si>
  <si>
    <t>ARCHIMBAUD</t>
  </si>
  <si>
    <t>870-IMAL--ARCHIMBAUD-2019</t>
  </si>
  <si>
    <t>IT00119COC00174</t>
  </si>
  <si>
    <t>SCREW CONVEYOR</t>
  </si>
  <si>
    <t>Ordine , ML, SL unite con IT00119COC00148</t>
  </si>
  <si>
    <t>871</t>
  </si>
  <si>
    <t>IT00119COC00112</t>
  </si>
  <si>
    <t>BPA</t>
  </si>
  <si>
    <t>871-VYNCKE--BPA-2019</t>
  </si>
  <si>
    <t>872</t>
  </si>
  <si>
    <t>IT00119COC00150</t>
  </si>
  <si>
    <t>NEW RECY WOOD PLANT</t>
  </si>
  <si>
    <t>872-LUSO FINSA --NELAS-2019</t>
  </si>
  <si>
    <t>IT00119COC00328</t>
  </si>
  <si>
    <t>873</t>
  </si>
  <si>
    <t>IT00119COC00170</t>
  </si>
  <si>
    <t>WET &amp; DRY UPGRADE</t>
  </si>
  <si>
    <t>873-CONTIPLUS AG-KRONOSPAN -ELEKTROGORSK-2019</t>
  </si>
  <si>
    <t>874</t>
  </si>
  <si>
    <t>IT00119COC00187</t>
  </si>
  <si>
    <t>KRONOSPAN BASHKORTOSTAN</t>
  </si>
  <si>
    <t>874-KRONOSPAN BASHKORTOSTAN-KRONOSPAN-UFA-2019</t>
  </si>
  <si>
    <t>875</t>
  </si>
  <si>
    <t>Spare parts for AMF conveyors</t>
  </si>
  <si>
    <t>875-KRONOSPAN--CHIRK-2019</t>
  </si>
  <si>
    <t>876</t>
  </si>
  <si>
    <t>IT00119COC00449</t>
  </si>
  <si>
    <t>KANEMATSU  KGK CORP.</t>
  </si>
  <si>
    <t>OKURA JAPAN</t>
  </si>
  <si>
    <t>JAPAN</t>
  </si>
  <si>
    <t>876-KANEMATSU  KGK CORP.--OKURA JAPAN-2019</t>
  </si>
  <si>
    <t>IT00119COC00851</t>
  </si>
  <si>
    <t>877</t>
  </si>
  <si>
    <t>IT00119COC00221</t>
  </si>
  <si>
    <t xml:space="preserve">FINANCIERA MADERERA </t>
  </si>
  <si>
    <t>SANTIAGO-BOILER VINCKE</t>
  </si>
  <si>
    <t>BOILER FEEDING VINCKE</t>
  </si>
  <si>
    <t>877-FINANCIERA MADERERA -FINSA-SANTIAGO-BOILER VINCKE-2019</t>
  </si>
  <si>
    <t>878</t>
  </si>
  <si>
    <t>IT00119COC00231</t>
  </si>
  <si>
    <t>878-KRONOSPAN--JIHLAVA-2019</t>
  </si>
  <si>
    <t>879</t>
  </si>
  <si>
    <t>IT00119COC00225</t>
  </si>
  <si>
    <t>UGIE</t>
  </si>
  <si>
    <t>879-PG BISON--UGIE-2019</t>
  </si>
  <si>
    <t>880</t>
  </si>
  <si>
    <t>IT00119COC00273</t>
  </si>
  <si>
    <t>EGGER ROMANIA SRL</t>
  </si>
  <si>
    <t>880-EGGER ROMANIA SRL--RADAUTI-2019</t>
  </si>
  <si>
    <t>881</t>
  </si>
  <si>
    <t>IT00119COC00296</t>
  </si>
  <si>
    <t>BPA AMSTERDAM</t>
  </si>
  <si>
    <t>MOVING FLOOR SYSTEM</t>
  </si>
  <si>
    <t xml:space="preserve">  </t>
  </si>
  <si>
    <t>881-VYNCKE--BPA AMSTERDAM-2019</t>
  </si>
  <si>
    <t>882</t>
  </si>
  <si>
    <t>IT00119COC00323</t>
  </si>
  <si>
    <t>NOVOVOLYNSK</t>
  </si>
  <si>
    <t>882-CONTIPLUS AG-KRONOSPAN-NOVOVOLYNSK-2019</t>
  </si>
  <si>
    <t>IT00119COC00494</t>
  </si>
  <si>
    <t>Aggiunta di N°2 clappe e N°1 coclea</t>
  </si>
  <si>
    <t>883</t>
  </si>
  <si>
    <t>IT00119COC00330</t>
  </si>
  <si>
    <t>COCLEA + TM650 C/OVERBELT</t>
  </si>
  <si>
    <t>883-KRONOSPAN 000 RUSSIA--EGORIEVSK-2019</t>
  </si>
  <si>
    <t>884</t>
  </si>
  <si>
    <t>IT00119COC00379</t>
  </si>
  <si>
    <t>VERTICAL SCREWS FOR SAW DUST</t>
  </si>
  <si>
    <t>884-TECHNIC ONE---2019</t>
  </si>
  <si>
    <t>885</t>
  </si>
  <si>
    <t>IT00119COC00446</t>
  </si>
  <si>
    <t>IKEA SVEZIA</t>
  </si>
  <si>
    <t>RECY AND DRY AREA</t>
  </si>
  <si>
    <t>SWEDEN</t>
  </si>
  <si>
    <t>885-PAL-IKEA SVEZIA-RECY AND DRY AREA-2019</t>
  </si>
  <si>
    <t>886</t>
  </si>
  <si>
    <t>IT00119COC00432</t>
  </si>
  <si>
    <t xml:space="preserve">KASTAMONU </t>
  </si>
  <si>
    <t>886-KASTAMONU --POMPOSA-2019</t>
  </si>
  <si>
    <t>887</t>
  </si>
  <si>
    <t>IT00119COC00475</t>
  </si>
  <si>
    <t>SMARTPLY OSB</t>
  </si>
  <si>
    <t>IRELAND</t>
  </si>
  <si>
    <t>887-PAL--SMARTPLY OSB-2019</t>
  </si>
  <si>
    <t>888</t>
  </si>
  <si>
    <t>IT00119COC00476</t>
  </si>
  <si>
    <t>20/09-04/11/19</t>
  </si>
  <si>
    <t>888-INSTALMEC-KRONOSPAN-NOVOVOLYNSK-2019</t>
  </si>
  <si>
    <t>889</t>
  </si>
  <si>
    <t>IT00119COC00508</t>
  </si>
  <si>
    <t>OBARIV OSB</t>
  </si>
  <si>
    <t xml:space="preserve">ON HOLD-VEDI  1002 </t>
  </si>
  <si>
    <t>889-CONTIPLUS-KRONOSPAN-OBARIV OSB-2019</t>
  </si>
  <si>
    <t>890</t>
  </si>
  <si>
    <t>IT00119COC00536</t>
  </si>
  <si>
    <t>CONTIPLUS LTD MALTA</t>
  </si>
  <si>
    <t xml:space="preserve">FALCO </t>
  </si>
  <si>
    <t>RECY REVAMPING</t>
  </si>
  <si>
    <t>890-CONTIPLUS LTD MALTA-KRONOSPAN-FALCO -2019</t>
  </si>
  <si>
    <t>IT00119COC00774</t>
  </si>
  <si>
    <t>891</t>
  </si>
  <si>
    <t>IT00120COC00505</t>
  </si>
  <si>
    <t>CONTIPLUS LIMITED</t>
  </si>
  <si>
    <t>891-CONTIPLUS LIMITED-KRONOSPAN-ELEKTROGORSK-2019</t>
  </si>
  <si>
    <t>892</t>
  </si>
  <si>
    <t>IT00119COC00527</t>
  </si>
  <si>
    <t>ELKIN</t>
  </si>
  <si>
    <t>892-DIEFFENBACHER--ELKIN-2019</t>
  </si>
  <si>
    <t>893</t>
  </si>
  <si>
    <t>IT00119COC00543</t>
  </si>
  <si>
    <t>MANGUALDE</t>
  </si>
  <si>
    <t>893-SONAE ARAUCO--MANGUALDE-2019</t>
  </si>
  <si>
    <t>894</t>
  </si>
  <si>
    <t>IT00119COC00561</t>
  </si>
  <si>
    <t>894-BORG--NEW PB PLANT-2019</t>
  </si>
  <si>
    <t>895</t>
  </si>
  <si>
    <t>IT00119COC00593</t>
  </si>
  <si>
    <t>SIA KRONOSPAN RIGA</t>
  </si>
  <si>
    <t>KRONOSPAN RIGA</t>
  </si>
  <si>
    <t>MODIFICHE TKK60OSB-TKK80OSB</t>
  </si>
  <si>
    <t>895-SIA KRONOSPAN RIGA-SIA KRONOSPAN RIGA-KRONOSPAN RIGA-2019</t>
  </si>
  <si>
    <t>896</t>
  </si>
  <si>
    <t>IT00119COC00631</t>
  </si>
  <si>
    <t>RECY LINE</t>
  </si>
  <si>
    <t>896-DIEFFENBACHER--LINEX PANNEAUX-2019</t>
  </si>
  <si>
    <t>IT00119COC00745</t>
  </si>
  <si>
    <t>897</t>
  </si>
  <si>
    <t>IT00119COC00629</t>
  </si>
  <si>
    <t>KRONOSPAN POLSKA SP.Z.O.O.</t>
  </si>
  <si>
    <t>NEW HACKER FROM RECY</t>
  </si>
  <si>
    <t>897-KRONOSPAN POLSKA SP.Z.O.O.-KRONOSPAN-SZCZECINEK-2019</t>
  </si>
  <si>
    <t>898</t>
  </si>
  <si>
    <t>IT00119COC00630</t>
  </si>
  <si>
    <t>RICAMBI ALBERI COCLEA</t>
  </si>
  <si>
    <t>898-KASTAMONU--POMPOSA-2019</t>
  </si>
  <si>
    <t>899</t>
  </si>
  <si>
    <t>IT00119COC00668</t>
  </si>
  <si>
    <t>MICRO STRAND GENK</t>
  </si>
  <si>
    <t>899-PAL-NORBORD-MICRO STRAND GENK-2019</t>
  </si>
  <si>
    <t>900</t>
  </si>
  <si>
    <t>IT00119COC00573</t>
  </si>
  <si>
    <t>COWIE</t>
  </si>
  <si>
    <t>ITALIA</t>
  </si>
  <si>
    <t>900-PAL-NORBORD-COWIE-2019</t>
  </si>
  <si>
    <t>901</t>
  </si>
  <si>
    <t>IT00119COC00678</t>
  </si>
  <si>
    <t>MASISA</t>
  </si>
  <si>
    <t>DURANGO-ARAUCO</t>
  </si>
  <si>
    <t>NEW SAW DUST CLEANING LINE</t>
  </si>
  <si>
    <t>MEXICO</t>
  </si>
  <si>
    <t>901-PAL-MASISA-DURANGO-ARAUCO-2019</t>
  </si>
  <si>
    <t>902</t>
  </si>
  <si>
    <t>IT00119COC00680</t>
  </si>
  <si>
    <t>TK15+TK35</t>
  </si>
  <si>
    <t>902-EGGER-EGGER-BARONY-2019</t>
  </si>
  <si>
    <t>903</t>
  </si>
  <si>
    <t>IT00119COC00703</t>
  </si>
  <si>
    <t>COCLEA DOSATRICE EX COMM 970361CS</t>
  </si>
  <si>
    <t>903-SAIB S.P.A.--FOSSADELLO DI CAORSO-2019</t>
  </si>
  <si>
    <t>904</t>
  </si>
  <si>
    <t>PARFINO</t>
  </si>
  <si>
    <t>904-TRASMEC ROMANIA-BERSEY-PARFINO-2019</t>
  </si>
  <si>
    <t>905</t>
  </si>
  <si>
    <t>IT00119COC00718</t>
  </si>
  <si>
    <t>KUNKEL PALLET BLOCKS</t>
  </si>
  <si>
    <t>Longari/Franzini</t>
  </si>
  <si>
    <t>905-IMAL--KUNKEL PALLET BLOCKS-2019</t>
  </si>
  <si>
    <t>906</t>
  </si>
  <si>
    <t>IT00119COC00743</t>
  </si>
  <si>
    <t>COCLEA SOTTO CHIPPATORE TIGER</t>
  </si>
  <si>
    <t>906-KRONOSPAN--BURGOS-2019</t>
  </si>
  <si>
    <t>IT00119COC00783</t>
  </si>
  <si>
    <t>RICAMBI VARI + 2 COCLEE CERAMIZZATE</t>
  </si>
  <si>
    <t>907</t>
  </si>
  <si>
    <t>SCREW BUNKERS FOR TRIMMINGS AND FIBER</t>
  </si>
  <si>
    <t>907-TRASMEC CHINA-VYNCKE-CAPWATT-2019</t>
  </si>
  <si>
    <t>908</t>
  </si>
  <si>
    <t>IT00119COC00776</t>
  </si>
  <si>
    <t>VYNCKE CZECH FACTORY</t>
  </si>
  <si>
    <t>FUEL RECIRCULATION FOR MATERIAL TESTING</t>
  </si>
  <si>
    <t>MACCHINE PER FINANZIAMENTI</t>
  </si>
  <si>
    <t>908-VYNCKE-VYNCKE-VYNCKE CZECH FACTORY-2019</t>
  </si>
  <si>
    <t>909</t>
  </si>
  <si>
    <t>IT00119COC00785</t>
  </si>
  <si>
    <t>GREEN BLOCK</t>
  </si>
  <si>
    <t>909-IMAL--GREEN BLOCK-2019</t>
  </si>
  <si>
    <t>IT00119COC00950</t>
  </si>
  <si>
    <t>(macchine aggiunte)</t>
  </si>
  <si>
    <t>IT00119COC00951</t>
  </si>
  <si>
    <t>(bunker aggiunto)</t>
  </si>
  <si>
    <t>910</t>
  </si>
  <si>
    <t>IT00119COC00712</t>
  </si>
  <si>
    <t>NONTHABURI</t>
  </si>
  <si>
    <t>PNEUMATIC SLIDING GATES</t>
  </si>
  <si>
    <t>910-METRO INDUSTRIAL PARK--NONTHABURI-2019</t>
  </si>
  <si>
    <t>911</t>
  </si>
  <si>
    <t>IT00119COC00747</t>
  </si>
  <si>
    <t>AL TALAH</t>
  </si>
  <si>
    <t>PALM RECYCLING PLANT</t>
  </si>
  <si>
    <t>PRE ENGINEERING CONVEYORS</t>
  </si>
  <si>
    <t>UNITED ARAB EMIRATES</t>
  </si>
  <si>
    <t>911-DIEFFENBACHER-AL TALAH-PALM RECYCLING PLANT-2020</t>
  </si>
  <si>
    <t>IT00120COC00043</t>
  </si>
  <si>
    <t>31/03-10/06-2020</t>
  </si>
  <si>
    <t>912</t>
  </si>
  <si>
    <t>IT00119COC00831</t>
  </si>
  <si>
    <t>INDUSTRIAS METALICAS ONAZ</t>
  </si>
  <si>
    <t>AZPEITIA</t>
  </si>
  <si>
    <t>912-INDUSTRIAS METALICAS ONAZ--AZPEITIA-2019</t>
  </si>
  <si>
    <t>913</t>
  </si>
  <si>
    <t>POWER PLANT</t>
  </si>
  <si>
    <t>913-TRASMEC CHINA-VANACHAI -POWER PLANT-2019</t>
  </si>
  <si>
    <t>914</t>
  </si>
  <si>
    <t>IT00119COC00889</t>
  </si>
  <si>
    <t>ESTABOGA</t>
  </si>
  <si>
    <t>SLIDING GATE FOR CONVEYOR AU0749C-R006178</t>
  </si>
  <si>
    <t>914-KRONOSPAN--ESTABOGA-2019</t>
  </si>
  <si>
    <t>915</t>
  </si>
  <si>
    <t>IT00119COC00884</t>
  </si>
  <si>
    <t>OSOPPO</t>
  </si>
  <si>
    <t>NUOVO SCARICO CAPANNE PLAXIL 4-5-6</t>
  </si>
  <si>
    <t>20/4-30/6/2019</t>
  </si>
  <si>
    <t>915-FANTONI-FANTONI-OSOPPO-2019</t>
  </si>
  <si>
    <t>916</t>
  </si>
  <si>
    <t>IT00120COC00146</t>
  </si>
  <si>
    <t>CLARIANT</t>
  </si>
  <si>
    <t>916-DIEFFENBACHER--CLARIANT-2019</t>
  </si>
  <si>
    <t>917</t>
  </si>
  <si>
    <t>IT00120COC00038</t>
  </si>
  <si>
    <t>KALUGA</t>
  </si>
  <si>
    <t>CONVEYORS FOR NEW MDF LINE</t>
  </si>
  <si>
    <t>917-GIM EXPORT GROUP-KRONOSPAN-KALUGA-2019</t>
  </si>
  <si>
    <t>918</t>
  </si>
  <si>
    <t>IT00119COC00940</t>
  </si>
  <si>
    <t>RECY - STEP1</t>
  </si>
  <si>
    <t>918-PAL-FINSA CELLA-FINSA CELLA-2019</t>
  </si>
  <si>
    <t>IT00120COC00045</t>
  </si>
  <si>
    <t>RECY - STEP2</t>
  </si>
  <si>
    <t>919</t>
  </si>
  <si>
    <t>IT00120COC00044</t>
  </si>
  <si>
    <t>TK25+TK35</t>
  </si>
  <si>
    <t>919-EGGER-EGGER-BARONY-2020</t>
  </si>
  <si>
    <t>920</t>
  </si>
  <si>
    <t>IT00120COC00070</t>
  </si>
  <si>
    <t>LAPOVO</t>
  </si>
  <si>
    <t>SERBIA</t>
  </si>
  <si>
    <t>15/6-15/7/2020</t>
  </si>
  <si>
    <t>920-CONTIPLUS LTD MALTA-KRONOSPAN-LAPOVO-2020</t>
  </si>
  <si>
    <t>921</t>
  </si>
  <si>
    <t>IT00120COC00073</t>
  </si>
  <si>
    <t>ARBAFLAME</t>
  </si>
  <si>
    <t xml:space="preserve">BLACK PELLET </t>
  </si>
  <si>
    <t>NORVAY</t>
  </si>
  <si>
    <t>921-PAL-ARBAFLAME-BLACK PELLET -2020</t>
  </si>
  <si>
    <t>922</t>
  </si>
  <si>
    <t>IT00120COC00090</t>
  </si>
  <si>
    <t>GREEN ARABIA</t>
  </si>
  <si>
    <t>922-IMAL--GREEN ARABIA-2020</t>
  </si>
  <si>
    <t>923</t>
  </si>
  <si>
    <t>IT00120COC00112</t>
  </si>
  <si>
    <t>CONVEYORS FOR RECY</t>
  </si>
  <si>
    <t>923-SWISS KRONO--CONVEYORS FOR RECY-2020</t>
  </si>
  <si>
    <t>924</t>
  </si>
  <si>
    <t>IT00120COC00209</t>
  </si>
  <si>
    <t>CAMSAN ORDU</t>
  </si>
  <si>
    <t>NEW MDF III</t>
  </si>
  <si>
    <t>STORAGE AND CONVEYNG SYSTEM FOR NEW MDF III</t>
  </si>
  <si>
    <t>924-CAMSAN ORDU-CAMSAN ORDU-NEW MDF III-2020</t>
  </si>
  <si>
    <t>925</t>
  </si>
  <si>
    <t>IT00120COC00114</t>
  </si>
  <si>
    <t>RECY NUOVA TORRE DI PULIZIA</t>
  </si>
  <si>
    <t>925-FANTONI-FANTONI-RECY NUOVA TORRE DI PULIZIA-2020</t>
  </si>
  <si>
    <t>926</t>
  </si>
  <si>
    <t>IT00120COC00106</t>
  </si>
  <si>
    <t>ITEM 300.07 SOSTITUZIONE TN CON TK25HP</t>
  </si>
  <si>
    <t>926-KRONOSPAN-KRONOSPAN-BURGOS-2020</t>
  </si>
  <si>
    <t>IT00120COC00131</t>
  </si>
  <si>
    <t>CHIPS SPILLAGE&gt;KMS-LAY OUT BURGOS C9-4</t>
  </si>
  <si>
    <t>927</t>
  </si>
  <si>
    <t>IT00120COC00129</t>
  </si>
  <si>
    <t>NUOVO ESSICCATOIO - TRASPORTATORE CENERI</t>
  </si>
  <si>
    <t>927-SAIB S.P.A.-SAIB-FOSSADELLO DI CAORSO-2020</t>
  </si>
  <si>
    <t>IT00120COC00130</t>
  </si>
  <si>
    <t>NUOVO ESSICCATOIO</t>
  </si>
  <si>
    <t>30/07/-30/10/2020</t>
  </si>
  <si>
    <t>IT00120COC00386</t>
  </si>
  <si>
    <t>COCLEE POOLVERE</t>
  </si>
  <si>
    <t>928</t>
  </si>
  <si>
    <t>IT00120COC00151</t>
  </si>
  <si>
    <t>SWISSKRONO</t>
  </si>
  <si>
    <t>EX-KRONOPOL ZARY</t>
  </si>
  <si>
    <t>n°2 COCLEE DI RICAMBIO</t>
  </si>
  <si>
    <t>928-SWISSKRONO--EX-KRONOPOL ZARY-2020</t>
  </si>
  <si>
    <t>929</t>
  </si>
  <si>
    <t>IT00120COC00207</t>
  </si>
  <si>
    <t>FALCO Zrt</t>
  </si>
  <si>
    <t>RECY REVAMPING TK50PNZ</t>
  </si>
  <si>
    <t>929-FALCO Zrt-KRONOSPAN-FALCO -2020</t>
  </si>
  <si>
    <t>930</t>
  </si>
  <si>
    <t>IT00120COC00208</t>
  </si>
  <si>
    <t>RECY CHIPS</t>
  </si>
  <si>
    <t>930-BORG--RECY CHIPS-2020</t>
  </si>
  <si>
    <t>IT00120COC00297</t>
  </si>
  <si>
    <t>Overbelt</t>
  </si>
  <si>
    <t>931</t>
  </si>
  <si>
    <t>IT00120COC00214</t>
  </si>
  <si>
    <t>GIM EXPORT</t>
  </si>
  <si>
    <t>SAMSUN</t>
  </si>
  <si>
    <t>Pannunzio/Longari</t>
  </si>
  <si>
    <t>30/09-30/11/2020</t>
  </si>
  <si>
    <t>931-GIM EXPORT-KASTAMONU-SAMSUN-2020</t>
  </si>
  <si>
    <t>932</t>
  </si>
  <si>
    <t>IT00120COC00206</t>
  </si>
  <si>
    <t>SULLY SUR LOIRE</t>
  </si>
  <si>
    <t>SCREWS VARIOUS</t>
  </si>
  <si>
    <t>ANNULLATO</t>
  </si>
  <si>
    <t>932-PAL-SWISS KRONO-SULLY SUR LOIRE-2020</t>
  </si>
  <si>
    <t>IT00120COC00723</t>
  </si>
  <si>
    <t>933</t>
  </si>
  <si>
    <t>IT00120COC00215</t>
  </si>
  <si>
    <t>Dieffenbacher</t>
  </si>
  <si>
    <t>Fornitura lavatore instalmec a DF</t>
  </si>
  <si>
    <t>933-Dieffenbacher-SWISS KRONO-SULLY SUR LOIRE-2020</t>
  </si>
  <si>
    <t>934</t>
  </si>
  <si>
    <t>IT00120COC00210</t>
  </si>
  <si>
    <t>WEIGHTING SYSTEM SUPPLY</t>
  </si>
  <si>
    <t>934-HOLTEC--ALTAILES PAVLOVSKY MDF-2020</t>
  </si>
  <si>
    <t>935</t>
  </si>
  <si>
    <t>IT00120COC00218</t>
  </si>
  <si>
    <t>935-EGGER--RAMBERVILLERS-2020</t>
  </si>
  <si>
    <t>936</t>
  </si>
  <si>
    <t>IT00120COC00236</t>
  </si>
  <si>
    <t>LINEX  PANNEAUX</t>
  </si>
  <si>
    <t>936-LINEX  PANNEAUX--LINEX PANNEAUX-2020</t>
  </si>
  <si>
    <t>937</t>
  </si>
  <si>
    <t>IT00120COC00237</t>
  </si>
  <si>
    <t>TECHNIC ONE VIRGINIA</t>
  </si>
  <si>
    <t>937-TECHNIC ONE--TECHNIC ONE VIRGINIA-2020</t>
  </si>
  <si>
    <t>IT00124COC00982</t>
  </si>
  <si>
    <t>938</t>
  </si>
  <si>
    <t>IT00120COC00265</t>
  </si>
  <si>
    <t>938-INSTALMEC--LAPOVO-2020</t>
  </si>
  <si>
    <t>939</t>
  </si>
  <si>
    <t>IT00120COC00270</t>
  </si>
  <si>
    <t>KRONOSPAN S.L</t>
  </si>
  <si>
    <t>BURGOS C9 (a)-(b)</t>
  </si>
  <si>
    <t>939-KRONOSPAN S.L-KRONOSPAN-BURGOS C9 (a)-(b)-2020</t>
  </si>
  <si>
    <t>940</t>
  </si>
  <si>
    <t>IT00120COC00271</t>
  </si>
  <si>
    <t>MION&amp;MOSOLE</t>
  </si>
  <si>
    <t>CLEANING TOWER</t>
  </si>
  <si>
    <t>940-MION&amp;MOSOLE--CLEANING TOWER-2020</t>
  </si>
  <si>
    <t>941</t>
  </si>
  <si>
    <t>IT00120COC00292</t>
  </si>
  <si>
    <t>GARNICA PLYWOOD</t>
  </si>
  <si>
    <t>VALENCIA</t>
  </si>
  <si>
    <t>941-GARNICA PLYWOOD-GARNICA PLYWOOD-VALENCIA-2020</t>
  </si>
  <si>
    <t>942</t>
  </si>
  <si>
    <t>IT00120COC00365</t>
  </si>
  <si>
    <t>KRONOSPAN LIMITED</t>
  </si>
  <si>
    <t>CHAIN CLEANER ON EXISTING BELTS</t>
  </si>
  <si>
    <t>GALLES</t>
  </si>
  <si>
    <t>942-KRONOSPAN LIMITED-KRONOSPAN-CHIRK-2020</t>
  </si>
  <si>
    <t>943</t>
  </si>
  <si>
    <t>IT00120COC00398</t>
  </si>
  <si>
    <t>IPAN</t>
  </si>
  <si>
    <t>AMPLIAMENTO PULIZIA CHIPS</t>
  </si>
  <si>
    <t>943-PAL--IPAN-2020</t>
  </si>
  <si>
    <t>944</t>
  </si>
  <si>
    <t>IT00120COC00613</t>
  </si>
  <si>
    <t>NOVAWOOD</t>
  </si>
  <si>
    <t>944-SERA ENERGIES--NOVAWOOD-2020</t>
  </si>
  <si>
    <t>945</t>
  </si>
  <si>
    <t>IT00120COC00269</t>
  </si>
  <si>
    <t xml:space="preserve">CITADEL </t>
  </si>
  <si>
    <t>DUBAI</t>
  </si>
  <si>
    <t>MDF 1  CONVEYORS</t>
  </si>
  <si>
    <t>945-CITADEL -DUBAI-MDF 1  CONVEYORS-2020</t>
  </si>
  <si>
    <t>946</t>
  </si>
  <si>
    <t>IT00120COC00424</t>
  </si>
  <si>
    <t>KRONOSPAN LLC</t>
  </si>
  <si>
    <t>POS. 24.100 TKK OVERSIZE</t>
  </si>
  <si>
    <t>946-KRONOSPAN LLC-KRONOSPAN-ELEKTROGORSK-2020</t>
  </si>
  <si>
    <t>947</t>
  </si>
  <si>
    <t>IT00120COC00443</t>
  </si>
  <si>
    <t>KRONOSPAN AUXERRE</t>
  </si>
  <si>
    <t>947-INSTALMEC-KRONOSPAN-KRONOSPAN AUXERRE-2020</t>
  </si>
  <si>
    <t>948</t>
  </si>
  <si>
    <t>IT00120COC00434</t>
  </si>
  <si>
    <t>PRE CRUSH BELTS</t>
  </si>
  <si>
    <t>completato</t>
  </si>
  <si>
    <t>948-KASTAMONU --POMPOSA-2020</t>
  </si>
  <si>
    <t>949</t>
  </si>
  <si>
    <t>IT00120COC00559</t>
  </si>
  <si>
    <t>VARMEVARDEN</t>
  </si>
  <si>
    <t>STEEL PLATE CONVEYOR (VULCAN)</t>
  </si>
  <si>
    <t>PROGETTO IN CONDIVISIONE CON TRM X</t>
  </si>
  <si>
    <t>949-VYNCKE--VARMEVARDEN-2020</t>
  </si>
  <si>
    <t>950</t>
  </si>
  <si>
    <t>IT00120COC00619</t>
  </si>
  <si>
    <t>GIM EXPORT Gmbh</t>
  </si>
  <si>
    <t>KRONOSPAN RIVNE</t>
  </si>
  <si>
    <t>BOILER PLANT BIOMASS INFEED SYSTEM</t>
  </si>
  <si>
    <t>950-GIM EXPORT Gmbh-KRONOSPAN-KRONOSPAN RIVNE-2020</t>
  </si>
  <si>
    <t>951</t>
  </si>
  <si>
    <t>IT00120COC00482</t>
  </si>
  <si>
    <t>SIAM PAPER LAMINATES</t>
  </si>
  <si>
    <t>SIAM PAPER</t>
  </si>
  <si>
    <t>JOB NR.: AZ1218-I</t>
  </si>
  <si>
    <t>951-SIAM PAPER LAMINATES--SIAM PAPER-2020</t>
  </si>
  <si>
    <t>952</t>
  </si>
  <si>
    <t>IT00120COC00527</t>
  </si>
  <si>
    <t>AUXERRE ASH SCREW</t>
  </si>
  <si>
    <t>952-KRONOSPAN--AUXERRE ASH SCREW-2020</t>
  </si>
  <si>
    <t>953</t>
  </si>
  <si>
    <t>IT00120COC00535</t>
  </si>
  <si>
    <t>COCLEE CENERI PER CONTO DI TRM CHN</t>
  </si>
  <si>
    <t>953-VYNCKE---2020</t>
  </si>
  <si>
    <t>954</t>
  </si>
  <si>
    <t>IT00120COC00554</t>
  </si>
  <si>
    <t>OSKO</t>
  </si>
  <si>
    <t>954-IMAL--OSKO-2020</t>
  </si>
  <si>
    <t>955</t>
  </si>
  <si>
    <t>IT00120COC00564</t>
  </si>
  <si>
    <t>955-TECHNIC ONE--USA-2020</t>
  </si>
  <si>
    <t>956</t>
  </si>
  <si>
    <t>IT00120COC00580</t>
  </si>
  <si>
    <t>956-CONTIPLUS LIMITED-KRONOSPAN-ELEKTROGORSK-2020</t>
  </si>
  <si>
    <t>957</t>
  </si>
  <si>
    <t>IT00120COC00579</t>
  </si>
  <si>
    <t>KRONOSPAN OSB</t>
  </si>
  <si>
    <t>KARL 3 STRZELCE</t>
  </si>
  <si>
    <t>SERRANDA ON/OFF PER TKK80PNZ POS.20.560</t>
  </si>
  <si>
    <t>957-KRONOSPAN OSB-KRONOSPAN-KARL 3 STRZELCE-2020</t>
  </si>
  <si>
    <t>958</t>
  </si>
  <si>
    <t>IT00120COC00593</t>
  </si>
  <si>
    <t>RENOVO</t>
  </si>
  <si>
    <t>BIOEDIL</t>
  </si>
  <si>
    <t>958-IMAL-RENOVO-BIOEDIL-2020</t>
  </si>
  <si>
    <t>959</t>
  </si>
  <si>
    <t>IT00120COC00581</t>
  </si>
  <si>
    <t>959-KRONOSPAN--SALAS-2020</t>
  </si>
  <si>
    <t>960</t>
  </si>
  <si>
    <t>IT00120COC00612</t>
  </si>
  <si>
    <t>SEPARATORE ACQUA INSTALMEC</t>
  </si>
  <si>
    <t>960-KASTAMONU--POMPOSA-2020</t>
  </si>
  <si>
    <t>961</t>
  </si>
  <si>
    <t>IT00120COC00632</t>
  </si>
  <si>
    <t>OLAM KOOG AAN DE ZAAN</t>
  </si>
  <si>
    <t>961-VYNCKE-OLAM KOOG AAN DE ZAAN--2020</t>
  </si>
  <si>
    <t>962</t>
  </si>
  <si>
    <t>IT00120COC00636</t>
  </si>
  <si>
    <t>CITADEL TRADING DUBAI</t>
  </si>
  <si>
    <t>962-VYNCKE-CITADEL TRADING DUBAI--2020</t>
  </si>
  <si>
    <t>963</t>
  </si>
  <si>
    <t>IT00120COC00633</t>
  </si>
  <si>
    <t>FLAP</t>
  </si>
  <si>
    <t>963-KRONOSPAN--EGORIEVSK-2020</t>
  </si>
  <si>
    <t>964</t>
  </si>
  <si>
    <t>IT00120COC00634</t>
  </si>
  <si>
    <t>PIET RETIEF-NEW DRYER</t>
  </si>
  <si>
    <t>NEW DRYER</t>
  </si>
  <si>
    <t>964-PG BISON--PIET RETIEF-NEW DRYER-2020</t>
  </si>
  <si>
    <t>965</t>
  </si>
  <si>
    <t>IT00120COC00660</t>
  </si>
  <si>
    <t>BIOSYL</t>
  </si>
  <si>
    <t>965-BIOSYL--BIOSYL-2020</t>
  </si>
  <si>
    <t>966</t>
  </si>
  <si>
    <t>IT00120COC00739</t>
  </si>
  <si>
    <t>XILO TECHNOLOGIES</t>
  </si>
  <si>
    <t>MODIFICA MACCHINE ESISTENTI</t>
  </si>
  <si>
    <t>966-XILO TECHNOLOGIES--KRONOSPAN UFA-2020</t>
  </si>
  <si>
    <t>967</t>
  </si>
  <si>
    <t>IT00120COC00645</t>
  </si>
  <si>
    <t>KAINDL</t>
  </si>
  <si>
    <t>INIETTORE RICAMBIO MATR. 2955/96</t>
  </si>
  <si>
    <t>967-KAINDL--KAINDL-2020</t>
  </si>
  <si>
    <t>968</t>
  </si>
  <si>
    <t>IT00120COC00657</t>
  </si>
  <si>
    <t>GRIGOLIN SILI</t>
  </si>
  <si>
    <t>968-PAL--GRIGOLIN SILI-2020</t>
  </si>
  <si>
    <t>969</t>
  </si>
  <si>
    <t>IT00120COC00667</t>
  </si>
  <si>
    <t>KB Sp. Zoo.</t>
  </si>
  <si>
    <t>N°2 TB500</t>
  </si>
  <si>
    <t>969-KB Sp. Zoo.-KRONOSPAN-SZCZECINEK-2020</t>
  </si>
  <si>
    <t>970</t>
  </si>
  <si>
    <t>IT00120COC00694</t>
  </si>
  <si>
    <t>NILE WOOD EKH</t>
  </si>
  <si>
    <t>MDF (STEP1)</t>
  </si>
  <si>
    <t>EGYPT</t>
  </si>
  <si>
    <t>970-DIEFFENBACHER--NILE WOOD EKH-2021</t>
  </si>
  <si>
    <t>IT00121COC00043</t>
  </si>
  <si>
    <t>COCLEA (STEP1)</t>
  </si>
  <si>
    <t>IT00121COC00298</t>
  </si>
  <si>
    <t>RECY (STEP2)</t>
  </si>
  <si>
    <t>IT00121COC00313</t>
  </si>
  <si>
    <t>COCLEA (BA0871)</t>
  </si>
  <si>
    <t>IT00121COC01012</t>
  </si>
  <si>
    <t>COCLEE E CLAPPA (STEP3)</t>
  </si>
  <si>
    <t>971</t>
  </si>
  <si>
    <t>IT00120COC00710</t>
  </si>
  <si>
    <t>IJSBEER</t>
  </si>
  <si>
    <t>971-IMAL--IJSBEER-2020</t>
  </si>
  <si>
    <t>972</t>
  </si>
  <si>
    <t>IT00120COC00770</t>
  </si>
  <si>
    <t>STRZELCE OSB</t>
  </si>
  <si>
    <t>972-KRONOSPAN-KRONOSPAN-STRZELCE OSB-2020</t>
  </si>
  <si>
    <t>973</t>
  </si>
  <si>
    <t>IT00120COC00791</t>
  </si>
  <si>
    <t>GRUPO LOSAN</t>
  </si>
  <si>
    <t>LOSAN CUENCA</t>
  </si>
  <si>
    <t>973-PAL-GRUPO LOSAN-LOSAN CUENCA-2020</t>
  </si>
  <si>
    <t>974</t>
  </si>
  <si>
    <t>IT00120COC00809</t>
  </si>
  <si>
    <t>COCLEA VERTICALE + INIETTRICE</t>
  </si>
  <si>
    <t>974-TECHNIC ONE---2020</t>
  </si>
  <si>
    <t>975</t>
  </si>
  <si>
    <t>IT00120COC00815</t>
  </si>
  <si>
    <t>COCLEA VERTICALE RICAMBIO</t>
  </si>
  <si>
    <t>975-KRONOSPAN-SEBES--2020</t>
  </si>
  <si>
    <t>976</t>
  </si>
  <si>
    <t>IT00120COC00835</t>
  </si>
  <si>
    <t>TK19V</t>
  </si>
  <si>
    <t>976-FALCO Zrt-KRONOSPAN-FALCO -2020</t>
  </si>
  <si>
    <t>977</t>
  </si>
  <si>
    <t>IT00120COC00848</t>
  </si>
  <si>
    <t>FRATI - BIPAN - PANTEC</t>
  </si>
  <si>
    <t>30/04-28/07/2021</t>
  </si>
  <si>
    <t>977-CMP--FRATI - BIPAN - PANTEC-2021</t>
  </si>
  <si>
    <t>IT00121COC00417</t>
  </si>
  <si>
    <t>N°1  SCREW FOR MDF FIBER</t>
  </si>
  <si>
    <t>IT00121COC00635</t>
  </si>
  <si>
    <t>978</t>
  </si>
  <si>
    <t>IT00120COC00841</t>
  </si>
  <si>
    <t>FENGLIN CHINA</t>
  </si>
  <si>
    <t>FORMING STATION</t>
  </si>
  <si>
    <t>CHINA</t>
  </si>
  <si>
    <t>978-DIEFFENBACHER-FENGLIN CHINA--2020</t>
  </si>
  <si>
    <t>979</t>
  </si>
  <si>
    <t>IT00121COC00009</t>
  </si>
  <si>
    <t>NONE</t>
  </si>
  <si>
    <t>979-PAL-ARBAFLAME-BLACK PELLET -2021</t>
  </si>
  <si>
    <t>980</t>
  </si>
  <si>
    <t>IT00121COC00017</t>
  </si>
  <si>
    <t>HEXHAM</t>
  </si>
  <si>
    <t>980-EGGER--HEXHAM-2021</t>
  </si>
  <si>
    <t>981</t>
  </si>
  <si>
    <t>IT00121COC00038</t>
  </si>
  <si>
    <t>AMPLIAMENTO MULINI A MARTELLI</t>
  </si>
  <si>
    <t>10/03/2021-10/07/2021</t>
  </si>
  <si>
    <t>981-SAIB S.P.A.-SAIB-FOSSADELLO DI CAORSO-2021</t>
  </si>
  <si>
    <t>IT00121COC00039</t>
  </si>
  <si>
    <t>IT00121COC00040</t>
  </si>
  <si>
    <t>982</t>
  </si>
  <si>
    <t>IT00121COC00051</t>
  </si>
  <si>
    <t>n°2 COCLEE DI TRASPORTO</t>
  </si>
  <si>
    <t>982-KRONOSPAN--BURGOS-2021</t>
  </si>
  <si>
    <t>IT00121COC00057</t>
  </si>
  <si>
    <t>n°2 COCLEE TUBOLARI</t>
  </si>
  <si>
    <t>983</t>
  </si>
  <si>
    <t>IT00121COC00077</t>
  </si>
  <si>
    <t>OBERON</t>
  </si>
  <si>
    <t>ALIMENTAZIONE CALDAIA , TUBOLARI PER MDF, VARIE</t>
  </si>
  <si>
    <t>983-BORG-BORG-OBERON-2021</t>
  </si>
  <si>
    <t>984</t>
  </si>
  <si>
    <t>IT00121COC00088</t>
  </si>
  <si>
    <t>984-PG BISON--PIET RETIEF-2021</t>
  </si>
  <si>
    <t>IT00121COC00089</t>
  </si>
  <si>
    <t>IT00121COC00090</t>
  </si>
  <si>
    <t>IT00121COC00091</t>
  </si>
  <si>
    <t>IT00121COC00092</t>
  </si>
  <si>
    <t>IT00121COC00093</t>
  </si>
  <si>
    <t>IT00121COC00094</t>
  </si>
  <si>
    <t>IT00121COC00596</t>
  </si>
  <si>
    <t>985</t>
  </si>
  <si>
    <t>IT00121COC00096</t>
  </si>
  <si>
    <t>N°3 TK15</t>
  </si>
  <si>
    <t>985-KRONOSPAN--SALAS-2021</t>
  </si>
  <si>
    <t>IT00121COC00117</t>
  </si>
  <si>
    <t>SEPARATORE A DISCHI</t>
  </si>
  <si>
    <t>IT00121COC00134</t>
  </si>
  <si>
    <t>N°2 TK25</t>
  </si>
  <si>
    <t>IT00121COC00151</t>
  </si>
  <si>
    <t>N°1TKK30</t>
  </si>
  <si>
    <t>IT00121COC00169</t>
  </si>
  <si>
    <t>N° 2 SCREWS</t>
  </si>
  <si>
    <t>IT00121COC00434</t>
  </si>
  <si>
    <t>N° 1 SCREW</t>
  </si>
  <si>
    <t>IT00121COC01187</t>
  </si>
  <si>
    <t>N°1 TN1000LT</t>
  </si>
  <si>
    <t>986</t>
  </si>
  <si>
    <t>IT00121COC00095</t>
  </si>
  <si>
    <t>986-INSTALMEC-KRONOSPAN-ELEKTROGORSK-2021</t>
  </si>
  <si>
    <t>987</t>
  </si>
  <si>
    <t>IT00121COC00107</t>
  </si>
  <si>
    <t>TARIMAS</t>
  </si>
  <si>
    <t>COSTARICA</t>
  </si>
  <si>
    <t>987-IMAL--TARIMAS-2021</t>
  </si>
  <si>
    <t>988</t>
  </si>
  <si>
    <t>IT00121COC00106</t>
  </si>
  <si>
    <t>IJSBEER PALLET BLOCK</t>
  </si>
  <si>
    <t>988-IMAL--IJSBEER PALLET BLOCK-2021</t>
  </si>
  <si>
    <t>989</t>
  </si>
  <si>
    <t>IT00121COC00110</t>
  </si>
  <si>
    <t>TOMSK</t>
  </si>
  <si>
    <t>989-IMAL--TOMSK-2021</t>
  </si>
  <si>
    <t>990</t>
  </si>
  <si>
    <t>IT00121COC00153</t>
  </si>
  <si>
    <t>ARCELOR MITTAL</t>
  </si>
  <si>
    <t>ARCELOR MITTAL GENT</t>
  </si>
  <si>
    <t>INGEGNERIA</t>
  </si>
  <si>
    <t>990-PAL-ARCELOR MITTAL-ARCELOR MITTAL GENT-2021</t>
  </si>
  <si>
    <t>IT00121COC00822</t>
  </si>
  <si>
    <t>991</t>
  </si>
  <si>
    <t>IT00121COC00152</t>
  </si>
  <si>
    <t>N°1 SLIDING GATE</t>
  </si>
  <si>
    <t>991-KRONOSPAN--NOVOVOLYNSK-2021</t>
  </si>
  <si>
    <t>992</t>
  </si>
  <si>
    <t>IT00121COC00150</t>
  </si>
  <si>
    <t>ENGIE COMPIEGNE</t>
  </si>
  <si>
    <t>992-SERA ENERGIES--ENGIE COMPIEGNE-2021</t>
  </si>
  <si>
    <t>993</t>
  </si>
  <si>
    <t>IT00121COC00168</t>
  </si>
  <si>
    <t>N°1 COCLEA D650</t>
  </si>
  <si>
    <t>993-KRONOSPAN--BJELOVAR-2021</t>
  </si>
  <si>
    <t>IT00121COC00660</t>
  </si>
  <si>
    <t>2TB + 2 TKK BRZ</t>
  </si>
  <si>
    <t>994</t>
  </si>
  <si>
    <t>IT00121COC00170</t>
  </si>
  <si>
    <t>IJSBEER CARICO CALDAIA</t>
  </si>
  <si>
    <t>30/03-02/05/22</t>
  </si>
  <si>
    <t>994-IMAL--IJSBEER CARICO CALDAIA-2021</t>
  </si>
  <si>
    <t>995</t>
  </si>
  <si>
    <t>IT00121COC00171</t>
  </si>
  <si>
    <t>ODEK</t>
  </si>
  <si>
    <t>995-VYNCKE-ODEK-ODEK-2021</t>
  </si>
  <si>
    <t>996</t>
  </si>
  <si>
    <t>IT00121COC00403</t>
  </si>
  <si>
    <t>HOMANIT</t>
  </si>
  <si>
    <t>LITHUANIA</t>
  </si>
  <si>
    <t>996-DIEFFENBACHER--HOMANIT-2021</t>
  </si>
  <si>
    <t>IT00121COC00530</t>
  </si>
  <si>
    <t>IT00121COC00661</t>
  </si>
  <si>
    <t>TN1000</t>
  </si>
  <si>
    <t>997</t>
  </si>
  <si>
    <t>IT00121COC00320</t>
  </si>
  <si>
    <t>IDEX</t>
  </si>
  <si>
    <t>GUYANA</t>
  </si>
  <si>
    <t>997-SERA ENERGIES--IDEX-2021</t>
  </si>
  <si>
    <t>998</t>
  </si>
  <si>
    <t>IT00121COC00202</t>
  </si>
  <si>
    <t>AUXERRE</t>
  </si>
  <si>
    <t>Coclea costr. Cliente</t>
  </si>
  <si>
    <t>998-INSTALMEC-KRONOSPAN-AUXERRE-2021</t>
  </si>
  <si>
    <t>999</t>
  </si>
  <si>
    <t>IT00121COC00239</t>
  </si>
  <si>
    <t>999-IPAN-IPAN--2021</t>
  </si>
  <si>
    <t>1000</t>
  </si>
  <si>
    <t>IT00121COC00701</t>
  </si>
  <si>
    <t>SAICA</t>
  </si>
  <si>
    <t>1000-SERA ENERGIES--SAICA-2021</t>
  </si>
  <si>
    <t>1001</t>
  </si>
  <si>
    <t>IT00121COC00307</t>
  </si>
  <si>
    <t>1001-IMAL-TABLEROS HISPANOS-TABLEROS HISPANOS-2021</t>
  </si>
  <si>
    <t>IT00121COC00547</t>
  </si>
  <si>
    <t>SERRANDA AGGIUNTIVA</t>
  </si>
  <si>
    <t>1002</t>
  </si>
  <si>
    <t>IT00121COC00312</t>
  </si>
  <si>
    <t>ORIS2-OSB LINE-RIVNE</t>
  </si>
  <si>
    <t>EX - PROJECT 889 OBARIV OSB2</t>
  </si>
  <si>
    <t>1002-GIM EXPORT GROUP-KRONOSPAN-ORIS2-OSB LINE-RIVNE-2021</t>
  </si>
  <si>
    <t>1003</t>
  </si>
  <si>
    <t>IT00121COC00349</t>
  </si>
  <si>
    <t>CEATEC ENGINEERING GMBH</t>
  </si>
  <si>
    <t>MOFA</t>
  </si>
  <si>
    <t>1003-CEATEC ENGINEERING GMBH-KRONOSPAN-MOFA-2021</t>
  </si>
  <si>
    <t>1004</t>
  </si>
  <si>
    <t>IT00121COC00375</t>
  </si>
  <si>
    <t>N°1 TK40 HP</t>
  </si>
  <si>
    <t>1004-EGGER--ROMANIA-2021</t>
  </si>
  <si>
    <t>1005</t>
  </si>
  <si>
    <t>IT00121COC00385</t>
  </si>
  <si>
    <t>KRONOSPAN LUX</t>
  </si>
  <si>
    <t>INSTALLAZIONE STRANDER 3</t>
  </si>
  <si>
    <t>1005-KRONOSPAN LUX-KRONOSPAN-SANEM-2021</t>
  </si>
  <si>
    <t>1006</t>
  </si>
  <si>
    <t>Fornitura completa Instalmec</t>
  </si>
  <si>
    <t>KASTAMONU ITALIA</t>
  </si>
  <si>
    <t>FALCO WATERPIT SYSTEM</t>
  </si>
  <si>
    <t>TKK1050WSE</t>
  </si>
  <si>
    <t>1006-KASTAMONU ITALIA--FALCO WATERPIT SYSTEM-2021</t>
  </si>
  <si>
    <t>1007</t>
  </si>
  <si>
    <t>IT00121COC00395</t>
  </si>
  <si>
    <t xml:space="preserve">FINANCIERA MADERERA S.A. </t>
  </si>
  <si>
    <t>CELLA</t>
  </si>
  <si>
    <t>N°1 TK40PNZ</t>
  </si>
  <si>
    <t>1007-FINANCIERA MADERERA S.A. --CELLA-2021</t>
  </si>
  <si>
    <t>1008</t>
  </si>
  <si>
    <t>IT00121COC00389</t>
  </si>
  <si>
    <t>1008-CMP--IMPIANTO FRATI-2021</t>
  </si>
  <si>
    <t>1009</t>
  </si>
  <si>
    <t>IT00121SPO00333R00</t>
  </si>
  <si>
    <t>PULITORI PER NASTRI PREESISTENTE</t>
  </si>
  <si>
    <t>1009-FANTONI--OSOPPO-2021</t>
  </si>
  <si>
    <t>KIT TRASLAZIONE PER NASTRO SOPRA SILOS</t>
  </si>
  <si>
    <t>1010</t>
  </si>
  <si>
    <t>IT00121COC00463</t>
  </si>
  <si>
    <t>1010-KRONOSPAN--SANDEBECK-2021</t>
  </si>
  <si>
    <t>1011</t>
  </si>
  <si>
    <t>IT00121COC00471</t>
  </si>
  <si>
    <t>ARCHIBLOCK</t>
  </si>
  <si>
    <t>1011-IMAL--ARCHIBLOCK-2021</t>
  </si>
  <si>
    <t>1012</t>
  </si>
  <si>
    <t>IT00121COC00474</t>
  </si>
  <si>
    <t xml:space="preserve">METRO PARTICLE </t>
  </si>
  <si>
    <t>METRO</t>
  </si>
  <si>
    <t>PB4</t>
  </si>
  <si>
    <t>ORDINE TRM ITALY</t>
  </si>
  <si>
    <t>1012-METRO PARTICLE -METRO-PB4-2021</t>
  </si>
  <si>
    <t>OC21CS-0009035</t>
  </si>
  <si>
    <t>ORDINE TRM CHINA</t>
  </si>
  <si>
    <t>OC21CS-0009033</t>
  </si>
  <si>
    <t>ORDINE TRM CHINA- TK DRIER CICLONI</t>
  </si>
  <si>
    <t>OC21CS-0009051</t>
  </si>
  <si>
    <t>ORDINE TRM CHINA- CLAPPE</t>
  </si>
  <si>
    <t>OC21CS-0009039</t>
  </si>
  <si>
    <t>ORDINE TRM CHINA- COCLEE CENERI</t>
  </si>
  <si>
    <t>1013</t>
  </si>
  <si>
    <t>IT00121COC00476</t>
  </si>
  <si>
    <t>METRO MDF</t>
  </si>
  <si>
    <t>MDF2</t>
  </si>
  <si>
    <t>1013-METRO MDF-METRO-MDF2-2021</t>
  </si>
  <si>
    <t>OCS21CS-0009036</t>
  </si>
  <si>
    <t>1014</t>
  </si>
  <si>
    <t>IT00121COC00489</t>
  </si>
  <si>
    <t>1014-CONTIPLUS LIMITED-KRONOSPAN-KALUGA-2021</t>
  </si>
  <si>
    <t>1015</t>
  </si>
  <si>
    <t>IT00121COC00492</t>
  </si>
  <si>
    <t>SLIDING GATES</t>
  </si>
  <si>
    <t>1015-EGGER--COLUMBUS-2021</t>
  </si>
  <si>
    <t>1016</t>
  </si>
  <si>
    <t>IT00121COC00490</t>
  </si>
  <si>
    <t>DOSING BUNKER</t>
  </si>
  <si>
    <t>1016-BERSEY--STARWOOD-2021</t>
  </si>
  <si>
    <t>IT00121COC00771</t>
  </si>
  <si>
    <t>DOSING BUNKER (one more)</t>
  </si>
  <si>
    <t>1017</t>
  </si>
  <si>
    <t>IT00121COC00545</t>
  </si>
  <si>
    <t>ZIEGLER</t>
  </si>
  <si>
    <t>1017-DIEFFENBACHER--ZIEGLER-2021</t>
  </si>
  <si>
    <t>1018</t>
  </si>
  <si>
    <t>IT00121COC00543</t>
  </si>
  <si>
    <t>Brugnoli/Longari</t>
  </si>
  <si>
    <t>1018-CONTIPLUS LTD MALTA-KRONOSPAN-RIGA-2021</t>
  </si>
  <si>
    <t>1019</t>
  </si>
  <si>
    <t>IT00121COC00531</t>
  </si>
  <si>
    <t>SWISS KRONO sp. z o.o.</t>
  </si>
  <si>
    <t>1019-SWISS KRONO--SWISS KRONO sp. z o.o.-2021</t>
  </si>
  <si>
    <t>1020</t>
  </si>
  <si>
    <t>IT00121COC00551</t>
  </si>
  <si>
    <t>1020-KRONOSPAN POLSKA--SZCZECINEK-2021</t>
  </si>
  <si>
    <t>1021</t>
  </si>
  <si>
    <t>IT00121COC00597</t>
  </si>
  <si>
    <t>EIREBLOCK LTD</t>
  </si>
  <si>
    <t>1021-IMAL--EIREBLOCK LTD-2021</t>
  </si>
  <si>
    <t>1022</t>
  </si>
  <si>
    <t>IT00121COC00590</t>
  </si>
  <si>
    <t>MERINO</t>
  </si>
  <si>
    <t>1022-DIEFFENBACHER-MERINO-FORMING STATION-2021</t>
  </si>
  <si>
    <t>1023</t>
  </si>
  <si>
    <t>IT00121COC00658</t>
  </si>
  <si>
    <t>1023-KRONOSPAN--LAPOVO-2021</t>
  </si>
  <si>
    <t>IT00121COC00779</t>
  </si>
  <si>
    <t>IT00121COC00893</t>
  </si>
  <si>
    <t>1024</t>
  </si>
  <si>
    <t>IT00121COC00702</t>
  </si>
  <si>
    <t>OSB LINE-RIVNE</t>
  </si>
  <si>
    <t>1024-GIM EXPORT GROUP-KRONOSPAN-OSB LINE-RIVNE-2021</t>
  </si>
  <si>
    <t>1025</t>
  </si>
  <si>
    <t>IT00121COC00691</t>
  </si>
  <si>
    <t>BOILER INFEED-BORMANN 2 - SECOND PUSH FLOOR</t>
  </si>
  <si>
    <t>1025-KRONOSPAN--SZCZECINEK-2021</t>
  </si>
  <si>
    <t>1026</t>
  </si>
  <si>
    <t>IT00121COC00694</t>
  </si>
  <si>
    <t>CMC</t>
  </si>
  <si>
    <t>1026-CMC--LOMBARDO-2021</t>
  </si>
  <si>
    <t>1027</t>
  </si>
  <si>
    <t>IT00121COC00739</t>
  </si>
  <si>
    <t>1027-SAIB S.P.A.--FOSSADELLO DI CAORSO-2021</t>
  </si>
  <si>
    <t>1028</t>
  </si>
  <si>
    <t>IT00121COC00737</t>
  </si>
  <si>
    <t>1028-PAL-GRUPO LOSAN-LOSAN CUENCA-2021</t>
  </si>
  <si>
    <t>1029</t>
  </si>
  <si>
    <t>IT00121COC00766</t>
  </si>
  <si>
    <t>ALBIOMA PELLET</t>
  </si>
  <si>
    <t>LA REUNION</t>
  </si>
  <si>
    <t>1029-SERA ENERGIES--ALBIOMA PELLET-2022</t>
  </si>
  <si>
    <t>IT00121COC00522</t>
  </si>
  <si>
    <t>SLIDING GATE</t>
  </si>
  <si>
    <t>1030</t>
  </si>
  <si>
    <t>IT00121COC00763</t>
  </si>
  <si>
    <t>KRASNI YAKOR</t>
  </si>
  <si>
    <t>BOILER BIOMASS INFEED SYSTEM TKK WCH</t>
  </si>
  <si>
    <t>1030-BERSEY--KRASNI YAKOR-2021</t>
  </si>
  <si>
    <t>1031</t>
  </si>
  <si>
    <t>IT00121COC00820</t>
  </si>
  <si>
    <t>UNTHA B7</t>
  </si>
  <si>
    <t>1031-KRONOSPAN--BURGOS-2021</t>
  </si>
  <si>
    <t>IT00121COC00821</t>
  </si>
  <si>
    <t>UNTHA C9</t>
  </si>
  <si>
    <t>1032</t>
  </si>
  <si>
    <t>IT00121COC00813</t>
  </si>
  <si>
    <t>ALIMENTAZIONE VAGLI</t>
  </si>
  <si>
    <t>1032-INSTALMEC-KRONOSPAN-ALABAMA-2021</t>
  </si>
  <si>
    <t>1034</t>
  </si>
  <si>
    <t>IT00121COC00859</t>
  </si>
  <si>
    <t>1034-EGGER--BISKUPIEC-2021</t>
  </si>
  <si>
    <t>1035</t>
  </si>
  <si>
    <t>IT00121COC00816</t>
  </si>
  <si>
    <t>CARICO/SCARICO NUOVO ESSICCATOIO</t>
  </si>
  <si>
    <t>1035-FINANCIERA MADERERA S.A. --CELLA-2021</t>
  </si>
  <si>
    <t>1036</t>
  </si>
  <si>
    <t>IT00121COC00838</t>
  </si>
  <si>
    <t>1036-PAL-NORBORD-INVERNESS OSB-2021</t>
  </si>
  <si>
    <t>1037</t>
  </si>
  <si>
    <t>IT00121COC00882</t>
  </si>
  <si>
    <t>KALUGA PB</t>
  </si>
  <si>
    <t>AREA 14 WET CHIPS</t>
  </si>
  <si>
    <t>1037-CONTIPLUS LIMITED-KRONOSPAN-KALUGA PB-2021</t>
  </si>
  <si>
    <t>IT00121COC00883</t>
  </si>
  <si>
    <t>AREA 15 FLAKERS</t>
  </si>
  <si>
    <t>1038</t>
  </si>
  <si>
    <t>IT00121COC00888</t>
  </si>
  <si>
    <t>PB820</t>
  </si>
  <si>
    <t>1038-DIEFFENBACHER-MERINO-PB820-2021</t>
  </si>
  <si>
    <t>1039</t>
  </si>
  <si>
    <t>IT00121COC00898</t>
  </si>
  <si>
    <t>1039-IMAL--MERINO-2021</t>
  </si>
  <si>
    <t>1040</t>
  </si>
  <si>
    <t>IT00121COC00934</t>
  </si>
  <si>
    <t>GAGARIN</t>
  </si>
  <si>
    <t>SOLO INGEGNERIA</t>
  </si>
  <si>
    <t>1040-DIEFFENBACHER-EGGER-GAGARIN-2021</t>
  </si>
  <si>
    <t>1041</t>
  </si>
  <si>
    <t>IT00121COC00954</t>
  </si>
  <si>
    <t>LEXINGTON</t>
  </si>
  <si>
    <t>1041-EGGER--LEXINGTON-2021</t>
  </si>
  <si>
    <t>1042</t>
  </si>
  <si>
    <t>IT00121COC00987</t>
  </si>
  <si>
    <t>1042-CMP---2022</t>
  </si>
  <si>
    <t>IT00122COC00236</t>
  </si>
  <si>
    <t>1043</t>
  </si>
  <si>
    <t>IT00121COC01005</t>
  </si>
  <si>
    <t>METRO THAI</t>
  </si>
  <si>
    <t>1043-PAL-METRO THAI-PB4-2021</t>
  </si>
  <si>
    <t>1044</t>
  </si>
  <si>
    <t>IT00121COC01016</t>
  </si>
  <si>
    <t>1044-EGGER--BISKUPIEC-2021</t>
  </si>
  <si>
    <t>1045</t>
  </si>
  <si>
    <t>IT00121COC01035</t>
  </si>
  <si>
    <t>NASTRO LT</t>
  </si>
  <si>
    <t>1045-FANTONI-NASTRO CAPANNE-OSOPPO-2021</t>
  </si>
  <si>
    <t>1046</t>
  </si>
  <si>
    <t>IT00121COC01080</t>
  </si>
  <si>
    <t>SLIDING FATE FOR tk40" FOR AG1166C-R004017</t>
  </si>
  <si>
    <t>1046-PG BISON--NEW PB PLANT-2021</t>
  </si>
  <si>
    <t>1047</t>
  </si>
  <si>
    <t>IT00121COC01068</t>
  </si>
  <si>
    <t>1047-PAL--LINEX PANNEAUX-2021</t>
  </si>
  <si>
    <t>1048</t>
  </si>
  <si>
    <t>IT00121COC01071</t>
  </si>
  <si>
    <t>GREENPLY</t>
  </si>
  <si>
    <t>BAAHU PANELS</t>
  </si>
  <si>
    <t>VENDITA TRM ITY</t>
  </si>
  <si>
    <t>1048-GREENPLY--BAAHU PANELS-2021</t>
  </si>
  <si>
    <t>VENDITA TRM CHN</t>
  </si>
  <si>
    <t>1049</t>
  </si>
  <si>
    <t>IT00121COC01077</t>
  </si>
  <si>
    <t>BERNECK</t>
  </si>
  <si>
    <t>1049-PAL--BERNECK-2021</t>
  </si>
  <si>
    <t>IT00122COC00576</t>
  </si>
  <si>
    <t>1050</t>
  </si>
  <si>
    <t>IT00121COC01110</t>
  </si>
  <si>
    <t>ASM IREN</t>
  </si>
  <si>
    <t>VERCELLI</t>
  </si>
  <si>
    <t>1050-IMAL-ASM IREN-VERCELLI-2021</t>
  </si>
  <si>
    <t>1051</t>
  </si>
  <si>
    <t>IT00121COC01072</t>
  </si>
  <si>
    <t>TABLEROS HISPANOS SLU</t>
  </si>
  <si>
    <t>AUMENTO CAPACITA</t>
  </si>
  <si>
    <t>1051-TABLEROS HISPANOS--TABLEROS HISPANOS-2022</t>
  </si>
  <si>
    <t>IT00122COC00222</t>
  </si>
  <si>
    <t>1052</t>
  </si>
  <si>
    <t>IT00122COC00134</t>
  </si>
  <si>
    <t>SAUERLAND SPANPLATTENWERK</t>
  </si>
  <si>
    <t>GOTHA</t>
  </si>
  <si>
    <t>1052-SAUERLAND SPANPLATTENWERK--GOTHA-2022</t>
  </si>
  <si>
    <t>1053</t>
  </si>
  <si>
    <t>IT00121COC01090</t>
  </si>
  <si>
    <t>SMORGON</t>
  </si>
  <si>
    <t>1053-KRONOSPAN--SMORGON-2021</t>
  </si>
  <si>
    <t>1054</t>
  </si>
  <si>
    <t>IT00121COC01119</t>
  </si>
  <si>
    <t>NEVZOROV KURGANLES</t>
  </si>
  <si>
    <t>PRE-INGEGNERIA</t>
  </si>
  <si>
    <t>1054-IMAL--NEVZOROV KURGANLES-2021</t>
  </si>
  <si>
    <t>1055</t>
  </si>
  <si>
    <t>IT00121COC01130</t>
  </si>
  <si>
    <t>UNEMSA</t>
  </si>
  <si>
    <t>1055-PAL--UNEMSA-2021</t>
  </si>
  <si>
    <t>IT00122COC00239</t>
  </si>
  <si>
    <t>Annullato</t>
  </si>
  <si>
    <t>1056</t>
  </si>
  <si>
    <t>IT00121COC01159</t>
  </si>
  <si>
    <t>SPER ENNA</t>
  </si>
  <si>
    <t>1056-SPER ENNA---2021</t>
  </si>
  <si>
    <t>1057</t>
  </si>
  <si>
    <t>IT00121COC01160</t>
  </si>
  <si>
    <t>SERATEC EOOD</t>
  </si>
  <si>
    <t>KRONOSPAN TORTOSA</t>
  </si>
  <si>
    <t>IB02</t>
  </si>
  <si>
    <t>800.01 BOILER INFEED</t>
  </si>
  <si>
    <t>1057-SERATEC EOOD-KRONOSPAN TORTOSA-IB02-2021</t>
  </si>
  <si>
    <t>IT00122COC00087</t>
  </si>
  <si>
    <t>IT00122COC00772</t>
  </si>
  <si>
    <t>UNIFICAZIONE DELLE DUE CO PRECEDENTI</t>
  </si>
  <si>
    <t>1058</t>
  </si>
  <si>
    <t>IT00121COC01081</t>
  </si>
  <si>
    <t>RUSSIAMOSKOVSKAJA OBLAST</t>
  </si>
  <si>
    <t>NUOVA CLAPPA IN SOSTITUZIONE DI AF1360C-IV010174</t>
  </si>
  <si>
    <t>1058-KRONOSPAN--RUSSIAMOSKOVSKAJA OBLAST-2021</t>
  </si>
  <si>
    <t>1059</t>
  </si>
  <si>
    <t>IT00121COC01166</t>
  </si>
  <si>
    <t>1059-TECHNIC ONE-- -2021</t>
  </si>
  <si>
    <t>1060</t>
  </si>
  <si>
    <t>IT00121COC01172</t>
  </si>
  <si>
    <t>AREA DRYER</t>
  </si>
  <si>
    <t>1060-INSTALMEC-KRONOSPAN TORTOSA-IB02-2021</t>
  </si>
  <si>
    <t>1061</t>
  </si>
  <si>
    <t>IT00122COC00018</t>
  </si>
  <si>
    <t>ZARY</t>
  </si>
  <si>
    <t>1061-SWISS KRONO--ZARY-2022</t>
  </si>
  <si>
    <t>1062</t>
  </si>
  <si>
    <t>IT00122COC00012</t>
  </si>
  <si>
    <t>COCLEA VERTICALE</t>
  </si>
  <si>
    <t>1062-DIEFFENBACHER--ZIEGLER-2022</t>
  </si>
  <si>
    <t>1063</t>
  </si>
  <si>
    <t>IT00122COC00050</t>
  </si>
  <si>
    <t>1063-EGGER--LEXINGTON-2022</t>
  </si>
  <si>
    <t>IT00122COC00169</t>
  </si>
  <si>
    <t>1064</t>
  </si>
  <si>
    <t>IT00122COC00042</t>
  </si>
  <si>
    <t>WOERGL</t>
  </si>
  <si>
    <t>1064-EGGER--WOERGL-2022</t>
  </si>
  <si>
    <t>1065</t>
  </si>
  <si>
    <t>IT00122COC00056</t>
  </si>
  <si>
    <t>CF2P LURE</t>
  </si>
  <si>
    <t>1065-PAL--CF2P LURE-2022</t>
  </si>
  <si>
    <t>IT00122COC00331</t>
  </si>
  <si>
    <t>1066</t>
  </si>
  <si>
    <t>IT00122COC00085</t>
  </si>
  <si>
    <t>SMARTPLY</t>
  </si>
  <si>
    <t>1066-PAL--SMARTPLY-2022</t>
  </si>
  <si>
    <t>1067</t>
  </si>
  <si>
    <t>IT00121COC01173</t>
  </si>
  <si>
    <t>600 CLEANING TOWER</t>
  </si>
  <si>
    <t>1067-INSTALMEC-KRONOSPAN TORTOSA-IB02-2022</t>
  </si>
  <si>
    <t>1068</t>
  </si>
  <si>
    <t>IT00122COC00053</t>
  </si>
  <si>
    <t>1068-KRONOSPAN--SALAS-2022</t>
  </si>
  <si>
    <t>1069</t>
  </si>
  <si>
    <t>IT00122COC00019</t>
  </si>
  <si>
    <t>WINDSOR ENGINEERING</t>
  </si>
  <si>
    <t>WAITOA</t>
  </si>
  <si>
    <t>NEW ZEALAND</t>
  </si>
  <si>
    <t>1069-WINDSOR ENGINEERING--WAITOA-2022</t>
  </si>
  <si>
    <t>IT00122COC00380</t>
  </si>
  <si>
    <t>1070</t>
  </si>
  <si>
    <t>IT00122COC00088</t>
  </si>
  <si>
    <t>1070-KRONOSPAN--FALCO-2022</t>
  </si>
  <si>
    <t>1071</t>
  </si>
  <si>
    <t>IT00122COC00369</t>
  </si>
  <si>
    <t>FRATI</t>
  </si>
  <si>
    <t>COCLEA DOSATRICE POLVERE</t>
  </si>
  <si>
    <t>1071-CMP-FRATI-PANTEC-2022</t>
  </si>
  <si>
    <t>1072</t>
  </si>
  <si>
    <t>IT00121COC01094</t>
  </si>
  <si>
    <t>UGRA TIMBER HOLDING</t>
  </si>
  <si>
    <t>KHMAO SOVETSKY</t>
  </si>
  <si>
    <t>1072-UGRA TIMBER HOLDING--KHMAO SOVETSKY-2021</t>
  </si>
  <si>
    <t>1073</t>
  </si>
  <si>
    <t>IT00122COC00157</t>
  </si>
  <si>
    <t>1073-EGGER--RAMBERVILLERS-2022</t>
  </si>
  <si>
    <t>1074</t>
  </si>
  <si>
    <t>IT00122COC00214</t>
  </si>
  <si>
    <t>ECOPULSER</t>
  </si>
  <si>
    <t>1074-SONAE ARAUCO--OLIVEIRA DO HOSPITAL-2022</t>
  </si>
  <si>
    <t>1075</t>
  </si>
  <si>
    <t>IT00122COC00254</t>
  </si>
  <si>
    <t>RECY POLONIA</t>
  </si>
  <si>
    <t>Consegna spostata 03/2023</t>
  </si>
  <si>
    <t>1075-PAL-SWISSKRONO-RECY POLONIA-2022</t>
  </si>
  <si>
    <t>1076</t>
  </si>
  <si>
    <t>IT00122COC00241</t>
  </si>
  <si>
    <t>1076-DIEFFENBACHER--BERNECK-2022</t>
  </si>
  <si>
    <t>IT00122COC00477</t>
  </si>
  <si>
    <t>1077</t>
  </si>
  <si>
    <t>IT00122COC00250</t>
  </si>
  <si>
    <t>FINSA PADRON</t>
  </si>
  <si>
    <t>1077-PAL--FINSA PADRON-2022</t>
  </si>
  <si>
    <t>IT00122COC00265</t>
  </si>
  <si>
    <t>IT00122COC00386</t>
  </si>
  <si>
    <t>PULITORE A CATENA PER BB0553C</t>
  </si>
  <si>
    <t>1078</t>
  </si>
  <si>
    <t>IT00122COC00264</t>
  </si>
  <si>
    <t>1078-TECHNIC ONE-- -2022</t>
  </si>
  <si>
    <t>1079</t>
  </si>
  <si>
    <t>IT00122COC00263</t>
  </si>
  <si>
    <t>2 CN</t>
  </si>
  <si>
    <t>1079-DIEFFENBACHER-KRONOSPAN-BJELOVAR-2022</t>
  </si>
  <si>
    <t>1080</t>
  </si>
  <si>
    <t>IT00122COC00432</t>
  </si>
  <si>
    <t>GIM EXPORT IMPORT</t>
  </si>
  <si>
    <t>1080-GIM EXPORT IMPORT-KRONOSPAN-IB02-2022</t>
  </si>
  <si>
    <t>IT00122COC00537</t>
  </si>
  <si>
    <t>1081</t>
  </si>
  <si>
    <t>IT00122COC00122</t>
  </si>
  <si>
    <t>COMPANIA NACIONAL DE CHOCOLATES</t>
  </si>
  <si>
    <t>COLOMBIA</t>
  </si>
  <si>
    <t>1081-VYNCKE--COMPANIA NACIONAL DE CHOCOLATES-2022</t>
  </si>
  <si>
    <t>1082</t>
  </si>
  <si>
    <t>IT00122COC00355</t>
  </si>
  <si>
    <t>ALBIOMA BIOMASSE</t>
  </si>
  <si>
    <t>1082-SERA ENERGIES--ALBIOMA BIOMASSE-2022</t>
  </si>
  <si>
    <t>1083</t>
  </si>
  <si>
    <t>IT00122COC00382</t>
  </si>
  <si>
    <t>SITTA SRL</t>
  </si>
  <si>
    <t>TK PER TRUCIOLO</t>
  </si>
  <si>
    <t>1083-SITTA SRL---2022</t>
  </si>
  <si>
    <t>1084</t>
  </si>
  <si>
    <t>IT00122COC00371</t>
  </si>
  <si>
    <t>SIA GAUJAS KOKS</t>
  </si>
  <si>
    <t>1084-TRASMEC ROMANIA--SIA GAUJAS KOKS-2022</t>
  </si>
  <si>
    <t>IT00122COC00372</t>
  </si>
  <si>
    <t>1085</t>
  </si>
  <si>
    <t>IT00122COC00409</t>
  </si>
  <si>
    <t>GREENLAM</t>
  </si>
  <si>
    <t>1085-DIEFFENBACHER--GREENLAM-2022</t>
  </si>
  <si>
    <t>1086</t>
  </si>
  <si>
    <t>IT00122COC00439</t>
  </si>
  <si>
    <t>PFEIFER</t>
  </si>
  <si>
    <t>1086-PAL--PFEIFER-2022</t>
  </si>
  <si>
    <t>IT00122COC01066</t>
  </si>
  <si>
    <t>IT00122COC01087</t>
  </si>
  <si>
    <t>ORDINE ANNULLATO</t>
  </si>
  <si>
    <t>IT00123COC00281</t>
  </si>
  <si>
    <t>1087</t>
  </si>
  <si>
    <t>IT00122COC00455</t>
  </si>
  <si>
    <t>PRIMADERA FLAKES CONVEYORS</t>
  </si>
  <si>
    <t>1087-PAL--PRIMADERA FLAKES CONVEYORS-2022</t>
  </si>
  <si>
    <t>1088</t>
  </si>
  <si>
    <t>IT00122COC00476</t>
  </si>
  <si>
    <t>SIEMPELKAMP</t>
  </si>
  <si>
    <t>KOROSTEN MDF UKRAINA</t>
  </si>
  <si>
    <t>1088-SIEMPELKAMP--KOROSTEN MDF UKRAINA-2022</t>
  </si>
  <si>
    <t>1089</t>
  </si>
  <si>
    <t>IT00122COC00525</t>
  </si>
  <si>
    <t>1089-PAL--FINSA CELLA-2022</t>
  </si>
  <si>
    <t>IT00122COC00842</t>
  </si>
  <si>
    <t>1090</t>
  </si>
  <si>
    <t>IT00122COC00513</t>
  </si>
  <si>
    <t>1090-VYNCKE-KASTAMONU-KASTAMONU ITALIA-2022</t>
  </si>
  <si>
    <t>1091</t>
  </si>
  <si>
    <t>IT00122COC00569</t>
  </si>
  <si>
    <t>1091-PAL-NORBORD-COWIE-2022</t>
  </si>
  <si>
    <t>1092</t>
  </si>
  <si>
    <t>IT00122COC00587</t>
  </si>
  <si>
    <t>1092-KRONOSPAN--BURGOS-2022</t>
  </si>
  <si>
    <t>1093</t>
  </si>
  <si>
    <t>IT00122COC00607</t>
  </si>
  <si>
    <t>1093-CONTIPLUS-KRONOSPAN-BJELOVAR-2022</t>
  </si>
  <si>
    <t>1094</t>
  </si>
  <si>
    <t>IT00122COC00610</t>
  </si>
  <si>
    <t>1094-EGGER-EGGER ROMANIA SRL-RADAUTI-2022</t>
  </si>
  <si>
    <t>1095</t>
  </si>
  <si>
    <t>IT00122COC00644</t>
  </si>
  <si>
    <t>1095-IMAL--EIREBLOCK LTD-2022</t>
  </si>
  <si>
    <t>1096</t>
  </si>
  <si>
    <t>IT00122COC00691</t>
  </si>
  <si>
    <t>WSE1050 ( WATER PIT )</t>
  </si>
  <si>
    <t>1096-BORG-WSE1050-2022</t>
  </si>
  <si>
    <t>1097</t>
  </si>
  <si>
    <t>IT00122COC00664</t>
  </si>
  <si>
    <t>RION DES LANDES</t>
  </si>
  <si>
    <t>1097-EGGER--RION DES LANDES-2022</t>
  </si>
  <si>
    <t>1098</t>
  </si>
  <si>
    <t>IT00122COC00699</t>
  </si>
  <si>
    <t>IKEA</t>
  </si>
  <si>
    <t>MALACKY</t>
  </si>
  <si>
    <t>SLOVENIA</t>
  </si>
  <si>
    <t>1098-DIEFFENBACHER-IKEA-MALACKY-2022</t>
  </si>
  <si>
    <t>1099</t>
  </si>
  <si>
    <t>IT00122COC00732</t>
  </si>
  <si>
    <t>GAUJAS KOKS</t>
  </si>
  <si>
    <t>OSB CONVEYORS</t>
  </si>
  <si>
    <t>1099-SIA GAUJAS KOKS--GAUJAS KOKS-2022</t>
  </si>
  <si>
    <t>1100</t>
  </si>
  <si>
    <t>IT00122COC00735</t>
  </si>
  <si>
    <t>GREENLAM SOUTH LIMITED</t>
  </si>
  <si>
    <t>1100-GREENLAM SOUTH LIMITED--GREENLAM-2022</t>
  </si>
  <si>
    <t>IT00122COC00993</t>
  </si>
  <si>
    <t>IT00123COC00312</t>
  </si>
  <si>
    <t>1101</t>
  </si>
  <si>
    <t>IT00122COC00769</t>
  </si>
  <si>
    <t>02/12/022</t>
  </si>
  <si>
    <t>1101-PG BISON--PIET RETIEF-2022</t>
  </si>
  <si>
    <t>1102</t>
  </si>
  <si>
    <t>IT00122COC00743</t>
  </si>
  <si>
    <t>SANEM PB</t>
  </si>
  <si>
    <t>1102-GIM EXPORT-KRONOSPAN -SANEM PB-2022</t>
  </si>
  <si>
    <t>1103</t>
  </si>
  <si>
    <t>IT00122COC00768</t>
  </si>
  <si>
    <t>N°2 SERRANDE PNEUMATICHE</t>
  </si>
  <si>
    <t>1103-EGGER--HEXHAM-2022</t>
  </si>
  <si>
    <t>IT00122COC00908</t>
  </si>
  <si>
    <t>N°1 SERRANDA PNEUMATICA</t>
  </si>
  <si>
    <t>1104</t>
  </si>
  <si>
    <t>KIM TIN</t>
  </si>
  <si>
    <t>MDF 2</t>
  </si>
  <si>
    <t>PROGETTO ACQUISITO DA TRM CHN</t>
  </si>
  <si>
    <t>1104-KIM TIN--MDF 2-2022</t>
  </si>
  <si>
    <t>1105</t>
  </si>
  <si>
    <t>IT00122COC00825</t>
  </si>
  <si>
    <t>DURANGO</t>
  </si>
  <si>
    <t>1105-PAL--DURANGO-2022</t>
  </si>
  <si>
    <t>1106</t>
  </si>
  <si>
    <t>IT00122COC00855</t>
  </si>
  <si>
    <t>SCARICO CIPPATORE</t>
  </si>
  <si>
    <t>1106-IMAL-GREENLAM-GREENLAM-2022</t>
  </si>
  <si>
    <t>1107</t>
  </si>
  <si>
    <t>IT00122COC00903</t>
  </si>
  <si>
    <t>CITY PB PLANT</t>
  </si>
  <si>
    <t>PB PLANT</t>
  </si>
  <si>
    <t>1107-GIM EXPORT-KASTAMONU-CITY PB PLANT-2022</t>
  </si>
  <si>
    <t>1108</t>
  </si>
  <si>
    <t>IT00122COC01025</t>
  </si>
  <si>
    <t>KT4</t>
  </si>
  <si>
    <t>1108-EGGER--BISKUPIEC-2022</t>
  </si>
  <si>
    <t>1109</t>
  </si>
  <si>
    <t>IT00122COC00910</t>
  </si>
  <si>
    <t>GEBZE</t>
  </si>
  <si>
    <t>1109-GIM EXPORT-KASTAMONU-GEBZE-2022</t>
  </si>
  <si>
    <t>1110</t>
  </si>
  <si>
    <t>IT00122COC00899</t>
  </si>
  <si>
    <t>DALKIA SW SULLY</t>
  </si>
  <si>
    <t>1110-VYNCKE--DALKIA SW SULLY-2022</t>
  </si>
  <si>
    <t>IT00122COC00973</t>
  </si>
  <si>
    <t>COMPLEMENTI FONDO MOBILE</t>
  </si>
  <si>
    <t>IT00122COC01030</t>
  </si>
  <si>
    <t>SUPERVISORE PER FM</t>
  </si>
  <si>
    <t>IT00122COC01031</t>
  </si>
  <si>
    <t>TRAMOGGIA COLLEGAM E GAMBE SOSTEGNO</t>
  </si>
  <si>
    <t>IT00124COC00227</t>
  </si>
  <si>
    <t>COMPONENTI FIREFLY PER UPGRADE ATEX</t>
  </si>
  <si>
    <t>1111</t>
  </si>
  <si>
    <t>IT00122COC00904</t>
  </si>
  <si>
    <t>COCLEE REVERSIBLI+SERRANDE</t>
  </si>
  <si>
    <t>1111-IMAL-IMAL-ARCHIBLOCK-2022</t>
  </si>
  <si>
    <t>1112</t>
  </si>
  <si>
    <t>IT00122COC00909</t>
  </si>
  <si>
    <t>BULGARIA DRY</t>
  </si>
  <si>
    <t>1112-GIM EXPORT-KASTAMONU-BULGARIA DRY-2022</t>
  </si>
  <si>
    <t>1113</t>
  </si>
  <si>
    <t>1113-BA RIA SERECE--SOYA MEAL-2023</t>
  </si>
  <si>
    <t>1114</t>
  </si>
  <si>
    <t>IT00122COC00971</t>
  </si>
  <si>
    <t>CONDAT</t>
  </si>
  <si>
    <t>1114-SERA ENERGIES--CONDAT-2022</t>
  </si>
  <si>
    <t>1115</t>
  </si>
  <si>
    <t>IT00122COC00985</t>
  </si>
  <si>
    <t>BORG CROSSMULLER</t>
  </si>
  <si>
    <t>1115-BORG CROSSMULLER--OBERON-2022</t>
  </si>
  <si>
    <t>IT00122COC00986</t>
  </si>
  <si>
    <t>ST MARY'S</t>
  </si>
  <si>
    <t>IT00123COC00048</t>
  </si>
  <si>
    <t>RADDOPPIO MOVING FLOOR</t>
  </si>
  <si>
    <t>1116</t>
  </si>
  <si>
    <t>IT00122COC00997</t>
  </si>
  <si>
    <t>BRILON</t>
  </si>
  <si>
    <t>PROJECT RECY</t>
  </si>
  <si>
    <t>1116-EGGER--BRILON-2022</t>
  </si>
  <si>
    <t>1117</t>
  </si>
  <si>
    <t>IT00122COC01011</t>
  </si>
  <si>
    <t>ALBIOMA LE GOL</t>
  </si>
  <si>
    <t>1117-SERA ENERGIES--ALBIOMA LE GOL-2022</t>
  </si>
  <si>
    <t>IT00122COC01012</t>
  </si>
  <si>
    <t>1118</t>
  </si>
  <si>
    <t>IT00122COC01058</t>
  </si>
  <si>
    <t>GREENPANEL</t>
  </si>
  <si>
    <t>1118-DIEFFENBACHER--GREENPANEL-2022</t>
  </si>
  <si>
    <t>1119</t>
  </si>
  <si>
    <t>IT00122COC01077</t>
  </si>
  <si>
    <t>HEILIGENGRABE</t>
  </si>
  <si>
    <t>1119-PAL-SWISSKRONO-HEILIGENGRABE-2022</t>
  </si>
  <si>
    <t>1120</t>
  </si>
  <si>
    <t>IT00122COC01111</t>
  </si>
  <si>
    <t>AGRIPLANT</t>
  </si>
  <si>
    <t>31/06/23</t>
  </si>
  <si>
    <t>1120-PAL--AGRIPLANT-2022</t>
  </si>
  <si>
    <t>1121</t>
  </si>
  <si>
    <t>IT00122COC01153</t>
  </si>
  <si>
    <t>UNILIN</t>
  </si>
  <si>
    <t>USSEL</t>
  </si>
  <si>
    <t>1121-VYNCKE-UNILIN-USSEL-2022</t>
  </si>
  <si>
    <t>IT00123COC00298</t>
  </si>
  <si>
    <t>1122</t>
  </si>
  <si>
    <t>IT00122COC01144</t>
  </si>
  <si>
    <t>1122-KRONOSPAN--FALCO-2022</t>
  </si>
  <si>
    <t>1123</t>
  </si>
  <si>
    <t>IT00122COC01172</t>
  </si>
  <si>
    <t>UNIBOARD</t>
  </si>
  <si>
    <t>CANADA</t>
  </si>
  <si>
    <t>1123-DIEFFENBACHER--UNIBOARD-2022</t>
  </si>
  <si>
    <t>IT00123COC00820</t>
  </si>
  <si>
    <t>1124</t>
  </si>
  <si>
    <t>IT00122COC01186</t>
  </si>
  <si>
    <t>ISOTEX</t>
  </si>
  <si>
    <t>NUOVA LINEA DI SELEZIONE</t>
  </si>
  <si>
    <t>1124-ISOTEX--ISOTEX-2022</t>
  </si>
  <si>
    <t>1125</t>
  </si>
  <si>
    <t>IT00123COC00008</t>
  </si>
  <si>
    <t>1125-KRONOSPAN--LAPOVO-2023</t>
  </si>
  <si>
    <t>1126</t>
  </si>
  <si>
    <t>IT00123COC00031</t>
  </si>
  <si>
    <t>NUOVO SEPARATORE BALISTICO</t>
  </si>
  <si>
    <t>1126-SAIB S.P.A.-SAIB-FOSSADELLO DI CAORSO-2023</t>
  </si>
  <si>
    <t>IT00123COC00415</t>
  </si>
  <si>
    <t>COCLEA AGGIUNTIVA</t>
  </si>
  <si>
    <t>1127</t>
  </si>
  <si>
    <t>IT00123COC00035</t>
  </si>
  <si>
    <t>BIOSYLVA</t>
  </si>
  <si>
    <t>BIOSYL I</t>
  </si>
  <si>
    <t>1127-BIOSYLVA--BIOSYL I-2023</t>
  </si>
  <si>
    <t>1128</t>
  </si>
  <si>
    <t>IT00123COC00007</t>
  </si>
  <si>
    <t>COCLEA INIETTRICE</t>
  </si>
  <si>
    <t>1128-KRONOSPAN POLSKA--SZCZECINEK-2023</t>
  </si>
  <si>
    <t>1129</t>
  </si>
  <si>
    <t>IT00123COC00036</t>
  </si>
  <si>
    <t>1129-PG BISON--PIET RETIEF-2023</t>
  </si>
  <si>
    <t>IT00123COC00141</t>
  </si>
  <si>
    <t>1130</t>
  </si>
  <si>
    <t>IT00123COC00309</t>
  </si>
  <si>
    <t>CARICO SFIBRATORE</t>
  </si>
  <si>
    <t>1130-BIPAN--BIPAN-2023</t>
  </si>
  <si>
    <t>IT00123COC00078</t>
  </si>
  <si>
    <t>N°2 COCLEE, MTR FORNITI DA CLIENTE</t>
  </si>
  <si>
    <t>1131</t>
  </si>
  <si>
    <t>IT00123COC00115</t>
  </si>
  <si>
    <t>1131-TECHNIC ONE-- -2023</t>
  </si>
  <si>
    <t>1132</t>
  </si>
  <si>
    <t>IT00123COC00122</t>
  </si>
  <si>
    <t>STEVE&amp;SONS</t>
  </si>
  <si>
    <t>1132-PAL--STEVE&amp;SONS-2023</t>
  </si>
  <si>
    <t>1133</t>
  </si>
  <si>
    <t>IT00123COC00109</t>
  </si>
  <si>
    <t>N° 4 SERRANDE PNEUMATICHE</t>
  </si>
  <si>
    <t>1133-PAL--GREENLAM-2023</t>
  </si>
  <si>
    <t>1134</t>
  </si>
  <si>
    <t>IT00123COC00117</t>
  </si>
  <si>
    <t>STABOO</t>
  </si>
  <si>
    <t>1134-PAL--STABOO-2023</t>
  </si>
  <si>
    <t>IT00123COC00671</t>
  </si>
  <si>
    <t>1135</t>
  </si>
  <si>
    <t>IT00123COC00124</t>
  </si>
  <si>
    <t>IB02 - TORTOSA</t>
  </si>
  <si>
    <t>COCLEE RECUPERO THOR</t>
  </si>
  <si>
    <t>1135-GIM EXPORT-KRONOSPAN-IB02 - TORTOSA-2023</t>
  </si>
  <si>
    <t>1136</t>
  </si>
  <si>
    <t>IT00123COC00139</t>
  </si>
  <si>
    <t>UNIBOARD FORMING</t>
  </si>
  <si>
    <t>1136-DIEFFENBACHER--UNIBOARD FORMING-2023</t>
  </si>
  <si>
    <t>1137</t>
  </si>
  <si>
    <t>IT00123COC00154</t>
  </si>
  <si>
    <t xml:space="preserve">ARAUCO </t>
  </si>
  <si>
    <t>ARAUCO TENO</t>
  </si>
  <si>
    <t>1137-PAL-ARAUCO -ARAUCO TENO-2023</t>
  </si>
  <si>
    <t>1138</t>
  </si>
  <si>
    <t>IT00123COC00165</t>
  </si>
  <si>
    <t>N°2 TKK</t>
  </si>
  <si>
    <t>1138-IMAL-EGGER-WISMAR-2023</t>
  </si>
  <si>
    <t>1139</t>
  </si>
  <si>
    <t>IT00123COC00178</t>
  </si>
  <si>
    <t>COTOPAXI</t>
  </si>
  <si>
    <t>1139-IMAL-COTOPAXI-COTOPAXI-2023</t>
  </si>
  <si>
    <t>1140</t>
  </si>
  <si>
    <t>IT00123COC00226</t>
  </si>
  <si>
    <t xml:space="preserve">SONAE </t>
  </si>
  <si>
    <t>OLIVEIRA DE HOSPITAL</t>
  </si>
  <si>
    <t>N°1 TK PNZ + N°1 SLIDING GATE</t>
  </si>
  <si>
    <t>1140-SONAE -ARAUCO -OLIVEIRA DE HOSPITAL-2023</t>
  </si>
  <si>
    <t>IT00123COC00354</t>
  </si>
  <si>
    <t>RECY AREA</t>
  </si>
  <si>
    <t>1141</t>
  </si>
  <si>
    <t>IT00123COC00207</t>
  </si>
  <si>
    <t>Lorusso</t>
  </si>
  <si>
    <t>1141-PAL--PFLEIDERER-2023</t>
  </si>
  <si>
    <t>1142</t>
  </si>
  <si>
    <t>IT00123COC00310</t>
  </si>
  <si>
    <t>BURGUNDY</t>
  </si>
  <si>
    <t>1142-DIEFFENBACHER--BURGUNDY-2023</t>
  </si>
  <si>
    <t>OC-D-423055.00016.300</t>
  </si>
  <si>
    <t>IT00123COC00813</t>
  </si>
  <si>
    <t>1143</t>
  </si>
  <si>
    <t>IT00123COC00338</t>
  </si>
  <si>
    <t>1143-MION&amp;MOSOLE---</t>
  </si>
  <si>
    <t>1144</t>
  </si>
  <si>
    <t>IT00123COC00367</t>
  </si>
  <si>
    <t>ECOREFIBRE</t>
  </si>
  <si>
    <t>N° 3 MANUAL FLAPS</t>
  </si>
  <si>
    <t>1144-DIEFFENBACHER--ECOREFIBRE-2023</t>
  </si>
  <si>
    <t>1145</t>
  </si>
  <si>
    <t>IT00123COC00344</t>
  </si>
  <si>
    <t>1145-DIEFFENBACHER--ZIEGLER-2023</t>
  </si>
  <si>
    <t>1146</t>
  </si>
  <si>
    <t>IT00123COC00387</t>
  </si>
  <si>
    <t>ANTALIA</t>
  </si>
  <si>
    <t>SCREW INOX</t>
  </si>
  <si>
    <t>1146-AGT-AGT-ANTALIA-2023</t>
  </si>
  <si>
    <t>1147</t>
  </si>
  <si>
    <t>IT00123COC00386</t>
  </si>
  <si>
    <t>KRONOSPAN S.L.</t>
  </si>
  <si>
    <t>TORTOSA</t>
  </si>
  <si>
    <t>N°1 TK15 AREA 1000</t>
  </si>
  <si>
    <t>1147-KRONOSPAN S.L.-KRONOSPAN-TORTOSA-2023</t>
  </si>
  <si>
    <t>1148</t>
  </si>
  <si>
    <t>IT00123COC00403</t>
  </si>
  <si>
    <t>LINARES</t>
  </si>
  <si>
    <t>N°1 TK21N</t>
  </si>
  <si>
    <t>1148-PAL-SONAE ARAUCO-LINARES-2023</t>
  </si>
  <si>
    <t>1149</t>
  </si>
  <si>
    <t>IT00123COC00414</t>
  </si>
  <si>
    <t>ECOSTAR</t>
  </si>
  <si>
    <t>ALLEVI</t>
  </si>
  <si>
    <t>FORSU</t>
  </si>
  <si>
    <t>1149-ECOSTAR-ALLEVI-FORSU-2023</t>
  </si>
  <si>
    <t>IT00123COC00589</t>
  </si>
  <si>
    <t>TN1200 LATER</t>
  </si>
  <si>
    <t>1150</t>
  </si>
  <si>
    <t>IT00123COC00444</t>
  </si>
  <si>
    <t>ALFAWOOD</t>
  </si>
  <si>
    <t>NEVROKOPI</t>
  </si>
  <si>
    <t>GREECE</t>
  </si>
  <si>
    <t>1150-ALFAWOOD-ALFAWOOD-NEVROKOPI-2023</t>
  </si>
  <si>
    <t>1151</t>
  </si>
  <si>
    <t>OC23CS-0106018</t>
  </si>
  <si>
    <t>BASUKI PRATAMA ENG.</t>
  </si>
  <si>
    <t>MFS AND HOPPER FOR BOILER FEEDING</t>
  </si>
  <si>
    <t>INDONESIA</t>
  </si>
  <si>
    <t>1151-TRASMEC CHINA-BASUKI PRATAMA ENG.--2023</t>
  </si>
  <si>
    <t>IT00123COC00534</t>
  </si>
  <si>
    <t>1152</t>
  </si>
  <si>
    <t>IT00123COC00466</t>
  </si>
  <si>
    <t>RICAMBIO ALBERI BUNKER DOSATORE</t>
  </si>
  <si>
    <t>1152-SONAE ARAUCO--OLIVEIRA DE HOSPITAL-2023</t>
  </si>
  <si>
    <t>1153</t>
  </si>
  <si>
    <t>MDF 2.1</t>
  </si>
  <si>
    <t>CHIPS HANDLING</t>
  </si>
  <si>
    <t>TRASMEC INDIA</t>
  </si>
  <si>
    <t>1153-GREENPANEL--MDF 2.1-2023</t>
  </si>
  <si>
    <t>CHIPS HANDLING TM 07.1</t>
  </si>
  <si>
    <t>1154</t>
  </si>
  <si>
    <t>IT00123COC00499</t>
  </si>
  <si>
    <t>1154-DIEFFENBACHER--ZIEGLER-2023</t>
  </si>
  <si>
    <t>1155</t>
  </si>
  <si>
    <t>IT00123COC00515</t>
  </si>
  <si>
    <t>LE GOL BIOMASSE LOCALE</t>
  </si>
  <si>
    <t>1155-SERA ENERGIES--LE GOL BIOMASSE LOCALE-2023</t>
  </si>
  <si>
    <t>1156</t>
  </si>
  <si>
    <t>IT00123COC00516</t>
  </si>
  <si>
    <t>TK FOR FLAKER AREA</t>
  </si>
  <si>
    <t>1156-KASTAMONU -KASTAMONU -KASTAMONU ITALIA-2023</t>
  </si>
  <si>
    <t>1157</t>
  </si>
  <si>
    <t>IT00123COC00526</t>
  </si>
  <si>
    <t>PRIMADERA</t>
  </si>
  <si>
    <t>1157-IMAL-PRIMADERA-PRIMADERA-2023</t>
  </si>
  <si>
    <t>1158</t>
  </si>
  <si>
    <t>IT00123COC00527</t>
  </si>
  <si>
    <t>BALTIC BLOCK</t>
  </si>
  <si>
    <t>1158-IMAL-BALTIC BLOCK-BALTIC BLOCK-2023</t>
  </si>
  <si>
    <t>1159</t>
  </si>
  <si>
    <t>IT00123COC00528</t>
  </si>
  <si>
    <t>PIVETEAU BOIS</t>
  </si>
  <si>
    <t>PIVETEAU</t>
  </si>
  <si>
    <t>1159-PIVETEAU BOIS--PIVETEAU-2023</t>
  </si>
  <si>
    <t>1160</t>
  </si>
  <si>
    <t>IT00123COC00537</t>
  </si>
  <si>
    <t>RECY PROJECT</t>
  </si>
  <si>
    <t>1160-EGGER--BRILON-2023</t>
  </si>
  <si>
    <t>1161</t>
  </si>
  <si>
    <t>IT00123COC00579</t>
  </si>
  <si>
    <t>1161-GIM EXPORT-KRONOSPAN-IB02 - TORTOSA-2023</t>
  </si>
  <si>
    <t>1162</t>
  </si>
  <si>
    <t>IT00123COC00565</t>
  </si>
  <si>
    <t>1162-DIEFFENBACHER--LINEX PANNEAUX-2023</t>
  </si>
  <si>
    <t>1163</t>
  </si>
  <si>
    <t>IT00123COC00587</t>
  </si>
  <si>
    <t>WESER MDF</t>
  </si>
  <si>
    <t>1163-DIEFFENBACHER--WESER MDF-2023</t>
  </si>
  <si>
    <t>1164</t>
  </si>
  <si>
    <t>IT00123COC00523</t>
  </si>
  <si>
    <t>BUNGE GHANA</t>
  </si>
  <si>
    <t>GHANA</t>
  </si>
  <si>
    <t>TM CHINA</t>
  </si>
  <si>
    <t>1164-VYNCKE--BUNGE GHANA-2023</t>
  </si>
  <si>
    <t>1165</t>
  </si>
  <si>
    <t>IT00123COC00629</t>
  </si>
  <si>
    <t>TK PER CARICO ESSICCATOIO</t>
  </si>
  <si>
    <t>1165-INSTALMEC--RIGA-2023</t>
  </si>
  <si>
    <t>1166</t>
  </si>
  <si>
    <t>IT00123COC00621</t>
  </si>
  <si>
    <t>SERRANDA PNEUMATICA</t>
  </si>
  <si>
    <t>1166-VYNCKE--KASTAMONU ITALIA-2023</t>
  </si>
  <si>
    <t>1167</t>
  </si>
  <si>
    <t>IT00123COC00664</t>
  </si>
  <si>
    <t>COCLEA INOX</t>
  </si>
  <si>
    <t>1167-CMP-PANTEC-PANTEC-2023</t>
  </si>
  <si>
    <t>1168</t>
  </si>
  <si>
    <t>IT00123COC00649</t>
  </si>
  <si>
    <t>CEATEC Engineering GmbH</t>
  </si>
  <si>
    <t xml:space="preserve">RIGA PB </t>
  </si>
  <si>
    <t>1168-CEATEC Engineering GmbH--RIGA PB -2023</t>
  </si>
  <si>
    <t>1169</t>
  </si>
  <si>
    <t>IT00123COC00691</t>
  </si>
  <si>
    <t>MACCHINE AGGIUNTIVE</t>
  </si>
  <si>
    <t>1169-GIM EXPORT-KRONOSPAN-SANEM PB-2023</t>
  </si>
  <si>
    <t>1170</t>
  </si>
  <si>
    <t>IT00123COC00673</t>
  </si>
  <si>
    <t>CALCE CASERTA</t>
  </si>
  <si>
    <t>TK PER MACINAZIONE LEGNO RICICLATO</t>
  </si>
  <si>
    <t>1170-PAL--CALCE CASERTA-2023</t>
  </si>
  <si>
    <t>1171</t>
  </si>
  <si>
    <t>IT00123COC00687</t>
  </si>
  <si>
    <t>NASTRI LATER</t>
  </si>
  <si>
    <t>1171-PAL-SWISSKRONO-ZARY-2023</t>
  </si>
  <si>
    <t>1172</t>
  </si>
  <si>
    <t>IT00123COC00660</t>
  </si>
  <si>
    <t>1172-PAL-SONAE ARAUCO-LINARES-2023</t>
  </si>
  <si>
    <t>1173</t>
  </si>
  <si>
    <t>IT00123COC00731</t>
  </si>
  <si>
    <t>TABLEROS DE AGLOMERADO S.A.</t>
  </si>
  <si>
    <t>VILLA NUEVA</t>
  </si>
  <si>
    <t>NUOVO MULINO MEIER</t>
  </si>
  <si>
    <t>GUATEMALA</t>
  </si>
  <si>
    <t>1173-TABLEROS DE AGLOMERADO S.A.--VILLA NUEVA-2023</t>
  </si>
  <si>
    <t>1174</t>
  </si>
  <si>
    <t>IT00123COC00898</t>
  </si>
  <si>
    <t>BIOMASS HANDLING</t>
  </si>
  <si>
    <t>1174-PAL--LINEX PANNEAUX-2023</t>
  </si>
  <si>
    <t>IT00123COC00979</t>
  </si>
  <si>
    <t>CARICATORE THOR</t>
  </si>
  <si>
    <t>IT00124COC00211</t>
  </si>
  <si>
    <t>SERRANDA MOTORIZZATA</t>
  </si>
  <si>
    <t>1175</t>
  </si>
  <si>
    <t>MFS , HOPPER  &amp; TKK FOR BOILER FEEDING</t>
  </si>
  <si>
    <t>1175-TRASMEC CHINA-BASUKI PRATAMA ENG.--2023</t>
  </si>
  <si>
    <t>1176</t>
  </si>
  <si>
    <t>IT00123COC00782</t>
  </si>
  <si>
    <t>1176-TECHNIC ONE---2023</t>
  </si>
  <si>
    <t>1177</t>
  </si>
  <si>
    <t>IT00123COC00812</t>
  </si>
  <si>
    <t>1177-EGGER--WOERGL-2023</t>
  </si>
  <si>
    <t>1178</t>
  </si>
  <si>
    <t>IT00124COC00012</t>
  </si>
  <si>
    <t>DALKIA GUYOT FRANCE</t>
  </si>
  <si>
    <t>1178-SERA ENERGIES--DALKIA GUYOT FRANCE-2024</t>
  </si>
  <si>
    <t>1179</t>
  </si>
  <si>
    <t>IT00123COC00846</t>
  </si>
  <si>
    <t>EIREBLOC LTD</t>
  </si>
  <si>
    <t>1179-EIREBLOC LTD--EIREBLOC LTD-2023</t>
  </si>
  <si>
    <t>1180</t>
  </si>
  <si>
    <t>IT00123COC00882</t>
  </si>
  <si>
    <t>1180-KRONOSPAN--TORTOSA-2023</t>
  </si>
  <si>
    <t>1181</t>
  </si>
  <si>
    <t>IT00123COC00896</t>
  </si>
  <si>
    <t>DRYER DISCHARGE</t>
  </si>
  <si>
    <t>1181-IMAL--LINEX PANNEAUX-2023</t>
  </si>
  <si>
    <t>1182</t>
  </si>
  <si>
    <t>IT00123COC00895</t>
  </si>
  <si>
    <t>ELKA</t>
  </si>
  <si>
    <t>1182-IMAL--ELKA-2023</t>
  </si>
  <si>
    <t xml:space="preserve">IT00124COC00134 </t>
  </si>
  <si>
    <t xml:space="preserve">IT00124COC00709 </t>
  </si>
  <si>
    <t>1183</t>
  </si>
  <si>
    <t>IT00123COC01016</t>
  </si>
  <si>
    <t>XILOPAN</t>
  </si>
  <si>
    <t>CIGOGNOLA</t>
  </si>
  <si>
    <t>INSTALLAZIONE NUOVO MULINO + BY PASS</t>
  </si>
  <si>
    <t>1183-XILOPAN--CIGOGNOLA-2023</t>
  </si>
  <si>
    <t>IT00124COC00855</t>
  </si>
  <si>
    <t>INSTALLAZIONE COCLEA CICLONE-TK</t>
  </si>
  <si>
    <t>1184</t>
  </si>
  <si>
    <t>IT00123COC00974</t>
  </si>
  <si>
    <t>1184-INSTALMEC-KRONOSPAN-SANEM-2023</t>
  </si>
  <si>
    <t>1185</t>
  </si>
  <si>
    <t>IT00123COC01017</t>
  </si>
  <si>
    <t>TK 35" HP</t>
  </si>
  <si>
    <t>1185-EGGER-EGGER-BARONY-2023</t>
  </si>
  <si>
    <t>1186</t>
  </si>
  <si>
    <t>IT00123COC01018</t>
  </si>
  <si>
    <t>COCLEA REVERSIBILE</t>
  </si>
  <si>
    <t>1186-DIEFFENBACHER--BURGUNDY-2024</t>
  </si>
  <si>
    <t>IT00124COC00095</t>
  </si>
  <si>
    <t>CLAPPA + TK11 + COCLEA</t>
  </si>
  <si>
    <t>1187</t>
  </si>
  <si>
    <t>IT00123COC01020</t>
  </si>
  <si>
    <t xml:space="preserve">CEATEC </t>
  </si>
  <si>
    <t>MODIFICA POS. 600.350</t>
  </si>
  <si>
    <t>1187-CEATEC -KRONOSPAN -SANEM PB-2023</t>
  </si>
  <si>
    <t>1188</t>
  </si>
  <si>
    <t>IT00123COC01034</t>
  </si>
  <si>
    <t>MEPPEN</t>
  </si>
  <si>
    <t>1188-DIEFFENBACHER-SONAE ARAUCO-MEPPEN-2023</t>
  </si>
  <si>
    <t>1189</t>
  </si>
  <si>
    <t>IT00123COC01045</t>
  </si>
  <si>
    <t>GUTEX</t>
  </si>
  <si>
    <t>1189-DIEFFENBACHER--GUTEX-2023</t>
  </si>
  <si>
    <t>1190</t>
  </si>
  <si>
    <t>TM 07-04-09-2023-Aarati-R0</t>
  </si>
  <si>
    <t>AARTI ALCHEMIE FINECHEM PVT. LTD</t>
  </si>
  <si>
    <t>FHS</t>
  </si>
  <si>
    <t>TRM INDIA</t>
  </si>
  <si>
    <t>1190-AARTI ALCHEMIE FINECHEM PVT. LTD--FHS-2023</t>
  </si>
  <si>
    <t>1191</t>
  </si>
  <si>
    <t>IT00124COC00049</t>
  </si>
  <si>
    <t>1191-KASTAMONU --SAMSUN-2024</t>
  </si>
  <si>
    <t>1192</t>
  </si>
  <si>
    <t>IT00124COC00013</t>
  </si>
  <si>
    <t>STEEL PLATE CONVEYOR 1200</t>
  </si>
  <si>
    <t>1192-GIM EXPORT-AGT--2024</t>
  </si>
  <si>
    <t>1193</t>
  </si>
  <si>
    <t>OFF23CS-0037027</t>
  </si>
  <si>
    <t>BARIA SERECE</t>
  </si>
  <si>
    <t>PORT EXPANSION</t>
  </si>
  <si>
    <t>CINA</t>
  </si>
  <si>
    <t>Chen</t>
  </si>
  <si>
    <t>1193-TRASMEC CHINA-BARIA SERECE-PORT EXPANSION-2024</t>
  </si>
  <si>
    <t>ADDITIONAL FLAP</t>
  </si>
  <si>
    <t>1194</t>
  </si>
  <si>
    <t>IT00124COC00078</t>
  </si>
  <si>
    <t>1194-GIM EXPORT-KASTAMONU-GEBZE-2024</t>
  </si>
  <si>
    <t>1195</t>
  </si>
  <si>
    <t>IT00124COC00083</t>
  </si>
  <si>
    <t>DALKIA SOLVAY SYLVIA</t>
  </si>
  <si>
    <t>1195-SERA ENERGIES--DALKIA SOLVAY SYLVIA-2024</t>
  </si>
  <si>
    <t>1196</t>
  </si>
  <si>
    <t>IT00124COC00077</t>
  </si>
  <si>
    <t>BALIKESIR</t>
  </si>
  <si>
    <t>1196-GIM EXPORT-KASTAMONU-BALIKESIR-2024</t>
  </si>
  <si>
    <t>1197</t>
  </si>
  <si>
    <t>IT00124COC00093</t>
  </si>
  <si>
    <t>1197-EGGER--RAMBERVILLERS-2024</t>
  </si>
  <si>
    <t>1198</t>
  </si>
  <si>
    <t>IT00124COC00116</t>
  </si>
  <si>
    <t>INDUSTRIA COMPENSATI COLORNO</t>
  </si>
  <si>
    <t>1198-INDUSTRIA COMPENSATI COLORNO--INDUSTRIA COMPENSATI COLORNO-2024</t>
  </si>
  <si>
    <t>1199</t>
  </si>
  <si>
    <t>IT00124COC00115</t>
  </si>
  <si>
    <t>SILOS 1000.86-1000.87 - SCREW FOR BY PASS</t>
  </si>
  <si>
    <t>1199-KRONOSPAN -KRONOSPAN -TORTOSA-2024</t>
  </si>
  <si>
    <t>1200</t>
  </si>
  <si>
    <t>IT00124COC00135</t>
  </si>
  <si>
    <t>TOKYO BOARD</t>
  </si>
  <si>
    <t>1200-IMAL--TOKYO BOARD-2024</t>
  </si>
  <si>
    <t>IT00124COC00137</t>
  </si>
  <si>
    <t>ALBERI COCLEE ESSICCATOIO</t>
  </si>
  <si>
    <t>1201</t>
  </si>
  <si>
    <t>OTVC23CS-0118078</t>
  </si>
  <si>
    <t>ECL</t>
  </si>
  <si>
    <t xml:space="preserve">PB THAI </t>
  </si>
  <si>
    <t>1201-TRASMEC CHINA-ECL-PB THAI -2024</t>
  </si>
  <si>
    <t>1202</t>
  </si>
  <si>
    <t>TM 32- 09.02.2024- AB MAURI -R3</t>
  </si>
  <si>
    <t>AB MAURI</t>
  </si>
  <si>
    <t>AB MAURI PILIBHIT</t>
  </si>
  <si>
    <t>1202-AB MAURI-AB MAURI PILIBHIT-FHS-2024</t>
  </si>
  <si>
    <t>1203</t>
  </si>
  <si>
    <t>TM 18- 30.01.2024- Aarati-ASH hand – R2</t>
  </si>
  <si>
    <t xml:space="preserve">FLY AHS </t>
  </si>
  <si>
    <t>AHS FOR FLY ASH</t>
  </si>
  <si>
    <t>??????</t>
  </si>
  <si>
    <t>1203-AARTI ALCHEMIE FINECHEM PVT. LTD--FLY AHS -2024</t>
  </si>
  <si>
    <t>1204</t>
  </si>
  <si>
    <t>IT00124COC00171</t>
  </si>
  <si>
    <t>NOVOPAN DEL ECUADOR S.A</t>
  </si>
  <si>
    <t>ALIMENTACION CALDERA</t>
  </si>
  <si>
    <t>1204-NOVOPAN DEL ECUADOR S.A--NOVOPAN-2024</t>
  </si>
  <si>
    <t>1205</t>
  </si>
  <si>
    <t>IT00124COC00187</t>
  </si>
  <si>
    <t>SCREW FOR MICROCHIPS</t>
  </si>
  <si>
    <t>1205-KRONOSPAN--KRONOSPAN TORTOSA-2024</t>
  </si>
  <si>
    <t>1206</t>
  </si>
  <si>
    <t>TIN0323</t>
  </si>
  <si>
    <t xml:space="preserve">GREENPANEL SRIKALAHASTI </t>
  </si>
  <si>
    <t>MDF 2.0 - WASHING BY PASS</t>
  </si>
  <si>
    <t>1206-GREENPANEL--MDF 2.0 - WASHING BY PASS-2024</t>
  </si>
  <si>
    <t>1207</t>
  </si>
  <si>
    <t>IT00124COC00183</t>
  </si>
  <si>
    <t>ESPANSIONE 2024  LINEA SECCO PB</t>
  </si>
  <si>
    <t>1207-SAIB S.P.A.---2024</t>
  </si>
  <si>
    <t>IT00124COC00271</t>
  </si>
  <si>
    <t>IT00124COC00818</t>
  </si>
  <si>
    <t>IT00124COC00888</t>
  </si>
  <si>
    <t>MODIFICA DRY AREA 2025</t>
  </si>
  <si>
    <t>1208</t>
  </si>
  <si>
    <t>IT00124COC00192</t>
  </si>
  <si>
    <t>NDKW</t>
  </si>
  <si>
    <t>N°1 COCLEA CENERI</t>
  </si>
  <si>
    <t>1208-VYNCKE-NDKW--2024</t>
  </si>
  <si>
    <t>1209</t>
  </si>
  <si>
    <t>IT00124COC00221</t>
  </si>
  <si>
    <t>1209-CMP-BIPAN--2024</t>
  </si>
  <si>
    <t>1210</t>
  </si>
  <si>
    <t>IT00124COC00218</t>
  </si>
  <si>
    <t>COCLEA ATC - COSTRUZIONE TRM ITY</t>
  </si>
  <si>
    <t>1210 - TRM ITY - Vyncke - 1.10641 - Finsa Padron HG Extension (ONLY ENGINEERING FOR TRM CHN) - 2024</t>
  </si>
  <si>
    <t>1211</t>
  </si>
  <si>
    <t>IT00124COC00245</t>
  </si>
  <si>
    <t>KRONOSPAN BERSEY</t>
  </si>
  <si>
    <t>1211-GIM EXPORT-BERSEY-KRONOSPAN BERSEY-2024</t>
  </si>
  <si>
    <t>1212</t>
  </si>
  <si>
    <t>IT00124COC00254</t>
  </si>
  <si>
    <t>IB02-TORTOSA</t>
  </si>
  <si>
    <t>SERRANDA PER TKK60</t>
  </si>
  <si>
    <t>1212-KRONOSPAN-KRONOSPAN-IB02-TORTOSA-2024</t>
  </si>
  <si>
    <t>1213</t>
  </si>
  <si>
    <t>IT00124COC00260</t>
  </si>
  <si>
    <t>LIGNATHERM</t>
  </si>
  <si>
    <t>1213-DIEFFENBACHER--LIGNATHERM-2025</t>
  </si>
  <si>
    <t>1214</t>
  </si>
  <si>
    <t>IT00124COC00257</t>
  </si>
  <si>
    <t>1214-DIEFFENBACHER--UNIBOARD-2024</t>
  </si>
  <si>
    <t>1215</t>
  </si>
  <si>
    <t>WEST FRASER</t>
  </si>
  <si>
    <t>1215-PAL-WEST FRASER-COWIE-2024</t>
  </si>
  <si>
    <t>1216</t>
  </si>
  <si>
    <t>IT00124COC00263</t>
  </si>
  <si>
    <t>CF2P</t>
  </si>
  <si>
    <t>ISOROY LURE</t>
  </si>
  <si>
    <t>TK35"HP - SOSTITUISCE TK35HP AA0746C-R002326</t>
  </si>
  <si>
    <t>1216-CF2P-CF2P-ISOROY LURE-2024</t>
  </si>
  <si>
    <t>1217</t>
  </si>
  <si>
    <t>IT00124COC00258</t>
  </si>
  <si>
    <t>YANTAY</t>
  </si>
  <si>
    <t>1217-DIEFFENBACHER--YANTAY-2024</t>
  </si>
  <si>
    <t>1218</t>
  </si>
  <si>
    <t>IT00124COC00267</t>
  </si>
  <si>
    <t>SOLO SCANSIONI PER BOILER ROOM</t>
  </si>
  <si>
    <t>1218-EGGER-EGGER-BARONY-2024</t>
  </si>
  <si>
    <t>1219</t>
  </si>
  <si>
    <t>IT00124COC00288</t>
  </si>
  <si>
    <t>STEEL PLATE CONVEYOR</t>
  </si>
  <si>
    <t>1219-SWISSKRONO-SWISSKRONO-ZARY-2024</t>
  </si>
  <si>
    <t>1220</t>
  </si>
  <si>
    <t>IT00124COC00381</t>
  </si>
  <si>
    <t>FUEL HANDLING SYSTEM</t>
  </si>
  <si>
    <t>1220 - VYNCKE - STABOO-FUEL AND ASH HANDLING SYSTEM-2024</t>
  </si>
  <si>
    <t>1221</t>
  </si>
  <si>
    <t>IT00124COC00351</t>
  </si>
  <si>
    <t>CONVEYORS VARIOUS</t>
  </si>
  <si>
    <t>1221-FINANCIERA MADERERA-FINSA-SANTIAGO DE COMPOSTELA-2024</t>
  </si>
  <si>
    <t>IT00124COC00474</t>
  </si>
  <si>
    <t>1222</t>
  </si>
  <si>
    <t>IT00124COC00330</t>
  </si>
  <si>
    <t>GUYOT LAITA</t>
  </si>
  <si>
    <t>1222 - VYNCKE - 1.09653 - Guyot Laïta -2024</t>
  </si>
  <si>
    <t>1223</t>
  </si>
  <si>
    <t>IT00124COC00076</t>
  </si>
  <si>
    <t>1223-GIM EXPORT-KASTAMONU-ROMANIA-2024</t>
  </si>
  <si>
    <t>1224</t>
  </si>
  <si>
    <t>IT00124COC00360</t>
  </si>
  <si>
    <t>GRAP'SUD</t>
  </si>
  <si>
    <t>1224 - VYNCKE - 1.20001 - Grap'Sud - 2024</t>
  </si>
  <si>
    <t>1225</t>
  </si>
  <si>
    <t>IT00124COC00358</t>
  </si>
  <si>
    <t>DIAGEO LINKWOOD</t>
  </si>
  <si>
    <t>1225 - VYNCKE - 1.10480 - Diageo - Linkwood - 2024</t>
  </si>
  <si>
    <t>1226</t>
  </si>
  <si>
    <t xml:space="preserve">IT00124COC00376 </t>
  </si>
  <si>
    <t>CMP SPA</t>
  </si>
  <si>
    <t>FRATI BUNKER</t>
  </si>
  <si>
    <t>1226-CMP SPA--FRATI BUNKER-2024</t>
  </si>
  <si>
    <t>1227</t>
  </si>
  <si>
    <t>IT00124COC00382</t>
  </si>
  <si>
    <t>TKK 800 CENERI SPECIALE</t>
  </si>
  <si>
    <t>1227-FANTONI--TKK 800 CENERI SPECIALE-2024</t>
  </si>
  <si>
    <t>1228</t>
  </si>
  <si>
    <t>IT00124COC00383</t>
  </si>
  <si>
    <t>FINSA OREMBER</t>
  </si>
  <si>
    <t>MODIFICA SU LINEA CENERI</t>
  </si>
  <si>
    <t>1228 - VYNCKE -  Finsa Orember extension - 2024</t>
  </si>
  <si>
    <t>1229</t>
  </si>
  <si>
    <t>IT00124COC00441</t>
  </si>
  <si>
    <t>ELKA-HOLZWERKE</t>
  </si>
  <si>
    <t>REJECT AND OVERSIZE</t>
  </si>
  <si>
    <t>1229-ELKA-HOLZWERKE--ELKA-2024</t>
  </si>
  <si>
    <t>1230</t>
  </si>
  <si>
    <t>TM 42 – 23.03.2024 -Aarti Grate Ash – R1</t>
  </si>
  <si>
    <t xml:space="preserve">GRATE AHS </t>
  </si>
  <si>
    <t>1230-AARTI ALCHEMIE FINECHEM PVT. LTD--GRATE AHS -2024</t>
  </si>
  <si>
    <t>1231</t>
  </si>
  <si>
    <t>IT00124COC00497</t>
  </si>
  <si>
    <t>BORG LTD</t>
  </si>
  <si>
    <t>BORG AUSTRALIAN PANELS</t>
  </si>
  <si>
    <t>MT. GAMBIER NEW PB PLANT</t>
  </si>
  <si>
    <t>1231 - BORG LTD-BORG AUSTRALIAN PANELS-MT. GAMBIER NEW PB PLANT-2024</t>
  </si>
  <si>
    <t>1232</t>
  </si>
  <si>
    <t>IT00124COC00472</t>
  </si>
  <si>
    <t>1.20323 - CNCh</t>
  </si>
  <si>
    <t>1232 - VYNCKE - 1.20323 - Compañía Nacional de Chocolates (CNCh) - 2024</t>
  </si>
  <si>
    <t>1233</t>
  </si>
  <si>
    <t>IT00124COC00509</t>
  </si>
  <si>
    <t>AAK</t>
  </si>
  <si>
    <t>N°2 SERRANDE MOTORZZATE</t>
  </si>
  <si>
    <t>DENMARK</t>
  </si>
  <si>
    <t>1233-VYNCKE--AAK-2024</t>
  </si>
  <si>
    <t>1234</t>
  </si>
  <si>
    <t>TM12-FV23179-SARVARAYA-FCS&amp;ACS-R1</t>
  </si>
  <si>
    <t>FORBES VYNCKE</t>
  </si>
  <si>
    <t>SARVARAYA SUGAR</t>
  </si>
  <si>
    <t>1234 - TRM IND - FV23179 - Sarvaraya - 2024</t>
  </si>
  <si>
    <t>1235</t>
  </si>
  <si>
    <t>IT00124COC00614</t>
  </si>
  <si>
    <t>SOBONO ENERGY</t>
  </si>
  <si>
    <t>REXUS BIOMASS ENERGY PLANT</t>
  </si>
  <si>
    <t>SINGAPORE</t>
  </si>
  <si>
    <t>1235 - SOBONO - 13.2MWe Biomass Energy Plant - Conveyors - 2024</t>
  </si>
  <si>
    <t>1236</t>
  </si>
  <si>
    <t>IT00124COC00580</t>
  </si>
  <si>
    <t>10/08/2024 - 22/11/2024</t>
  </si>
  <si>
    <t>1236-FINSA--OREMBER-2024</t>
  </si>
  <si>
    <t>1237</t>
  </si>
  <si>
    <t>IT00124COC00570</t>
  </si>
  <si>
    <t>1237-FINANCIERA MADERERA--SANTIAGO DE COMPOSTELA-2024</t>
  </si>
  <si>
    <t>1238</t>
  </si>
  <si>
    <t>TM3524-FV24183 MILKY MIST-FCS&amp;ACS-R1</t>
  </si>
  <si>
    <t>MILKY MIST</t>
  </si>
  <si>
    <t>1238 - MILKY MIST-MILKY MIST--2024</t>
  </si>
  <si>
    <t>1239</t>
  </si>
  <si>
    <t>IT00124COC00048</t>
  </si>
  <si>
    <t>NESTLE' GIRONA II</t>
  </si>
  <si>
    <t>TRM CHN PROKECT NR P 24.002</t>
  </si>
  <si>
    <t>TEST FOLDER FOR TRM CHN</t>
  </si>
  <si>
    <t>1239 - VYNCKE - NESTLE' GIRONA II - 2024</t>
  </si>
  <si>
    <t>1240</t>
  </si>
  <si>
    <t>IT00124COC00666</t>
  </si>
  <si>
    <t>SERBIA PELLET</t>
  </si>
  <si>
    <t>1240-PAL--SERBIA PELLET-2024</t>
  </si>
  <si>
    <t>1241</t>
  </si>
  <si>
    <t>IT00124COC00678</t>
  </si>
  <si>
    <t>INDUSTRIA CALCE CASERTANA</t>
  </si>
  <si>
    <t>BUCCINO</t>
  </si>
  <si>
    <t>1241-INDUSTRIA CALCE CASERTANA--BUCCINO-2024</t>
  </si>
  <si>
    <t>1242</t>
  </si>
  <si>
    <t>IT00124COC00996</t>
  </si>
  <si>
    <t>MARKT BIBART</t>
  </si>
  <si>
    <t>1242-EGGER--MARKT BIBART-2024</t>
  </si>
  <si>
    <t>1243</t>
  </si>
  <si>
    <t>TM0624- FV 23177/78-SANATHAN- FCS &amp; ACS R5</t>
  </si>
  <si>
    <t>SANATHAN TEXTILES LTD.</t>
  </si>
  <si>
    <t>SANATHAN</t>
  </si>
  <si>
    <t>CHANDIGARH</t>
  </si>
  <si>
    <t>FHS + AHS</t>
  </si>
  <si>
    <t>1243 - SANATHAN TEXTILES LTD. - SANATHAN - CHANDIGARH - 2024</t>
  </si>
  <si>
    <t>1244</t>
  </si>
  <si>
    <t>IT00124COC00694</t>
  </si>
  <si>
    <t>1244-EGGER--HEXHAM-2024</t>
  </si>
  <si>
    <t>1245</t>
  </si>
  <si>
    <t>IT00124COC00751</t>
  </si>
  <si>
    <t>1245-EGGER--LEXINGTON-2024</t>
  </si>
  <si>
    <t>1246</t>
  </si>
  <si>
    <t>IT00124COC00714</t>
  </si>
  <si>
    <t>NEUMARKT</t>
  </si>
  <si>
    <t>1246-DIEFFENBACHER--NEUMARKT-2024</t>
  </si>
  <si>
    <t>1247</t>
  </si>
  <si>
    <t>IT00124COC00710</t>
  </si>
  <si>
    <t>MOVING FLOOR FOR BIOMASS HANDLING</t>
  </si>
  <si>
    <t>1247-PAL--LINEX PANNEAUX-2024</t>
  </si>
  <si>
    <t>1248</t>
  </si>
  <si>
    <t>IT00124COC00768</t>
  </si>
  <si>
    <t>CONIOLO</t>
  </si>
  <si>
    <t>NUOVO CARICO TORRE DI PULIZIA</t>
  </si>
  <si>
    <t>1248-PAL-IPAN CONIOLO-CARICO TORRE DI PULIZIA-2024</t>
  </si>
  <si>
    <t>1249</t>
  </si>
  <si>
    <t>IT00124COC00771</t>
  </si>
  <si>
    <t>BISACCO - BUCCINO</t>
  </si>
  <si>
    <t>TKK</t>
  </si>
  <si>
    <t>1249-INDUSTRIA CALCE CASERTANA--BISACCO - BUCCINO-2024</t>
  </si>
  <si>
    <t>1250</t>
  </si>
  <si>
    <t>IT00124COC00880</t>
  </si>
  <si>
    <t>MENZNAU</t>
  </si>
  <si>
    <t>STEP1</t>
  </si>
  <si>
    <t>1250-PAL-SWISS KRONO-MENZNAU-2024</t>
  </si>
  <si>
    <t>IT00124COC00881</t>
  </si>
  <si>
    <t>STEP2</t>
  </si>
  <si>
    <t>1251</t>
  </si>
  <si>
    <t>IT00124COC00894</t>
  </si>
  <si>
    <t>CARMEUSE</t>
  </si>
  <si>
    <t>1251-PAL-CARMEUSE-ROMANIA-2024</t>
  </si>
  <si>
    <t>1252</t>
  </si>
  <si>
    <t>IT00124COC00874</t>
  </si>
  <si>
    <t>SERRANDA</t>
  </si>
  <si>
    <t>1252-KRONOSPAN--TORTOSA-2024</t>
  </si>
  <si>
    <t>1253</t>
  </si>
  <si>
    <t>IT00124COC00893</t>
  </si>
  <si>
    <t>1253-INSTALMEC-KRONOSPAN-AUXERRE-2024</t>
  </si>
  <si>
    <t>1254</t>
  </si>
  <si>
    <t>TM 1124-03.09.2024 MONDELEZ-R2</t>
  </si>
  <si>
    <t>MONDELEZ</t>
  </si>
  <si>
    <t>BADDI</t>
  </si>
  <si>
    <t>1254-FORBES VYNCKE-MONDELEZ-BADDI-2024</t>
  </si>
  <si>
    <t>3TH PASS SCREW</t>
  </si>
  <si>
    <t>1255</t>
  </si>
  <si>
    <t>IT00124COC00884</t>
  </si>
  <si>
    <t>BORG PB</t>
  </si>
  <si>
    <t>ASH</t>
  </si>
  <si>
    <t>1255 - VYNCKE-BORG-BORG PB-2024</t>
  </si>
  <si>
    <t>1256</t>
  </si>
  <si>
    <t>SAHYADRI CHAKAN</t>
  </si>
  <si>
    <t>1256-FORBES VYNCKE--SAHYADRI CHAKAN-2024</t>
  </si>
  <si>
    <t>1257</t>
  </si>
  <si>
    <t>TRASMEC INDIA PRIVATE LIMITED</t>
  </si>
  <si>
    <t>AARTI ACHEMIE AHS</t>
  </si>
  <si>
    <t>1257-TRASMEC INDIA PRIVATE LIMITED--AARTI ACHEMIE AHS-2024</t>
  </si>
  <si>
    <t>1258</t>
  </si>
  <si>
    <t>AARTI PHARMA</t>
  </si>
  <si>
    <t>1258-TRASMEC INDIA PRIVATE LIMITED--AARTI PHARMA-2024</t>
  </si>
  <si>
    <t>1259</t>
  </si>
  <si>
    <t>MYLAN</t>
  </si>
  <si>
    <t>1259-TRASMEC INDIA PRIVATE LIMITED--MYLAN-2024</t>
  </si>
  <si>
    <t>1260</t>
  </si>
  <si>
    <t>AMBARNATH</t>
  </si>
  <si>
    <t>1260-TRASMEC INDIA PRIVATE LIMITED--AMBARNATH-2024</t>
  </si>
  <si>
    <t>1261</t>
  </si>
  <si>
    <t>IT00124COC00929</t>
  </si>
  <si>
    <t>UNILIN BAZEILLES OSIRIS</t>
  </si>
  <si>
    <t>1261-DIEFFENBACHER--UNILIN BAZEILLES OSIRIS-2024</t>
  </si>
  <si>
    <t>1262</t>
  </si>
  <si>
    <t>IT00124COC00963</t>
  </si>
  <si>
    <t>NEA</t>
  </si>
  <si>
    <t>DEASCHING SYSTEM</t>
  </si>
  <si>
    <t>1262 - VYNCKE--NEA-2024</t>
  </si>
  <si>
    <t>1263</t>
  </si>
  <si>
    <t>IT00124COC00923</t>
  </si>
  <si>
    <t>1263-PAL-EGGER-BRILON-2024</t>
  </si>
  <si>
    <t>1264</t>
  </si>
  <si>
    <t>IT00124COC00946</t>
  </si>
  <si>
    <t>MARTINO ROSSI SPA</t>
  </si>
  <si>
    <t>MALAGNINO</t>
  </si>
  <si>
    <t>MODIFICA COCLEE</t>
  </si>
  <si>
    <t>1264-MARTINO ROSSI SPA--MALAGNINO-2024</t>
  </si>
  <si>
    <t>1265</t>
  </si>
  <si>
    <t>IT00124COC00965</t>
  </si>
  <si>
    <t>FORESA</t>
  </si>
  <si>
    <t>CALDAS DE REYES</t>
  </si>
  <si>
    <t>1265-FORESA-FORESA-CALDAS DE REYES-2024</t>
  </si>
  <si>
    <t>1266</t>
  </si>
  <si>
    <t>IT00124COC01029-1080-1081-1082</t>
  </si>
  <si>
    <t>ALBIOMA LE MOULE</t>
  </si>
  <si>
    <t>GUADELOUPE</t>
  </si>
  <si>
    <t>1266-SERA ENERGIES--ALBIOMA LE MOULE-2024</t>
  </si>
  <si>
    <t>1267</t>
  </si>
  <si>
    <t>IT00124COC01007</t>
  </si>
  <si>
    <t>DUNISKY</t>
  </si>
  <si>
    <t>SHAFTLESS SCREWS</t>
  </si>
  <si>
    <t>1267-EIREBLOC LTD--DUNISKY-2024</t>
  </si>
  <si>
    <t>1268</t>
  </si>
  <si>
    <t>TM 62 2024-MONDELEZ SRICITI-TECHNICAL-R6</t>
  </si>
  <si>
    <t>MONDELEZ INDIA FOOD</t>
  </si>
  <si>
    <t xml:space="preserve">MONDELEZ </t>
  </si>
  <si>
    <t>SRI CITY</t>
  </si>
  <si>
    <t>1268-MONDELEZ INDIA FOOD-MONDELEZ -SRI CITY-2024</t>
  </si>
  <si>
    <t>1269</t>
  </si>
  <si>
    <t>OC24CS-0001069</t>
  </si>
  <si>
    <t>KIJCHAI MDF3</t>
  </si>
  <si>
    <t>1269-VYNCKE--KIJCHAI MDF3-2024</t>
  </si>
  <si>
    <t>1270</t>
  </si>
  <si>
    <t>OC24CS-0065078</t>
  </si>
  <si>
    <t>YALIAN MACHINERY CO., LTD</t>
  </si>
  <si>
    <t>PB500 Upgrade</t>
  </si>
  <si>
    <t>1270-YALIAN MACHINERY CO., LTD---2024</t>
  </si>
  <si>
    <t>1271</t>
  </si>
  <si>
    <t>IT00124COC01065</t>
  </si>
  <si>
    <t>CMP FRATI</t>
  </si>
  <si>
    <t>POMPONESCO</t>
  </si>
  <si>
    <t>RICAMBI NR 2 SERRANDE PNEUMATICHE</t>
  </si>
  <si>
    <t>1271-CMP FRATI--POMPONESCO-2024</t>
  </si>
  <si>
    <t>IT0012024TRT00224</t>
  </si>
  <si>
    <t>MDF L5</t>
  </si>
  <si>
    <t>IT0012024TRT00224-METRO--MDF L5-2024</t>
  </si>
  <si>
    <t>IT0012024TRT00279</t>
  </si>
  <si>
    <t>IT00124COC01179</t>
  </si>
  <si>
    <t>NV_DRENIK</t>
  </si>
  <si>
    <t>IT0012024TRT00279-VYNCKE--NV_DRENIK-2024</t>
  </si>
  <si>
    <t>IT0012024TRT00304</t>
  </si>
  <si>
    <t>IT00124COC01186</t>
  </si>
  <si>
    <t>IT00124SQN00246R01</t>
  </si>
  <si>
    <t>ENGIE</t>
  </si>
  <si>
    <t>RIVAROLO CANAVESE</t>
  </si>
  <si>
    <t>IT0012024TRT00073</t>
  </si>
  <si>
    <t>IT00124COC01196</t>
  </si>
  <si>
    <t>Column17</t>
  </si>
  <si>
    <t>Column18</t>
  </si>
  <si>
    <t>Column19</t>
  </si>
  <si>
    <t>INVIATA</t>
  </si>
  <si>
    <t>CANCELLED</t>
  </si>
  <si>
    <t>Completed</t>
  </si>
  <si>
    <t>Compleded</t>
  </si>
  <si>
    <t>?</t>
  </si>
  <si>
    <t>???</t>
  </si>
  <si>
    <t>IT00125COC00028</t>
  </si>
  <si>
    <t>COMPARTIMENTAZIONE SILI</t>
  </si>
  <si>
    <t>Manca quella del 2026</t>
  </si>
  <si>
    <t>ASH HANDLING SYSTEM</t>
  </si>
  <si>
    <t>IT00125COC00002</t>
  </si>
  <si>
    <t>IT0012024TRT00304-EGGER--MARKT BIBART-2024</t>
  </si>
  <si>
    <t>IT00125COC00024</t>
  </si>
  <si>
    <t>IT0012024TRT00304-EGGER--MARKT BIBART-2025</t>
  </si>
  <si>
    <t>IT0012024TRT00321</t>
  </si>
  <si>
    <t>IT00124COC01258</t>
  </si>
  <si>
    <t>IT00124COC01259</t>
  </si>
  <si>
    <t>IT0012024TRT00266</t>
  </si>
  <si>
    <t>IT00124COC01244</t>
  </si>
  <si>
    <t>AUSTRALIAN PANELS</t>
  </si>
  <si>
    <t>BORG FLAKING AREA PB GAMBIER</t>
  </si>
  <si>
    <t>IT0012025TRT00001</t>
  </si>
  <si>
    <t>TM492024-AARTI IND LTD-JHAGADIA-TECHNO COMMERCIAL PROPOSAL -R5 05.12.24</t>
  </si>
  <si>
    <t>AARTI INDUSTRIES LTD</t>
  </si>
  <si>
    <t>JHAGADIA</t>
  </si>
  <si>
    <t>IT0012025TRT00001-AARTI INDUSTRIES LTD--JHAGADIA-2025</t>
  </si>
  <si>
    <t>IT0012024TRT00249</t>
  </si>
  <si>
    <t>IT0012024TRT00249-EGGER-EGGER-RION DES LANDES-2025</t>
  </si>
  <si>
    <t>IT0012024TRT00301</t>
  </si>
  <si>
    <t>IT00125COC00007</t>
  </si>
  <si>
    <t>IT0012024TRT00307</t>
  </si>
  <si>
    <t>IT00125COC00004</t>
  </si>
  <si>
    <t>ENGIE DS SMITH</t>
  </si>
  <si>
    <t>IT0012024TRT00307-VYNCKE-ENGIE DS SMITH-ENGIE DS SMITH-2025</t>
  </si>
  <si>
    <t>IT0012022TRT00361</t>
  </si>
  <si>
    <t>LA ROQUETTE 1</t>
  </si>
  <si>
    <t>IT0012025TRT00023</t>
  </si>
  <si>
    <t>NEW CHIPS STORAGE</t>
  </si>
  <si>
    <t>TURKEY</t>
  </si>
  <si>
    <t>IT0012024TRT00243</t>
  </si>
  <si>
    <t>OC24CS-0009088</t>
  </si>
  <si>
    <t>METRO PARTICLE Co., Ltd</t>
  </si>
  <si>
    <t>METRO PB2</t>
  </si>
  <si>
    <t>IT0012024TRT00243-METRO PARTICLE Co., Ltd--METRO PB2-2025</t>
  </si>
  <si>
    <t>IT0012024TRT00147</t>
  </si>
  <si>
    <t>IT00125COC00012</t>
  </si>
  <si>
    <t>IT0012024TRT00147-DIEFFENBACHER--LIGNATHERM-2025</t>
  </si>
  <si>
    <t>IT0012025TRT00024</t>
  </si>
  <si>
    <t>IT00125COC00015</t>
  </si>
  <si>
    <t>DOSING SCREW</t>
  </si>
  <si>
    <t>IT0012025TRT00024-KRONOSPAN--BURGOS-2025</t>
  </si>
  <si>
    <t>IT0012024TRT00281</t>
  </si>
  <si>
    <t>IT00125COC00016</t>
  </si>
  <si>
    <t>SAVIOLA MORTARA</t>
  </si>
  <si>
    <t>IT0012024TRT00281-PAL--SAVIOLA MORTARA-2025</t>
  </si>
  <si>
    <t>IT0012024TRT00283</t>
  </si>
  <si>
    <t>IT00125COC00019</t>
  </si>
  <si>
    <t>IT0012024TRT00283-EGGER--HEXHAM-2025</t>
  </si>
  <si>
    <t>IT0012025TRT00004</t>
  </si>
  <si>
    <t>IT00125COC00006</t>
  </si>
  <si>
    <t>MAGNON MAHOU</t>
  </si>
  <si>
    <t>IT0012025TRT00004-VYNCKE--MAGNON MAHOU-2025</t>
  </si>
  <si>
    <t>IT0012024TRT00225</t>
  </si>
  <si>
    <t>IT00125COC00011</t>
  </si>
  <si>
    <t>VYNCKE NV</t>
  </si>
  <si>
    <t>SOBONO</t>
  </si>
  <si>
    <t>IT0012024TRT00225-VYNCKE NV--SOBONO-2025</t>
  </si>
  <si>
    <t>IT0012024TRT00060</t>
  </si>
  <si>
    <t>IT00125COC00008</t>
  </si>
  <si>
    <t>TARTAK</t>
  </si>
  <si>
    <t>Declerck</t>
  </si>
  <si>
    <t>IT0012024TRT00060-VYNCKE NV--TARTAK-2025</t>
  </si>
  <si>
    <t>IT0012024TRT00294</t>
  </si>
  <si>
    <t>IT00125COC00009</t>
  </si>
  <si>
    <t xml:space="preserve"> DALKIA SYLVIA</t>
  </si>
  <si>
    <t>IT0012024TRT00294-VYNCKE-- DALKIA SYLVIA-2025</t>
  </si>
  <si>
    <t>IT00125COC00033</t>
  </si>
  <si>
    <t>IT0012025TRT00055</t>
  </si>
  <si>
    <t>IT00125COC00031</t>
  </si>
  <si>
    <t>COGELAND</t>
  </si>
  <si>
    <t>IT0012025TRT00055-VYNCKE--COGELAND-2025</t>
  </si>
  <si>
    <t>IT0012024TRT00102</t>
  </si>
  <si>
    <t>Completata parte di ingegneria</t>
  </si>
  <si>
    <t>DELHEZ BOIS SA</t>
  </si>
  <si>
    <t>ECOPULSER PROJECT</t>
  </si>
  <si>
    <t>IT0012025TRT00051</t>
  </si>
  <si>
    <t xml:space="preserve">FRATI </t>
  </si>
  <si>
    <t>POMPONESCO - TRITURATORE FERRARI</t>
  </si>
  <si>
    <t>NUOVO CARICO TRITURATORE FERRARI</t>
  </si>
  <si>
    <t>IT0012025TRT00051-FRATI --POMPONESCO - TRITURATORE FERRARI-2025</t>
  </si>
  <si>
    <t>IT00125COC00032</t>
  </si>
  <si>
    <t>BUNKER</t>
  </si>
  <si>
    <t>IT0012025TRT00066</t>
  </si>
  <si>
    <t>POMPONESCO - TRASLANTI PESSA</t>
  </si>
  <si>
    <t>SOSTITUZIONE NASTRO SCARICO TRASLANTE PESSA</t>
  </si>
  <si>
    <t>IT0012025TRT00066-FRATI --POMPONESCO - TRASLANTI PESSA-2025</t>
  </si>
  <si>
    <t>IT0012024TRT00280</t>
  </si>
  <si>
    <t>WOODECO WIERUSZOW</t>
  </si>
  <si>
    <t>IT0012024TRT00280-PAL--WOODECO WIERUSZOW-2025</t>
  </si>
  <si>
    <t>IT0012025TRT00044</t>
  </si>
  <si>
    <t>Energy Plant</t>
  </si>
  <si>
    <t>Fuel conveyors</t>
  </si>
  <si>
    <t>IT0012025TRT00044-SOBONO ENERGY--Energy Plant-2025</t>
  </si>
  <si>
    <t>Ash conveyors</t>
  </si>
  <si>
    <t>IT0012024TRT00319</t>
  </si>
  <si>
    <t>IT00125COC00051</t>
  </si>
  <si>
    <t>TN 1200 LT</t>
  </si>
  <si>
    <t>IT0012025TRT00069</t>
  </si>
  <si>
    <t>TM9024 FV- AGRISTO MASAN-FHS &amp; AHS-TECHNICAL - R1 15.01.25</t>
  </si>
  <si>
    <t xml:space="preserve">AGRISTO MASA </t>
  </si>
  <si>
    <t>AGRISTO BIJNOR</t>
  </si>
  <si>
    <t>8-9 months from order</t>
  </si>
  <si>
    <t>IT0012025TRT00069-FORBES VYNCKE-AGRISTO MASA -AGRISTO BIJNOR-2025</t>
  </si>
  <si>
    <t>IT0012021TRT00243</t>
  </si>
  <si>
    <t>solo offerta</t>
  </si>
  <si>
    <t>IT0012021TRT00243-SERA ENERGIES--NOVAWOOD-</t>
  </si>
  <si>
    <t>IT0012025TRT00033</t>
  </si>
  <si>
    <t>OC25CS-0118010</t>
  </si>
  <si>
    <t>FMIL</t>
  </si>
  <si>
    <t>COC CR + TK</t>
  </si>
  <si>
    <t>Ignaas</t>
  </si>
  <si>
    <t>IT0012025TRT00033-ECL--FMIL-2025</t>
  </si>
  <si>
    <t>ARC00001</t>
  </si>
  <si>
    <t>IT00125COC00045</t>
  </si>
  <si>
    <t>A.R.C.E.M.I. IMPIANTI</t>
  </si>
  <si>
    <t>FLSMIDTH A/S</t>
  </si>
  <si>
    <t>IT0012025TRT00029</t>
  </si>
  <si>
    <t>IT00125COC00038</t>
  </si>
  <si>
    <t>LANOIL</t>
  </si>
  <si>
    <t>ASH CONVEYORS</t>
  </si>
  <si>
    <t>IT0012025TRT00029-VYNCKE NV--LANOIL-2025</t>
  </si>
  <si>
    <t>IT0012025TRT00012</t>
  </si>
  <si>
    <t>PGE</t>
  </si>
  <si>
    <t>IT0012025TRT00012-VYNCKE NV--PGE-2025</t>
  </si>
  <si>
    <t>IT0012024TRT00263</t>
  </si>
  <si>
    <t>OC24CS-0118079</t>
  </si>
  <si>
    <t xml:space="preserve">MAHARAJAN PB </t>
  </si>
  <si>
    <t>IT0012024TRT00263-ECL--MAHARAJAN PB -2025</t>
  </si>
  <si>
    <t>IT0012025TRT00052</t>
  </si>
  <si>
    <t>IT00125COC00047</t>
  </si>
  <si>
    <t>COCLEA DOSATRICE</t>
  </si>
  <si>
    <t>IT0012025TRT00052-IMAL-ASM IREN-VERCELLI-2025</t>
  </si>
  <si>
    <t>IT0012025TRT00095</t>
  </si>
  <si>
    <t>BUNGE MARTFU II</t>
  </si>
  <si>
    <t>IT0012025TRT00095-VYNCKE NV--BUNGE MARTFU II-2025</t>
  </si>
  <si>
    <t>IT0012025TRT00094</t>
  </si>
  <si>
    <t>ADVANCE FIBER</t>
  </si>
  <si>
    <t>NEW SPB LINE-1500</t>
  </si>
  <si>
    <t>CHIPPING LINE AND STORAGE</t>
  </si>
  <si>
    <t>IT0012025TRT00094-ADVANCE FIBER--NEW SPB LINE-1500-2025</t>
  </si>
  <si>
    <t>IT0012025TRT00014</t>
  </si>
  <si>
    <t>IT00125COC00026</t>
  </si>
  <si>
    <t>EGGER ST JOHANN TIROL</t>
  </si>
  <si>
    <t>Bandboard LT</t>
  </si>
  <si>
    <t>IT0012025TRT00014-EGGER--EGGER ST JOHANN TIROL-2025</t>
  </si>
  <si>
    <t>IT0012025TRT00015</t>
  </si>
  <si>
    <t>IT00125COC00022</t>
  </si>
  <si>
    <t>DIEFFENBACHER GMBH</t>
  </si>
  <si>
    <t>WOODECO GRAJEWO</t>
  </si>
  <si>
    <t>IT0012025TRT00015-DIEFFENBACHER GMBH--WOODECO GRAJEWO-2025</t>
  </si>
  <si>
    <t>IT0012025TRT00064</t>
  </si>
  <si>
    <t>ENSO ACOR</t>
  </si>
  <si>
    <t>Rakan</t>
  </si>
  <si>
    <t>IT0012025TRT00064-VYNCKE NV--ENSO ACOR-2025</t>
  </si>
  <si>
    <t>IT0012025TRT00058</t>
  </si>
  <si>
    <t>IT00125COC00053</t>
  </si>
  <si>
    <t>IT0012025TRT00058-SONAE ARAUCO---2025</t>
  </si>
  <si>
    <t>Sensors on hydraulic unit (SEE SCHEME FM000086-00)</t>
  </si>
  <si>
    <t>SE0010</t>
  </si>
  <si>
    <t>SE0030-35</t>
  </si>
  <si>
    <t>SE0022</t>
  </si>
  <si>
    <t>SE0021</t>
  </si>
  <si>
    <t>SE0017</t>
  </si>
  <si>
    <t>WEIGHING SYSTEM</t>
  </si>
  <si>
    <t>SE0003</t>
  </si>
  <si>
    <t>SE0126</t>
  </si>
  <si>
    <t>BE0805C</t>
  </si>
  <si>
    <t>TM F00</t>
  </si>
  <si>
    <t>BE0806C</t>
  </si>
  <si>
    <t>TM F01</t>
  </si>
  <si>
    <t>BE0807C</t>
  </si>
  <si>
    <t>TM F02</t>
  </si>
  <si>
    <t>BE0808C</t>
  </si>
  <si>
    <t>TM F02.1</t>
  </si>
  <si>
    <t>BE0809C</t>
  </si>
  <si>
    <t>TM F03</t>
  </si>
  <si>
    <t>BE0810C</t>
  </si>
  <si>
    <t>TM F04</t>
  </si>
  <si>
    <t>BE0811C</t>
  </si>
  <si>
    <t>TM F05</t>
  </si>
  <si>
    <t>BE0812C</t>
  </si>
  <si>
    <t>TM F06</t>
  </si>
  <si>
    <t>BE0813C</t>
  </si>
  <si>
    <t>TM F07</t>
  </si>
  <si>
    <t>BE0814C</t>
  </si>
  <si>
    <t>TM F08</t>
  </si>
  <si>
    <t>BE0815C</t>
  </si>
  <si>
    <t>TM F10</t>
  </si>
  <si>
    <t>BE0817C</t>
  </si>
  <si>
    <t>TM F10.2</t>
  </si>
  <si>
    <t>BE0818C</t>
  </si>
  <si>
    <t>TM F11</t>
  </si>
  <si>
    <t>BE0819C</t>
  </si>
  <si>
    <t>TM F12</t>
  </si>
  <si>
    <t>BE0820C</t>
  </si>
  <si>
    <t>TM F13</t>
  </si>
  <si>
    <t>BE0821C</t>
  </si>
  <si>
    <t>TM F14</t>
  </si>
  <si>
    <t>BE0822C</t>
  </si>
  <si>
    <t>TM F15</t>
  </si>
  <si>
    <t>BE0823C</t>
  </si>
  <si>
    <t>TM F16</t>
  </si>
  <si>
    <t>DC</t>
  </si>
  <si>
    <t>SPEED CONTROL - RELATIVE ENCODER</t>
  </si>
  <si>
    <t>PN1005-9</t>
  </si>
  <si>
    <t>350i/a</t>
  </si>
  <si>
    <t>UTILCELL</t>
  </si>
  <si>
    <t>F.F.</t>
  </si>
  <si>
    <t>SWITCH OVERFLOW - INLET</t>
  </si>
  <si>
    <t>IT0012024TRT00274</t>
  </si>
  <si>
    <t>IT00125COC00061</t>
  </si>
  <si>
    <t>TK21HP+SERRANDA+COCLEA</t>
  </si>
  <si>
    <t>IT0012024TRT00274-EGGER--RAMBERVILLERS-2025</t>
  </si>
  <si>
    <t>SE0052-03</t>
  </si>
  <si>
    <t>SE0004</t>
  </si>
  <si>
    <t>SE0110</t>
  </si>
  <si>
    <t>SE0018</t>
  </si>
  <si>
    <t>SE0020</t>
  </si>
  <si>
    <t>SE0019</t>
  </si>
  <si>
    <t>SE0046-15</t>
  </si>
  <si>
    <t>IT00125COC00054</t>
  </si>
  <si>
    <t>BECIS ANSELL</t>
  </si>
  <si>
    <t>FUEL AND ASH HANDLING</t>
  </si>
  <si>
    <t>OC24CS-0009073</t>
  </si>
  <si>
    <t>IT0012024TRT00321-ENGIE-ENGIE-RIVAROLO CANAVESE-2025</t>
  </si>
  <si>
    <t>IT0012024TRT00073-DIEFFENBACHER-EGGER-MARKT BIBART-2024</t>
  </si>
  <si>
    <t>IT0012024TRT00266-AUSTRALIAN PANELS-BORG-BORG FLAKING AREA PB GAMBIER-2025</t>
  </si>
  <si>
    <t>IT0012024TRT00301-LINEX PANNEAUX--LINEX PANNEAUX-2025</t>
  </si>
  <si>
    <t>IT0012022TRT00361-SERA ENERGIES--LA ROQUETTE 1-2025</t>
  </si>
  <si>
    <t>IT0012025TRT00023-AGT--AGT-2025</t>
  </si>
  <si>
    <t>RHEINSPAN</t>
  </si>
  <si>
    <t>IT0012024TRT00102-PAL--RHEINSPAN-2025</t>
  </si>
  <si>
    <t>DIEFFENBACHER PANELBOARD OY</t>
  </si>
  <si>
    <t xml:space="preserve">EGGER </t>
  </si>
  <si>
    <t>UNACEM ATOCONGO</t>
  </si>
  <si>
    <t>ARC00001-A.R.C.E.M.I. IMPIANTI-FLSMIDTH A/S-UNACEM ATOCONGO-2025</t>
  </si>
  <si>
    <t>IT00125COC00060</t>
  </si>
  <si>
    <t>IT0012025TRT00101</t>
  </si>
  <si>
    <t>IT00125COC00055</t>
  </si>
  <si>
    <t>IT0012025TRT00101-BIPAN--BIPAN-2025</t>
  </si>
  <si>
    <t>IT0012025TRT00091</t>
  </si>
  <si>
    <t>IT00125COC00064</t>
  </si>
  <si>
    <t>N°5 TK15</t>
  </si>
  <si>
    <t>IT0012025TRT00091-KRONOSPAN--TORTOSA-2025</t>
  </si>
  <si>
    <t>IT00125COC00067</t>
  </si>
  <si>
    <t>N°1 TK15 E MODIFICA ALLA COC00064</t>
  </si>
  <si>
    <t>IT0012023TRT00237</t>
  </si>
  <si>
    <t>IT00125COC00041</t>
  </si>
  <si>
    <t>REVAMPING</t>
  </si>
  <si>
    <t>IT0012023TRT00237-NOVOPAN DEL ECUADOR S.A--NOVOPAN-2025</t>
  </si>
  <si>
    <t>IT0012025TRT00045</t>
  </si>
  <si>
    <t>IT00125COC00063</t>
  </si>
  <si>
    <t>SIGMA</t>
  </si>
  <si>
    <t>ASH SCREWS</t>
  </si>
  <si>
    <t>IT0012025TRT00045-VYNCKE NV--SIGMA-2025</t>
  </si>
  <si>
    <t>IT0012025TRT00047</t>
  </si>
  <si>
    <t>IT00125COC00065</t>
  </si>
  <si>
    <t>PORTA PTY</t>
  </si>
  <si>
    <t>BORG MT. GAMBIER</t>
  </si>
  <si>
    <t>FUEL INFEED SYSTEM FOR BOILER</t>
  </si>
  <si>
    <t>IT0012025TRT00047-PORTA PTY--BORG MT. GAMBIER-2025</t>
  </si>
  <si>
    <t>IT0012025TRT00061</t>
  </si>
  <si>
    <t>IT00125COC00062</t>
  </si>
  <si>
    <t>WEYERHAEUSER LSL</t>
  </si>
  <si>
    <t>SWIVEL SCREW CONVEYORS</t>
  </si>
  <si>
    <t>IT0012025TRT00061-DIEFFENBACHER--WEYERHAEUSER LSL-2025</t>
  </si>
  <si>
    <t>IT0012025TRT00067</t>
  </si>
  <si>
    <t>IT00125COC00070</t>
  </si>
  <si>
    <t>N°1 TK40HP</t>
  </si>
  <si>
    <t>IT0012025TRT00067-PAL-SONAE ARAUCO-LINARES-2025</t>
  </si>
  <si>
    <t>7 COCLEE</t>
  </si>
  <si>
    <t>PERU</t>
  </si>
  <si>
    <t>ARCEMI</t>
  </si>
  <si>
    <t>Lovat</t>
  </si>
  <si>
    <t>ARC00002</t>
  </si>
  <si>
    <t>UNICALCE</t>
  </si>
  <si>
    <t>NASTRO BORDERBAND + PULITORE A CATENA</t>
  </si>
  <si>
    <t>ARC00002-A.R.C.E.M.I. IMPIANTI-UNICALCE--2025</t>
  </si>
  <si>
    <t>ARC00003</t>
  </si>
  <si>
    <t>A2A AMBIENTE SPA</t>
  </si>
  <si>
    <t>N°1 VALVOLA ROTANTE + ACCESSORI</t>
  </si>
  <si>
    <t>ARC00003-A.R.C.E.M.I. IMPIANTI-A2A AMBIENTE SPA--2025</t>
  </si>
  <si>
    <t>IT0012025TRT00131</t>
  </si>
  <si>
    <t>SHB BENIN</t>
  </si>
  <si>
    <t>BENIN</t>
  </si>
  <si>
    <t>IT0012025TRT00131-VYNCKE NV--SHB BENIN-2025</t>
  </si>
  <si>
    <t>IT0012025TRT00103</t>
  </si>
  <si>
    <t>N°1 TK15 FOR DUST</t>
  </si>
  <si>
    <t>IT0012025TRT00103-EGGER--HEXHAM-2025</t>
  </si>
  <si>
    <t>IT00125COC00109</t>
  </si>
  <si>
    <t>IT00125COC00102</t>
  </si>
  <si>
    <t>IT00125COC00110</t>
  </si>
  <si>
    <t>IT0012024TRT00102 TBD</t>
  </si>
  <si>
    <t>IT0012025TRT00105</t>
  </si>
  <si>
    <t>IT0012025TRT00105-DELHEZ BOIS SA--DELHEZ BOIS-2025</t>
  </si>
  <si>
    <t>DALKIA SOLVAY</t>
  </si>
  <si>
    <t>IT0012024TRT00294-VYNCKE--DALKIA SOLVAY-2025</t>
  </si>
  <si>
    <t>IT0012024TRT00319-DIEFFENBACHER--PANELBOARD OY-2025</t>
  </si>
  <si>
    <t>IT0012024TRT00313</t>
  </si>
  <si>
    <t>IT0012024TRT00313-VYNCKE NV--BECIS ANSELL-2025</t>
  </si>
  <si>
    <t>Colombi</t>
  </si>
  <si>
    <t>IT00125COC00084</t>
  </si>
  <si>
    <t>SCHEMES APPROVED</t>
  </si>
  <si>
    <t>OPEN</t>
  </si>
  <si>
    <t>IT0012025TRT00013</t>
  </si>
  <si>
    <t>IT00125COC00075</t>
  </si>
  <si>
    <t>HOOGWEG</t>
  </si>
  <si>
    <t>REVAMP</t>
  </si>
  <si>
    <t>NETHERLANDS</t>
  </si>
  <si>
    <t>IT0012025TRT00013-VYNCKE NV--HOOGWEG-2025</t>
  </si>
  <si>
    <t>IT0012023TRT00269</t>
  </si>
  <si>
    <t>MEDITE</t>
  </si>
  <si>
    <t>IT0012023TRT00269-DIEFFENBACHER--MEDITE-2025</t>
  </si>
  <si>
    <t>IT0012024TRT00327</t>
  </si>
  <si>
    <t>IT00125COC00068</t>
  </si>
  <si>
    <t>ILG</t>
  </si>
  <si>
    <t>IT0012024TRT00327-VYNCKE NV--ILG-2025</t>
  </si>
  <si>
    <t>IT0012025TRT00132</t>
  </si>
  <si>
    <t>IT00125COC00076</t>
  </si>
  <si>
    <t>DRENIK</t>
  </si>
  <si>
    <t>IT0012025TRT00132-VYNCKE NV--DRENIK-2025</t>
  </si>
  <si>
    <t>IT0012024TRT00231</t>
  </si>
  <si>
    <t>IT00125COC00078</t>
  </si>
  <si>
    <t>WOODECO</t>
  </si>
  <si>
    <t>N°1 TKPNZ + N°2 SCREWS</t>
  </si>
  <si>
    <t>IT0012024TRT00231-WOODECO--GRAJEWO-2025</t>
  </si>
  <si>
    <t>IT0012025TRT00113</t>
  </si>
  <si>
    <t>IT00125COC00074</t>
  </si>
  <si>
    <t>LAMINEX GROUP</t>
  </si>
  <si>
    <t>LAMINEX</t>
  </si>
  <si>
    <t>SCHEME APPROVED</t>
  </si>
  <si>
    <t>IT0012025TRT00113-LAMINEX GROUP--LAMINEX-2025</t>
  </si>
  <si>
    <t>IT0012025TRT00119</t>
  </si>
  <si>
    <t>IT00125COC00083</t>
  </si>
  <si>
    <t>N°1 TK35HP</t>
  </si>
  <si>
    <t>IT0012025TRT00119-KRONOSPAN--BURGOS-2025</t>
  </si>
  <si>
    <t>IT0012025TRT00126</t>
  </si>
  <si>
    <t>IT00125COC00079</t>
  </si>
  <si>
    <t>N°4 FLAP</t>
  </si>
  <si>
    <t>IT0012025TRT00126-KRONOSPAN--TORTOSA-2025</t>
  </si>
  <si>
    <t>IT0012025TRT00068</t>
  </si>
  <si>
    <t>IT00125COC00085</t>
  </si>
  <si>
    <t>SERA</t>
  </si>
  <si>
    <t>VAULX EN VELIN</t>
  </si>
  <si>
    <t>TRIPPER LT</t>
  </si>
  <si>
    <t>IT0012025TRT00068-SERA--VAULX EN VELIN-2025</t>
  </si>
  <si>
    <t>IT0012025TRT00138</t>
  </si>
  <si>
    <t>CRUSHING AREA 100 - TKK60PNZ</t>
  </si>
  <si>
    <t>IT0012025TRT00138-INSTALMEC--KRONOSPAN TORTOSA-2025</t>
  </si>
  <si>
    <t>IT0012025TRT00017</t>
  </si>
  <si>
    <t>IT00125COC00087</t>
  </si>
  <si>
    <t>N°1 SCREW</t>
  </si>
  <si>
    <t>SCHEME TO BE DEVELOPED</t>
  </si>
  <si>
    <t>IT0012025TRT00017-KRONOSPAN--TORTOSA-2025</t>
  </si>
  <si>
    <t>IT0012022TRT00239</t>
  </si>
  <si>
    <t>IT00125COC00086</t>
  </si>
  <si>
    <t>IT0012022TRT00239-DIEFFENBACHER--TARTAK-2025</t>
  </si>
  <si>
    <t>IT0012025TRT00032</t>
  </si>
  <si>
    <t>IT00125COC00088</t>
  </si>
  <si>
    <t>N°1 TK30HP</t>
  </si>
  <si>
    <t>IT0012025TRT00032-KRONOSPAN--TORTOSA-2025</t>
  </si>
  <si>
    <t>IT0012025TRT00140</t>
  </si>
  <si>
    <t>TM9124 BOMBAY DYEING FHS &amp; AHS - R2-15-04-2025.</t>
  </si>
  <si>
    <t>BOMBAY DYEING CO. LTD</t>
  </si>
  <si>
    <t>PATALGANGA MAHARASHTRA</t>
  </si>
  <si>
    <t>IT0012025TRT00140-BOMBAY DYEING CO. LTD--PATALGANGA MAHARASHTRA-2025</t>
  </si>
  <si>
    <t>IT0012025TRT00141</t>
  </si>
  <si>
    <t>SANAND GUJARAT</t>
  </si>
  <si>
    <t>IT0012025TRT00031</t>
  </si>
  <si>
    <t>OC24CS-0004102</t>
  </si>
  <si>
    <t>SWPM-LULI</t>
  </si>
  <si>
    <t>N.6 COCLEE BRANDEGGIANTI Ø800 L=6700</t>
  </si>
  <si>
    <t>IT0012025TRT00031 - SWPM - LULI - 2025</t>
  </si>
  <si>
    <t>IT0012025TRT00148</t>
  </si>
  <si>
    <t>FV24185 - No offer number</t>
  </si>
  <si>
    <t>SERUM</t>
  </si>
  <si>
    <t>MANJARI</t>
  </si>
  <si>
    <t>IT0012025TRT00148-SERUM--MANJARI-2025</t>
  </si>
  <si>
    <t>IT0012025TRT00102</t>
  </si>
  <si>
    <t>IT00125COC00097</t>
  </si>
  <si>
    <t>IT0012025TRT00102-FANTONI--OSOPPO-2025</t>
  </si>
  <si>
    <t>IT0012025TRT00136</t>
  </si>
  <si>
    <t>IT00125COC00118</t>
  </si>
  <si>
    <t>MARTORELL</t>
  </si>
  <si>
    <t>PROGETTO PALLET BLOCK E PALLET</t>
  </si>
  <si>
    <t>IT0012025TRT00136-IMAL--MARTORELL-2025</t>
  </si>
  <si>
    <t>IT0012025TRT00070</t>
  </si>
  <si>
    <t>IT00125COC00099</t>
  </si>
  <si>
    <t>N°2 TK</t>
  </si>
  <si>
    <t>SCHEME UNDER DEVELOPMENT</t>
  </si>
  <si>
    <t>IT0012025TRT00070-EGGER--MARKT BIBART-2025</t>
  </si>
  <si>
    <t>IT0012025TRT00099</t>
  </si>
  <si>
    <t>IT00125COC00098</t>
  </si>
  <si>
    <t>GRIGOLIN</t>
  </si>
  <si>
    <t>N°1 SCREW + TK ELONGATION</t>
  </si>
  <si>
    <t xml:space="preserve">TK MODULE TO BE CONFIRMED </t>
  </si>
  <si>
    <t>IT0012025TRT00099-PAL--GRIGOLIN-2025</t>
  </si>
  <si>
    <t>IT0012025TRT00142</t>
  </si>
  <si>
    <t>IT00125COC00096</t>
  </si>
  <si>
    <t>SCREW BLACK SAWDUST</t>
  </si>
  <si>
    <t>IT0012025TRT00142-FANTONI--OSOPPO-2025</t>
  </si>
  <si>
    <t>IT0012025TRT00030</t>
  </si>
  <si>
    <t>OC24CS-0004108</t>
  </si>
  <si>
    <t>TRUPAN</t>
  </si>
  <si>
    <t>N.3° SWIVEL SCREW CONVEYOR</t>
  </si>
  <si>
    <t>CHILE</t>
  </si>
  <si>
    <t>IT0012025TRT00030-DIEFFENBACHER-ARAUCO-TRUPAN-2025</t>
  </si>
  <si>
    <t>IT0012023TRT00192</t>
  </si>
  <si>
    <t>MERCURIO</t>
  </si>
  <si>
    <t>MOSAICO</t>
  </si>
  <si>
    <t>BURGO TOLMEZZO</t>
  </si>
  <si>
    <t>CARICO CALDAIA</t>
  </si>
  <si>
    <t>IT0012023TRT00192-MERCURIO-MOSAICO-BURGO TOLMEZZO-2025</t>
  </si>
  <si>
    <t>IT0012023TRT00144</t>
  </si>
  <si>
    <t>ENORIS</t>
  </si>
  <si>
    <t>MASSY</t>
  </si>
  <si>
    <t>IT0012023TRT00144-SERA-ENORIS-MASSY-2025</t>
  </si>
  <si>
    <t>IT0012022TRT00358</t>
  </si>
  <si>
    <t>JOUDELIAI</t>
  </si>
  <si>
    <t>IT0012022TRT00358-IMAL--JOUDELIAI-2025</t>
  </si>
  <si>
    <t>IT0012024TRT00258</t>
  </si>
  <si>
    <t>IT00125COC00105</t>
  </si>
  <si>
    <t>SCREW FOR UREA</t>
  </si>
  <si>
    <t>IT0012024TRT00258-FANTONI--OSOPPO-2025</t>
  </si>
  <si>
    <t>IT0012025TRT0139</t>
  </si>
  <si>
    <t>IT00125COC00106</t>
  </si>
  <si>
    <t>TKK 800ASH</t>
  </si>
  <si>
    <t>IT0012025TRT0139-FANTONI--OSOPPO-2025</t>
  </si>
  <si>
    <t>ARC00004</t>
  </si>
  <si>
    <t>PROMOVAL</t>
  </si>
  <si>
    <t>REDLER EKF</t>
  </si>
  <si>
    <t>ARC00004-A.R.C.E.M.I. IMPIANTI-PROMOVAL--2025</t>
  </si>
  <si>
    <t>IT0012025TRT00107</t>
  </si>
  <si>
    <t>IT00125COC00080</t>
  </si>
  <si>
    <t>TWI GHANA</t>
  </si>
  <si>
    <t>IT0012025TRT00107-VYNCKE NV--TWI GHANA-2025</t>
  </si>
  <si>
    <t>IT0012025TRT00172</t>
  </si>
  <si>
    <t>ENGIE TUAS PHARMA</t>
  </si>
  <si>
    <t>IT0012025TRT00172-VYNCKE NV--ENGIE TUAS PHARMA-2025</t>
  </si>
  <si>
    <t>IT0012025TRT00049</t>
  </si>
  <si>
    <t>SAVIOLA</t>
  </si>
  <si>
    <t>SUSTINENTE</t>
  </si>
  <si>
    <t>IT0012025TRT00049-PAL-SAVIOLA-SUSTINENTE-2025</t>
  </si>
  <si>
    <t>IT0012025TRT00118</t>
  </si>
  <si>
    <t>IT00125COC00119</t>
  </si>
  <si>
    <t>CONVEYORS FORMING AREA</t>
  </si>
  <si>
    <t>IT0012025TRT00118-DIEFFENBACHER--WEYERHAEUSER LSL-2025</t>
  </si>
  <si>
    <t>IT0012025TRT00036</t>
  </si>
  <si>
    <t>IT0012025TRT00036-METRO-MDF L5-2025</t>
  </si>
  <si>
    <t>IT0012025TRT00022</t>
  </si>
  <si>
    <t>PROVENCE HUILES</t>
  </si>
  <si>
    <t>IT0012025TRT00022-VYNCKE NV-PROVENCE HUILES-2025</t>
  </si>
  <si>
    <t>AHS HANDLING</t>
  </si>
  <si>
    <t>IT0012025TRT00012-VYNCKE NV-PGE-2025</t>
  </si>
  <si>
    <t>IT0012025TRT00048</t>
  </si>
  <si>
    <t>COC CR</t>
  </si>
  <si>
    <t>IT0012025TRT00048-SIEMPELKAMP-METRO-MDF L5-2025</t>
  </si>
  <si>
    <t>IT0012025TRT00021</t>
  </si>
  <si>
    <t>SONAE OLIVEIRA</t>
  </si>
  <si>
    <t>IT0012025TRT00021-VYNCKE NV-SONAE OLIVEIRA-2025</t>
  </si>
  <si>
    <t>IT0012025TRT00019</t>
  </si>
  <si>
    <t>CARGILL</t>
  </si>
  <si>
    <t>IT0012025TRT00019-VYNCKE NV-CARGILL-2025</t>
  </si>
  <si>
    <t>IT0012025TRT00098</t>
  </si>
  <si>
    <t>IT00125COC00123</t>
  </si>
  <si>
    <t>ARKH</t>
  </si>
  <si>
    <t>PACK</t>
  </si>
  <si>
    <t>MDF3</t>
  </si>
  <si>
    <t>CHIPS STORAGE &amp; HANDLING</t>
  </si>
  <si>
    <t>IT0012025TRT00098-ARKH-PACK-MDF3-2025</t>
  </si>
  <si>
    <t>IT0012024TRT00293</t>
  </si>
  <si>
    <t>IT00125COC00125</t>
  </si>
  <si>
    <t>IT0012024TRT00293-ARKH-PACK-MDF2-2025</t>
  </si>
  <si>
    <t>LIMIT SWITCH COUNTERWEIGHT</t>
  </si>
  <si>
    <t>RELEASED</t>
  </si>
  <si>
    <t>TRM ITY</t>
  </si>
  <si>
    <t>SE1022</t>
  </si>
  <si>
    <t>SE1023</t>
  </si>
  <si>
    <t>SE1020</t>
  </si>
  <si>
    <t>Link to PE folder</t>
  </si>
  <si>
    <t>IT00125COC00122</t>
  </si>
  <si>
    <t>IT00125COC00050</t>
  </si>
  <si>
    <t>IT00125COC00049</t>
  </si>
  <si>
    <t>FHS: 1 CLP 3 TKK19
ASH: 2 TK11 + ATC</t>
  </si>
  <si>
    <t>FHS: mancano distinte TKK19
ASH:
TK11 mancano disegni fatti correttamente</t>
  </si>
  <si>
    <t>FHS: 1 TKK19; 1COC; 1 TN650
ASH: 1 ATC</t>
  </si>
  <si>
    <t>SCHEMES TO BE FINALIZED</t>
  </si>
  <si>
    <t>TM9424-FV- BECIS-AGARTAS, SANAND GUJARAT – FUEL &amp; ASH
HANDLING SYSTEM – R3</t>
  </si>
  <si>
    <t>AGARTAS</t>
  </si>
  <si>
    <t>FHS: 1 TKK19; 1TKK24; 1COC; 2 COC DOS
ASH: 3 ATC; 1 TK??</t>
  </si>
  <si>
    <t>LAYOUT TO BE APPROVED</t>
  </si>
  <si>
    <t>IT0012025TRT00141-AGARTAS--SANAND GUJARAT-2025</t>
  </si>
  <si>
    <t>FHS: 1 TN-TM</t>
  </si>
  <si>
    <t>FHS: DWG of TNTM to be developed</t>
  </si>
  <si>
    <t>IT00125COC00598</t>
  </si>
  <si>
    <t>IT0012025TRT00181</t>
  </si>
  <si>
    <t>IT00125COC00132</t>
  </si>
  <si>
    <t>ZBASZYNEK</t>
  </si>
  <si>
    <t>FLY ASH SCREW</t>
  </si>
  <si>
    <t>IT0012025TRT00181-VYNCKE NV-IKEA-ZBASZYNEK-2025</t>
  </si>
  <si>
    <t>IT0012025TRT00184</t>
  </si>
  <si>
    <t>VANACHAI</t>
  </si>
  <si>
    <t>TKK H2O</t>
  </si>
  <si>
    <t>Vincent</t>
  </si>
  <si>
    <t>IT0012025TRT00184-VANACHAI-MDF 2-2025</t>
  </si>
  <si>
    <t>IT0012025TRT00112</t>
  </si>
  <si>
    <t>IT00125COC00120</t>
  </si>
  <si>
    <t>N.1 PNEUMATIC SLIDING GATE</t>
  </si>
  <si>
    <t>ONLY SENSOR LIST</t>
  </si>
  <si>
    <t>IT0012025TRT00112-PAL-NORBORD-WEST FRASER-2025</t>
  </si>
  <si>
    <t>IT00124SQN00346</t>
  </si>
  <si>
    <t>STADWERKE LEMGO</t>
  </si>
  <si>
    <t>IT00124SQN00346-VYNCKE NV-STADWERKE LEMGO-2025</t>
  </si>
  <si>
    <t>IT0012025TRT00190</t>
  </si>
  <si>
    <t>DISTILLERIE D' ARZENS</t>
  </si>
  <si>
    <t>IT0012025TRT00190-VYNCKE NV-DISTILLERIE D' ARZENS-2025</t>
  </si>
  <si>
    <t>IT0012025TRT00190-SOBONO ENERGY-ENGIE TUAS PHARMA-2025</t>
  </si>
  <si>
    <t>ARC00005</t>
  </si>
  <si>
    <t>COLACEM</t>
  </si>
  <si>
    <t>TUNISI</t>
  </si>
  <si>
    <t>Redler KSF</t>
  </si>
  <si>
    <t>TUNISIA</t>
  </si>
  <si>
    <t>ARC00005-A.R.C.E.M.I. IMPIANTI-COLACEM-TUNISI-2025</t>
  </si>
  <si>
    <t>ARC00006</t>
  </si>
  <si>
    <t>ELEVATORE A CATENE</t>
  </si>
  <si>
    <t>ARC00006-A.R.C.E.M.I. IMPIANTI-INDUSTRIA CALCE CASERTANA-2025</t>
  </si>
  <si>
    <t>IT0012025TRT00106</t>
  </si>
  <si>
    <t>IT00125COC00127</t>
  </si>
  <si>
    <t>COCLEA RECUPERO SCARTI DA WINDSIFTERS</t>
  </si>
  <si>
    <t>IT0012025TRT00106-KASTAMONU ITALIA-2025</t>
  </si>
  <si>
    <t>IT0012025TRT00198</t>
  </si>
  <si>
    <t>EASTCONSULT</t>
  </si>
  <si>
    <t>DRY SORTING LINE</t>
  </si>
  <si>
    <t>IT0012025TRT00198-EASTCONSULT-DRY SORTING LINE-2025</t>
  </si>
  <si>
    <t>IT0012025TRT00206</t>
  </si>
  <si>
    <t>SUSBDE</t>
  </si>
  <si>
    <t>NAGPUR</t>
  </si>
  <si>
    <t>PROPOSED ZWTE FACILITY</t>
  </si>
  <si>
    <t>IT0012025TRT00206-SUSBDE-NAGPUR-2025</t>
  </si>
  <si>
    <t>ARC00007</t>
  </si>
  <si>
    <t>Calce Slovacchia</t>
  </si>
  <si>
    <t>SLOVACCHIA</t>
  </si>
  <si>
    <t>ARC00007-A.R.C.E.M.I. IMPIANTI-Calce Slovacchia-2025</t>
  </si>
  <si>
    <t>IT0012025TRT00097</t>
  </si>
  <si>
    <t>IT00125COC00140</t>
  </si>
  <si>
    <t>TK LEGNO</t>
  </si>
  <si>
    <t>IT0012025TRT00097-INDUSTRIA CALCE CASERTANA-BUCCINO-2025</t>
  </si>
  <si>
    <t>IT001202XTRT000XX</t>
  </si>
  <si>
    <t>IT00125COC00144</t>
  </si>
  <si>
    <t>CARMEUSE BELGIO</t>
  </si>
  <si>
    <t>BELGIO</t>
  </si>
  <si>
    <t>IT001202XTRT000XX-PAL-CARMEUSE BELGIO-2025</t>
  </si>
  <si>
    <t>IT0012025TRT00152</t>
  </si>
  <si>
    <t>IT00125COC00139</t>
  </si>
  <si>
    <t>N°2 COCLEE</t>
  </si>
  <si>
    <t>PAnnunzio</t>
  </si>
  <si>
    <t>IT0012025TRT00152-INDUSTRIA CALCE CASERTANA-BUCCINO-2025</t>
  </si>
  <si>
    <t>IT0012025TRT00143</t>
  </si>
  <si>
    <t>REDLER TK CARICO MULINI</t>
  </si>
  <si>
    <t>IT0012025TRT00143-FRATI-POMPONESCO-2025</t>
  </si>
  <si>
    <t/>
  </si>
  <si>
    <t>PN1006</t>
  </si>
  <si>
    <t>Silent-block with lift-off prevention mod. 35909</t>
  </si>
  <si>
    <t>Base plate mod. 35911</t>
  </si>
  <si>
    <t>Weighing transmitter SWIFT RAIL RS+ANALOG mod.89450</t>
  </si>
  <si>
    <t>Mounting box for transmitter mod.89458</t>
  </si>
  <si>
    <t>Load cell cable 20m rif.89009</t>
  </si>
  <si>
    <t>PN1007</t>
  </si>
  <si>
    <t>PN1008</t>
  </si>
  <si>
    <t>PN1009</t>
  </si>
  <si>
    <t>PN1010</t>
  </si>
  <si>
    <t>PN1011</t>
  </si>
  <si>
    <t>Output 0-20mA</t>
  </si>
  <si>
    <t>This component does not need power. It is powered by the transmitter PN1009</t>
  </si>
  <si>
    <t>Junction box 4 load cells mod. 89053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</si>
</sst>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1" x14ac:knownFonts="1">
    <font>
      <sz val="8"/>
      <name val="Arial"/>
    </font>
    <font>
      <sz val="8"/>
      <name val="Arial Narrow"/>
      <family val="2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 Narrow"/>
      <family val="2"/>
    </font>
    <font>
      <sz val="9"/>
      <name val="Arial Narrow"/>
      <family val="2"/>
    </font>
    <font>
      <u/>
      <sz val="10"/>
      <color indexed="12"/>
      <name val="Arial"/>
      <family val="2"/>
    </font>
    <font>
      <sz val="14"/>
      <color indexed="12"/>
      <name val="Cambria"/>
      <family val="1"/>
    </font>
    <font>
      <b/>
      <sz val="16"/>
      <name val="Arial Narrow"/>
      <family val="2"/>
    </font>
    <font>
      <b/>
      <sz val="9"/>
      <name val="Arial Narrow"/>
      <family val="2"/>
    </font>
    <font>
      <b/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sz val="12"/>
      <color indexed="8"/>
      <name val="Arial"/>
      <family val="2"/>
    </font>
    <font>
      <sz val="10"/>
      <name val="Arial Narrow"/>
      <family val="2"/>
    </font>
    <font>
      <b/>
      <sz val="7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49" fontId="14" fillId="0" borderId="2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7" fillId="0" borderId="4" xfId="1" applyFont="1" applyFill="1" applyBorder="1" applyAlignment="1" applyProtection="1">
      <alignment horizontal="center"/>
      <protection locked="0"/>
    </xf>
    <xf numFmtId="0" fontId="7" fillId="0" borderId="5" xfId="1" applyFont="1" applyFill="1" applyBorder="1" applyAlignment="1" applyProtection="1">
      <alignment horizontal="center"/>
      <protection locked="0"/>
    </xf>
    <xf numFmtId="0" fontId="11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12" xfId="0" applyFont="1" applyBorder="1" applyAlignment="1" applyProtection="1">
      <alignment horizontal="center" vertical="center"/>
      <protection locked="0"/>
    </xf>
    <xf numFmtId="0" fontId="7" fillId="0" borderId="13" xfId="1" applyFont="1" applyFill="1" applyBorder="1" applyAlignment="1" applyProtection="1">
      <alignment horizont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49" fontId="14" fillId="0" borderId="14" xfId="0" applyNumberFormat="1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3" fillId="4" borderId="9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164" fontId="13" fillId="4" borderId="9" xfId="0" applyNumberFormat="1" applyFont="1" applyFill="1" applyBorder="1" applyAlignment="1" applyProtection="1">
      <alignment horizontal="center" vertical="center"/>
      <protection locked="0"/>
    </xf>
    <xf numFmtId="164" fontId="13" fillId="4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49" fontId="15" fillId="0" borderId="21" xfId="0" applyNumberFormat="1" applyFont="1" applyBorder="1" applyAlignment="1" applyProtection="1">
      <alignment horizontal="center" vertical="center"/>
      <protection locked="0"/>
    </xf>
    <xf numFmtId="49" fontId="15" fillId="0" borderId="22" xfId="0" applyNumberFormat="1" applyFont="1" applyBorder="1" applyAlignment="1" applyProtection="1">
      <alignment horizontal="center" vertical="center"/>
      <protection locked="0"/>
    </xf>
    <xf numFmtId="49" fontId="15" fillId="0" borderId="23" xfId="0" applyNumberFormat="1" applyFont="1" applyBorder="1" applyAlignment="1" applyProtection="1">
      <alignment horizontal="center" vertical="center"/>
      <protection locked="0"/>
    </xf>
    <xf numFmtId="14" fontId="15" fillId="0" borderId="42" xfId="0" applyNumberFormat="1" applyFont="1" applyBorder="1" applyAlignment="1">
      <alignment horizontal="center" vertical="center"/>
    </xf>
    <xf numFmtId="14" fontId="18" fillId="0" borderId="45" xfId="0" applyNumberFormat="1" applyFont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3" fillId="4" borderId="45" xfId="0" applyFont="1" applyFill="1" applyBorder="1" applyAlignment="1" applyProtection="1">
      <alignment horizontal="center" vertical="center"/>
      <protection locked="0"/>
    </xf>
    <xf numFmtId="0" fontId="11" fillId="3" borderId="45" xfId="0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164" fontId="13" fillId="4" borderId="45" xfId="0" applyNumberFormat="1" applyFont="1" applyFill="1" applyBorder="1" applyAlignment="1" applyProtection="1">
      <alignment horizontal="center" vertical="center"/>
      <protection locked="0"/>
    </xf>
    <xf numFmtId="0" fontId="5" fillId="0" borderId="47" xfId="0" applyFont="1" applyBorder="1" applyAlignment="1">
      <alignment vertical="center"/>
    </xf>
    <xf numFmtId="164" fontId="13" fillId="4" borderId="48" xfId="0" applyNumberFormat="1" applyFont="1" applyFill="1" applyBorder="1" applyAlignment="1" applyProtection="1">
      <alignment horizontal="center" vertical="center"/>
      <protection locked="0"/>
    </xf>
    <xf numFmtId="0" fontId="14" fillId="4" borderId="45" xfId="0" applyFont="1" applyFill="1" applyBorder="1" applyAlignment="1">
      <alignment horizontal="center" vertical="center"/>
    </xf>
    <xf numFmtId="0" fontId="7" fillId="0" borderId="51" xfId="1" applyFont="1" applyFill="1" applyBorder="1" applyAlignment="1" applyProtection="1">
      <alignment horizontal="center"/>
      <protection locked="0"/>
    </xf>
    <xf numFmtId="0" fontId="13" fillId="0" borderId="52" xfId="0" applyFont="1" applyBorder="1" applyAlignment="1" applyProtection="1">
      <alignment horizontal="center" vertical="center"/>
      <protection locked="0"/>
    </xf>
    <xf numFmtId="49" fontId="14" fillId="0" borderId="52" xfId="0" applyNumberFormat="1" applyFont="1" applyBorder="1" applyAlignment="1" applyProtection="1">
      <alignment horizontal="center" vertical="center"/>
      <protection locked="0"/>
    </xf>
    <xf numFmtId="0" fontId="11" fillId="0" borderId="52" xfId="0" applyFont="1" applyBorder="1" applyAlignment="1" applyProtection="1">
      <alignment horizontal="center" vertical="center"/>
      <protection locked="0"/>
    </xf>
    <xf numFmtId="0" fontId="18" fillId="0" borderId="56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 vertical="center"/>
    </xf>
    <xf numFmtId="0" fontId="7" fillId="6" borderId="51" xfId="1" applyFont="1" applyFill="1" applyBorder="1" applyAlignment="1" applyProtection="1">
      <alignment horizont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49" fontId="15" fillId="0" borderId="53" xfId="0" applyNumberFormat="1" applyFont="1" applyBorder="1" applyAlignment="1" applyProtection="1">
      <alignment horizontal="center" vertical="center"/>
      <protection locked="0"/>
    </xf>
    <xf numFmtId="49" fontId="15" fillId="0" borderId="54" xfId="0" applyNumberFormat="1" applyFont="1" applyBorder="1" applyAlignment="1" applyProtection="1">
      <alignment horizontal="center" vertical="center"/>
      <protection locked="0"/>
    </xf>
    <xf numFmtId="49" fontId="15" fillId="0" borderId="55" xfId="0" applyNumberFormat="1" applyFont="1" applyBorder="1" applyAlignment="1" applyProtection="1">
      <alignment horizontal="center" vertical="center"/>
      <protection locked="0"/>
    </xf>
    <xf numFmtId="0" fontId="13" fillId="6" borderId="3" xfId="0" applyFont="1" applyFill="1" applyBorder="1" applyAlignment="1" applyProtection="1">
      <alignment horizontal="center" vertical="center"/>
      <protection locked="0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8" fillId="0" borderId="12" xfId="0" applyFont="1" applyBorder="1" applyAlignment="1" applyProtection="1">
      <alignment horizontal="center" vertical="center" wrapText="1"/>
      <protection locked="0"/>
    </xf>
    <xf numFmtId="0" fontId="11" fillId="6" borderId="52" xfId="0" applyFont="1" applyFill="1" applyBorder="1" applyAlignment="1" applyProtection="1">
      <alignment horizontal="center" vertical="center"/>
      <protection locked="0"/>
    </xf>
    <xf numFmtId="0" fontId="18" fillId="6" borderId="52" xfId="0" applyFont="1" applyFill="1" applyBorder="1" applyAlignment="1" applyProtection="1">
      <alignment horizontal="center" vertical="center"/>
      <protection locked="0"/>
    </xf>
    <xf numFmtId="0" fontId="18" fillId="6" borderId="56" xfId="0" applyFont="1" applyFill="1" applyBorder="1" applyAlignment="1" applyProtection="1">
      <alignment horizontal="center" vertical="center"/>
      <protection locked="0"/>
    </xf>
    <xf numFmtId="0" fontId="18" fillId="6" borderId="56" xfId="0" applyFont="1" applyFill="1" applyBorder="1" applyAlignment="1" applyProtection="1">
      <alignment horizontal="center" vertical="center" wrapText="1"/>
      <protection locked="0"/>
    </xf>
    <xf numFmtId="0" fontId="18" fillId="6" borderId="1" xfId="0" applyFont="1" applyFill="1" applyBorder="1" applyAlignment="1" applyProtection="1">
      <alignment horizontal="center" vertical="center"/>
      <protection locked="0"/>
    </xf>
    <xf numFmtId="49" fontId="15" fillId="0" borderId="21" xfId="0" applyNumberFormat="1" applyFont="1" applyBorder="1" applyAlignment="1" applyProtection="1">
      <alignment horizontal="center" vertical="center"/>
      <protection locked="0"/>
    </xf>
    <xf numFmtId="49" fontId="15" fillId="0" borderId="22" xfId="0" applyNumberFormat="1" applyFont="1" applyBorder="1" applyAlignment="1" applyProtection="1">
      <alignment horizontal="center" vertical="center"/>
      <protection locked="0"/>
    </xf>
    <xf numFmtId="49" fontId="15" fillId="0" borderId="23" xfId="0" applyNumberFormat="1" applyFont="1" applyBorder="1" applyAlignment="1" applyProtection="1">
      <alignment horizontal="center" vertical="center"/>
      <protection locked="0"/>
    </xf>
    <xf numFmtId="0" fontId="13" fillId="0" borderId="71" xfId="0" applyFont="1" applyBorder="1" applyAlignment="1" applyProtection="1">
      <alignment horizontal="center" vertical="center"/>
      <protection locked="0"/>
    </xf>
    <xf numFmtId="0" fontId="13" fillId="0" borderId="58" xfId="0" applyFont="1" applyBorder="1" applyAlignment="1" applyProtection="1">
      <alignment horizontal="center" vertical="center"/>
      <protection locked="0"/>
    </xf>
    <xf numFmtId="0" fontId="13" fillId="0" borderId="52" xfId="0" applyFont="1" applyBorder="1" applyAlignment="1" applyProtection="1">
      <alignment horizontal="center" vertical="center"/>
      <protection locked="0"/>
    </xf>
    <xf numFmtId="49" fontId="14" fillId="0" borderId="71" xfId="0" applyNumberFormat="1" applyFont="1" applyBorder="1" applyAlignment="1" applyProtection="1">
      <alignment horizontal="center" vertical="center"/>
      <protection locked="0"/>
    </xf>
    <xf numFmtId="49" fontId="14" fillId="0" borderId="58" xfId="0" applyNumberFormat="1" applyFont="1" applyBorder="1" applyAlignment="1" applyProtection="1">
      <alignment horizontal="center" vertical="center"/>
      <protection locked="0"/>
    </xf>
    <xf numFmtId="49" fontId="14" fillId="0" borderId="52" xfId="0" applyNumberFormat="1" applyFont="1" applyBorder="1" applyAlignment="1" applyProtection="1">
      <alignment horizontal="center" vertical="center"/>
      <protection locked="0"/>
    </xf>
    <xf numFmtId="49" fontId="15" fillId="0" borderId="72" xfId="0" applyNumberFormat="1" applyFont="1" applyBorder="1" applyAlignment="1" applyProtection="1">
      <alignment horizontal="center" vertical="center"/>
      <protection locked="0"/>
    </xf>
    <xf numFmtId="49" fontId="15" fillId="0" borderId="73" xfId="0" applyNumberFormat="1" applyFont="1" applyBorder="1" applyAlignment="1" applyProtection="1">
      <alignment horizontal="center" vertical="center"/>
      <protection locked="0"/>
    </xf>
    <xf numFmtId="49" fontId="15" fillId="0" borderId="74" xfId="0" applyNumberFormat="1" applyFont="1" applyBorder="1" applyAlignment="1" applyProtection="1">
      <alignment horizontal="center" vertical="center"/>
      <protection locked="0"/>
    </xf>
    <xf numFmtId="49" fontId="15" fillId="0" borderId="29" xfId="0" applyNumberFormat="1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/>
    </xf>
    <xf numFmtId="49" fontId="15" fillId="0" borderId="30" xfId="0" applyNumberFormat="1" applyFont="1" applyBorder="1" applyAlignment="1" applyProtection="1">
      <alignment horizontal="center" vertical="center"/>
      <protection locked="0"/>
    </xf>
    <xf numFmtId="49" fontId="15" fillId="0" borderId="53" xfId="0" applyNumberFormat="1" applyFont="1" applyBorder="1" applyAlignment="1" applyProtection="1">
      <alignment horizontal="center" vertical="center"/>
      <protection locked="0"/>
    </xf>
    <xf numFmtId="49" fontId="15" fillId="0" borderId="54" xfId="0" applyNumberFormat="1" applyFont="1" applyBorder="1" applyAlignment="1" applyProtection="1">
      <alignment horizontal="center" vertical="center"/>
      <protection locked="0"/>
    </xf>
    <xf numFmtId="49" fontId="15" fillId="0" borderId="55" xfId="0" applyNumberFormat="1" applyFont="1" applyBorder="1" applyAlignment="1" applyProtection="1">
      <alignment horizontal="center" vertical="center"/>
      <protection locked="0"/>
    </xf>
    <xf numFmtId="49" fontId="15" fillId="0" borderId="24" xfId="0" applyNumberFormat="1" applyFont="1" applyBorder="1" applyAlignment="1" applyProtection="1">
      <alignment horizontal="center" vertical="center"/>
      <protection locked="0"/>
    </xf>
    <xf numFmtId="49" fontId="15" fillId="0" borderId="25" xfId="0" applyNumberFormat="1" applyFont="1" applyBorder="1" applyAlignment="1" applyProtection="1">
      <alignment horizontal="center" vertical="center"/>
      <protection locked="0"/>
    </xf>
    <xf numFmtId="49" fontId="15" fillId="0" borderId="26" xfId="0" applyNumberFormat="1" applyFont="1" applyBorder="1" applyAlignment="1" applyProtection="1">
      <alignment horizontal="center" vertical="center"/>
      <protection locked="0"/>
    </xf>
    <xf numFmtId="49" fontId="11" fillId="4" borderId="3" xfId="0" applyNumberFormat="1" applyFont="1" applyFill="1" applyBorder="1" applyAlignment="1">
      <alignment horizontal="center" vertical="center" wrapText="1"/>
    </xf>
    <xf numFmtId="49" fontId="11" fillId="4" borderId="16" xfId="0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49" fontId="15" fillId="0" borderId="31" xfId="0" applyNumberFormat="1" applyFont="1" applyBorder="1" applyAlignment="1" applyProtection="1">
      <alignment horizontal="center" vertical="center"/>
      <protection locked="0"/>
    </xf>
    <xf numFmtId="49" fontId="15" fillId="0" borderId="32" xfId="0" applyNumberFormat="1" applyFont="1" applyBorder="1" applyAlignment="1" applyProtection="1">
      <alignment horizontal="center" vertical="center"/>
      <protection locked="0"/>
    </xf>
    <xf numFmtId="49" fontId="15" fillId="0" borderId="33" xfId="0" applyNumberFormat="1" applyFont="1" applyBorder="1" applyAlignment="1" applyProtection="1">
      <alignment horizontal="center" vertical="center"/>
      <protection locked="0"/>
    </xf>
    <xf numFmtId="0" fontId="12" fillId="0" borderId="37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4" borderId="69" xfId="0" applyFont="1" applyFill="1" applyBorder="1" applyAlignment="1" applyProtection="1">
      <alignment horizontal="center" vertical="center"/>
      <protection locked="0"/>
    </xf>
    <xf numFmtId="0" fontId="13" fillId="4" borderId="11" xfId="0" applyFont="1" applyFill="1" applyBorder="1" applyAlignment="1" applyProtection="1">
      <alignment horizontal="center" vertical="center"/>
      <protection locked="0"/>
    </xf>
    <xf numFmtId="0" fontId="14" fillId="5" borderId="69" xfId="0" applyFont="1" applyFill="1" applyBorder="1" applyAlignment="1">
      <alignment horizontal="left" vertical="center"/>
    </xf>
    <xf numFmtId="0" fontId="14" fillId="5" borderId="70" xfId="0" applyFont="1" applyFill="1" applyBorder="1" applyAlignment="1">
      <alignment horizontal="left" vertical="center"/>
    </xf>
    <xf numFmtId="0" fontId="14" fillId="5" borderId="11" xfId="0" applyFont="1" applyFill="1" applyBorder="1" applyAlignment="1">
      <alignment horizontal="left" vertical="center"/>
    </xf>
    <xf numFmtId="0" fontId="13" fillId="4" borderId="43" xfId="0" applyFont="1" applyFill="1" applyBorder="1" applyAlignment="1" applyProtection="1">
      <alignment horizontal="center" vertical="center"/>
      <protection locked="0"/>
    </xf>
    <xf numFmtId="0" fontId="13" fillId="4" borderId="44" xfId="0" applyFont="1" applyFill="1" applyBorder="1" applyAlignment="1" applyProtection="1">
      <alignment horizontal="center" vertical="center"/>
      <protection locked="0"/>
    </xf>
    <xf numFmtId="0" fontId="13" fillId="6" borderId="71" xfId="0" applyFont="1" applyFill="1" applyBorder="1" applyAlignment="1" applyProtection="1">
      <alignment horizontal="center" vertical="center"/>
      <protection locked="0"/>
    </xf>
    <xf numFmtId="0" fontId="13" fillId="6" borderId="58" xfId="0" applyFont="1" applyFill="1" applyBorder="1" applyAlignment="1" applyProtection="1">
      <alignment horizontal="center" vertical="center"/>
      <protection locked="0"/>
    </xf>
    <xf numFmtId="0" fontId="13" fillId="6" borderId="52" xfId="0" applyFont="1" applyFill="1" applyBorder="1" applyAlignment="1" applyProtection="1">
      <alignment horizontal="center" vertical="center"/>
      <protection locked="0"/>
    </xf>
    <xf numFmtId="0" fontId="11" fillId="2" borderId="41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4" fillId="0" borderId="39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/>
      <protection locked="0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65" xfId="0" applyFont="1" applyFill="1" applyBorder="1" applyAlignment="1">
      <alignment horizontal="center" vertical="center" wrapText="1"/>
    </xf>
    <xf numFmtId="0" fontId="11" fillId="4" borderId="66" xfId="0" applyFont="1" applyFill="1" applyBorder="1" applyAlignment="1">
      <alignment horizontal="center" vertical="center" wrapText="1"/>
    </xf>
    <xf numFmtId="0" fontId="11" fillId="4" borderId="67" xfId="0" applyFont="1" applyFill="1" applyBorder="1" applyAlignment="1">
      <alignment horizontal="center" vertical="center" wrapText="1"/>
    </xf>
    <xf numFmtId="0" fontId="11" fillId="4" borderId="57" xfId="0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center" vertical="center" wrapText="1"/>
    </xf>
    <xf numFmtId="0" fontId="11" fillId="4" borderId="48" xfId="0" applyFont="1" applyFill="1" applyBorder="1" applyAlignment="1">
      <alignment horizontal="center" vertical="center" wrapText="1"/>
    </xf>
    <xf numFmtId="14" fontId="14" fillId="4" borderId="43" xfId="0" applyNumberFormat="1" applyFont="1" applyFill="1" applyBorder="1" applyAlignment="1" applyProtection="1">
      <alignment horizontal="center" vertical="center"/>
      <protection locked="0"/>
    </xf>
    <xf numFmtId="14" fontId="14" fillId="4" borderId="44" xfId="0" applyNumberFormat="1" applyFont="1" applyFill="1" applyBorder="1" applyAlignment="1" applyProtection="1">
      <alignment horizontal="center" vertical="center"/>
      <protection locked="0"/>
    </xf>
    <xf numFmtId="49" fontId="14" fillId="6" borderId="71" xfId="0" applyNumberFormat="1" applyFont="1" applyFill="1" applyBorder="1" applyAlignment="1" applyProtection="1">
      <alignment horizontal="center" vertical="center"/>
      <protection locked="0"/>
    </xf>
    <xf numFmtId="49" fontId="14" fillId="6" borderId="58" xfId="0" applyNumberFormat="1" applyFont="1" applyFill="1" applyBorder="1" applyAlignment="1" applyProtection="1">
      <alignment horizontal="center" vertical="center"/>
      <protection locked="0"/>
    </xf>
    <xf numFmtId="49" fontId="14" fillId="6" borderId="52" xfId="0" applyNumberFormat="1" applyFont="1" applyFill="1" applyBorder="1" applyAlignment="1" applyProtection="1">
      <alignment horizontal="center" vertical="center"/>
      <protection locked="0"/>
    </xf>
    <xf numFmtId="49" fontId="15" fillId="6" borderId="72" xfId="0" applyNumberFormat="1" applyFont="1" applyFill="1" applyBorder="1" applyAlignment="1" applyProtection="1">
      <alignment horizontal="center" vertical="center"/>
      <protection locked="0"/>
    </xf>
    <xf numFmtId="49" fontId="15" fillId="6" borderId="73" xfId="0" applyNumberFormat="1" applyFont="1" applyFill="1" applyBorder="1" applyAlignment="1" applyProtection="1">
      <alignment horizontal="center" vertical="center"/>
      <protection locked="0"/>
    </xf>
    <xf numFmtId="49" fontId="15" fillId="6" borderId="74" xfId="0" applyNumberFormat="1" applyFont="1" applyFill="1" applyBorder="1" applyAlignment="1" applyProtection="1">
      <alignment horizontal="center" vertical="center"/>
      <protection locked="0"/>
    </xf>
    <xf numFmtId="49" fontId="15" fillId="6" borderId="29" xfId="0" applyNumberFormat="1" applyFont="1" applyFill="1" applyBorder="1" applyAlignment="1" applyProtection="1">
      <alignment horizontal="center" vertical="center"/>
      <protection locked="0"/>
    </xf>
    <xf numFmtId="49" fontId="15" fillId="6" borderId="0" xfId="0" applyNumberFormat="1" applyFont="1" applyFill="1" applyAlignment="1" applyProtection="1">
      <alignment horizontal="center" vertical="center"/>
      <protection locked="0"/>
    </xf>
    <xf numFmtId="49" fontId="15" fillId="6" borderId="30" xfId="0" applyNumberFormat="1" applyFont="1" applyFill="1" applyBorder="1" applyAlignment="1" applyProtection="1">
      <alignment horizontal="center" vertical="center"/>
      <protection locked="0"/>
    </xf>
    <xf numFmtId="49" fontId="15" fillId="6" borderId="53" xfId="0" applyNumberFormat="1" applyFont="1" applyFill="1" applyBorder="1" applyAlignment="1" applyProtection="1">
      <alignment horizontal="center" vertical="center"/>
      <protection locked="0"/>
    </xf>
    <xf numFmtId="49" fontId="15" fillId="6" borderId="54" xfId="0" applyNumberFormat="1" applyFont="1" applyFill="1" applyBorder="1" applyAlignment="1" applyProtection="1">
      <alignment horizontal="center" vertical="center"/>
      <protection locked="0"/>
    </xf>
    <xf numFmtId="49" fontId="15" fillId="6" borderId="55" xfId="0" applyNumberFormat="1" applyFont="1" applyFill="1" applyBorder="1" applyAlignment="1" applyProtection="1">
      <alignment horizontal="center" vertical="center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3" fillId="4" borderId="60" xfId="0" applyFont="1" applyFill="1" applyBorder="1" applyAlignment="1" applyProtection="1">
      <alignment horizontal="center" vertical="center"/>
      <protection locked="0"/>
    </xf>
    <xf numFmtId="0" fontId="13" fillId="4" borderId="8" xfId="0" applyFont="1" applyFill="1" applyBorder="1" applyAlignment="1" applyProtection="1">
      <alignment horizontal="center" vertical="center"/>
      <protection locked="0"/>
    </xf>
    <xf numFmtId="0" fontId="11" fillId="2" borderId="60" xfId="0" applyFont="1" applyFill="1" applyBorder="1" applyAlignment="1">
      <alignment horizontal="center" vertical="center"/>
    </xf>
    <xf numFmtId="0" fontId="11" fillId="2" borderId="6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49" fontId="11" fillId="4" borderId="57" xfId="0" applyNumberFormat="1" applyFont="1" applyFill="1" applyBorder="1" applyAlignment="1">
      <alignment horizontal="center" vertical="center" wrapText="1"/>
    </xf>
    <xf numFmtId="49" fontId="11" fillId="4" borderId="58" xfId="0" applyNumberFormat="1" applyFont="1" applyFill="1" applyBorder="1" applyAlignment="1">
      <alignment horizontal="center" vertical="center" wrapText="1"/>
    </xf>
    <xf numFmtId="49" fontId="11" fillId="4" borderId="48" xfId="0" applyNumberFormat="1" applyFont="1" applyFill="1" applyBorder="1" applyAlignment="1">
      <alignment horizontal="center" vertical="center" wrapText="1"/>
    </xf>
    <xf numFmtId="0" fontId="11" fillId="4" borderId="57" xfId="0" applyFont="1" applyFill="1" applyBorder="1" applyAlignment="1">
      <alignment horizontal="center" vertical="center"/>
    </xf>
    <xf numFmtId="0" fontId="11" fillId="4" borderId="58" xfId="0" applyFont="1" applyFill="1" applyBorder="1" applyAlignment="1">
      <alignment horizontal="center" vertical="center"/>
    </xf>
    <xf numFmtId="0" fontId="11" fillId="4" borderId="48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1" fillId="4" borderId="50" xfId="0" applyFont="1" applyFill="1" applyBorder="1" applyAlignment="1">
      <alignment horizontal="center" vertical="center"/>
    </xf>
    <xf numFmtId="0" fontId="11" fillId="4" borderId="62" xfId="0" applyFont="1" applyFill="1" applyBorder="1" applyAlignment="1">
      <alignment horizontal="center" vertical="center"/>
    </xf>
    <xf numFmtId="0" fontId="11" fillId="4" borderId="63" xfId="0" applyFont="1" applyFill="1" applyBorder="1" applyAlignment="1">
      <alignment horizontal="center" vertical="center"/>
    </xf>
    <xf numFmtId="0" fontId="11" fillId="4" borderId="64" xfId="0" applyFont="1" applyFill="1" applyBorder="1" applyAlignment="1">
      <alignment horizontal="center" vertical="center"/>
    </xf>
    <xf numFmtId="0" fontId="14" fillId="5" borderId="60" xfId="0" applyFont="1" applyFill="1" applyBorder="1" applyAlignment="1">
      <alignment horizontal="left" vertical="center"/>
    </xf>
    <xf numFmtId="0" fontId="14" fillId="5" borderId="61" xfId="0" applyFont="1" applyFill="1" applyBorder="1" applyAlignment="1">
      <alignment horizontal="left" vertical="center"/>
    </xf>
    <xf numFmtId="0" fontId="14" fillId="5" borderId="8" xfId="0" applyFont="1" applyFill="1" applyBorder="1" applyAlignment="1">
      <alignment horizontal="left" vertical="center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30" xfId="0" applyFont="1" applyFill="1" applyBorder="1" applyAlignment="1" applyProtection="1">
      <alignment horizontal="center" vertical="center"/>
      <protection locked="0"/>
    </xf>
    <xf numFmtId="0" fontId="10" fillId="4" borderId="46" xfId="0" applyFont="1" applyFill="1" applyBorder="1" applyAlignment="1" applyProtection="1">
      <alignment horizontal="center" vertical="center"/>
      <protection locked="0"/>
    </xf>
    <xf numFmtId="0" fontId="10" fillId="4" borderId="49" xfId="0" applyFont="1" applyFill="1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133349</xdr:colOff>
      <xdr:row>2</xdr:row>
      <xdr:rowOff>161925</xdr:rowOff>
    </xdr:from>
    <xdr:to>
      <xdr:col>14</xdr:col>
      <xdr:colOff>2074116</xdr:colOff>
      <xdr:row>4</xdr:row>
      <xdr:rowOff>180975</xdr:rowOff>
    </xdr:to>
    <xdr:pic>
      <xdr:nvPicPr>
        <xdr:cNvPr id="3" name="Immagine 8">
          <a:extLst>
            <a:ext uri="{FF2B5EF4-FFF2-40B4-BE49-F238E27FC236}">
              <a16:creationId xmlns:a16="http://schemas.microsoft.com/office/drawing/2014/main" id="{2E069109-F481-63BB-F06F-EAC43DDF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2899" y="1190625"/>
          <a:ext cx="1940767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01%20-%20ARCHIVIO%20UFF-TECNICO\05%20-%20DISEGNI%20COSTRUTTIVI%20(PER%20COMMESSA)\Commercial%20and%20general%20parts%20database.xls" TargetMode="External"/><Relationship Id="rId1" Type="http://schemas.openxmlformats.org/officeDocument/2006/relationships/externalLinkPath" Target="/01%20-%20ARCHIVIO%20UFF-TECNICO/05%20-%20DISEGNI%20COSTRUTTIVI%20(PER%20COMMESSA)/Commercial%20and%20general%20parts%20data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"/>
      <sheetName val="CA"/>
      <sheetName val="CE"/>
      <sheetName val="CI"/>
      <sheetName val="CN"/>
      <sheetName val="COCDST"/>
      <sheetName val="CR"/>
      <sheetName val="CT"/>
      <sheetName val="CU"/>
      <sheetName val="DE"/>
      <sheetName val="DT"/>
      <sheetName val="DV"/>
      <sheetName val="DV TRM CHN"/>
      <sheetName val="EL"/>
      <sheetName val="FI"/>
      <sheetName val="GU"/>
      <sheetName val="JN"/>
      <sheetName val="MA"/>
      <sheetName val="MO"/>
      <sheetName val="MS"/>
      <sheetName val="MD"/>
      <sheetName val="MT"/>
      <sheetName val="PN"/>
      <sheetName val="PU"/>
      <sheetName val="PV"/>
      <sheetName val="RM"/>
      <sheetName val="RN"/>
      <sheetName val="SA"/>
      <sheetName val="SC"/>
      <sheetName val="SE"/>
      <sheetName val="SN"/>
      <sheetName val="SP"/>
      <sheetName val="TP-TN"/>
      <sheetName val="TP-TB"/>
      <sheetName val="Foglio1"/>
      <sheetName val="TP-VR"/>
      <sheetName val="TP-ET"/>
      <sheetName val="TP-TH"/>
      <sheetName val="TR"/>
      <sheetName val="TZ"/>
      <sheetName val="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B1" t="str">
            <v>"SE" Prefixes (Sensori)</v>
          </cell>
        </row>
        <row r="7">
          <cell r="A7" t="str">
            <v>Drawing NR</v>
          </cell>
          <cell r="B7" t="str">
            <v>Descrizione</v>
          </cell>
          <cell r="C7" t="str">
            <v>Description</v>
          </cell>
          <cell r="D7" t="str">
            <v>SUPPLIER</v>
          </cell>
          <cell r="E7" t="str">
            <v>MODEL</v>
          </cell>
          <cell r="F7" t="str">
            <v>VOLT</v>
          </cell>
          <cell r="G7" t="str">
            <v>AC/DC</v>
          </cell>
          <cell r="H7" t="str">
            <v>Hz</v>
          </cell>
          <cell r="I7" t="str">
            <v>IP</v>
          </cell>
          <cell r="J7" t="str">
            <v>ATEX</v>
          </cell>
          <cell r="K7" t="str">
            <v>Note</v>
          </cell>
        </row>
        <row r="8">
          <cell r="A8" t="str">
            <v>SE0001</v>
          </cell>
          <cell r="B8" t="str">
            <v>Sensore livello Camlogic</v>
          </cell>
          <cell r="C8" t="str">
            <v>Level sensor Camlogic</v>
          </cell>
          <cell r="D8" t="str">
            <v>CAMLOGIC</v>
          </cell>
          <cell r="E8" t="str">
            <v>PFG05</v>
          </cell>
          <cell r="F8">
            <v>24</v>
          </cell>
          <cell r="G8" t="str">
            <v>DC</v>
          </cell>
          <cell r="J8" t="str">
            <v>ATEX21</v>
          </cell>
        </row>
        <row r="9">
          <cell r="A9" t="str">
            <v>SE0002</v>
          </cell>
          <cell r="B9" t="str">
            <v>Sensore induttivo M30x1.5 IFM II502A</v>
          </cell>
          <cell r="C9" t="str">
            <v>Inductive sensor M30x1.5 IFM II502A</v>
          </cell>
          <cell r="D9" t="str">
            <v>IFM</v>
          </cell>
          <cell r="E9" t="str">
            <v>II502A</v>
          </cell>
          <cell r="F9">
            <v>24</v>
          </cell>
          <cell r="G9" t="str">
            <v>DC</v>
          </cell>
          <cell r="I9">
            <v>67</v>
          </cell>
          <cell r="J9" t="str">
            <v>ATEX22</v>
          </cell>
        </row>
        <row r="10">
          <cell r="A10" t="str">
            <v>SE0003</v>
          </cell>
          <cell r="B10" t="str">
            <v>Connettore M12 IFM EVC27A</v>
          </cell>
          <cell r="C10" t="str">
            <v>Connector M12 IFM EVC27A</v>
          </cell>
          <cell r="D10" t="str">
            <v>IFM</v>
          </cell>
          <cell r="E10" t="str">
            <v>EVC27A</v>
          </cell>
          <cell r="J10" t="str">
            <v>ATEX22</v>
          </cell>
          <cell r="K10" t="str">
            <v>CONNECTOR AND CABLE ATEX22</v>
          </cell>
        </row>
        <row r="11">
          <cell r="A11" t="str">
            <v>SE0004</v>
          </cell>
          <cell r="B11" t="str">
            <v>Sensore induttivo M12x1 IFM IF504A</v>
          </cell>
          <cell r="C11" t="str">
            <v>Inductive sensor M12x1 IFM IF504A</v>
          </cell>
          <cell r="D11" t="str">
            <v>IFM</v>
          </cell>
          <cell r="E11" t="str">
            <v>IF504A</v>
          </cell>
          <cell r="F11">
            <v>24</v>
          </cell>
          <cell r="G11" t="str">
            <v>DC</v>
          </cell>
          <cell r="I11">
            <v>67</v>
          </cell>
          <cell r="J11" t="str">
            <v>ATEX22</v>
          </cell>
        </row>
        <row r="12">
          <cell r="A12" t="str">
            <v>SE0005</v>
          </cell>
          <cell r="B12" t="str">
            <v>Sensore induttivo M12x1 IFM IFS206</v>
          </cell>
          <cell r="C12" t="str">
            <v>Inductive sensor M12x1 IFM IFS206</v>
          </cell>
          <cell r="D12" t="str">
            <v>IFM</v>
          </cell>
          <cell r="E12" t="str">
            <v>IFS206</v>
          </cell>
          <cell r="F12">
            <v>24</v>
          </cell>
          <cell r="G12" t="str">
            <v>DC</v>
          </cell>
          <cell r="I12">
            <v>67</v>
          </cell>
          <cell r="K12" t="str">
            <v>"UL" approved</v>
          </cell>
        </row>
        <row r="13">
          <cell r="A13" t="str">
            <v>SE0006</v>
          </cell>
          <cell r="B13" t="str">
            <v>Sensore induttivo 20mm IFM IM512A</v>
          </cell>
          <cell r="C13" t="str">
            <v>Inductive sensor 20mm IFM IM512A</v>
          </cell>
          <cell r="D13" t="str">
            <v>IFM</v>
          </cell>
          <cell r="E13" t="str">
            <v>IM512A</v>
          </cell>
          <cell r="F13">
            <v>24</v>
          </cell>
          <cell r="G13" t="str">
            <v>DC</v>
          </cell>
          <cell r="I13">
            <v>65</v>
          </cell>
          <cell r="J13" t="str">
            <v>ATEX22</v>
          </cell>
        </row>
        <row r="14">
          <cell r="A14" t="str">
            <v>SE0007</v>
          </cell>
          <cell r="B14" t="str">
            <v>Sensore vibrazione 0-25mm/s IFM VKV021</v>
          </cell>
          <cell r="C14" t="str">
            <v>Vibration sensor 0-25mm/s IFM VKV021</v>
          </cell>
          <cell r="D14" t="str">
            <v>IFM</v>
          </cell>
          <cell r="E14" t="str">
            <v>VKV021</v>
          </cell>
          <cell r="F14">
            <v>24</v>
          </cell>
          <cell r="G14" t="str">
            <v>DC</v>
          </cell>
          <cell r="I14">
            <v>67</v>
          </cell>
        </row>
        <row r="15">
          <cell r="A15" t="str">
            <v>SE0008</v>
          </cell>
          <cell r="B15" t="str">
            <v>Sensore vibrazione 0-25mm/s IFM VTV12A</v>
          </cell>
          <cell r="C15" t="str">
            <v>Vibration sensor 0-25mm/s IFM VTV12A</v>
          </cell>
          <cell r="D15" t="str">
            <v>IFM</v>
          </cell>
          <cell r="E15" t="str">
            <v>VTV12A</v>
          </cell>
          <cell r="F15">
            <v>24</v>
          </cell>
          <cell r="G15" t="str">
            <v>DC</v>
          </cell>
          <cell r="I15">
            <v>67</v>
          </cell>
          <cell r="J15" t="str">
            <v>ATEX22</v>
          </cell>
        </row>
        <row r="16">
          <cell r="A16" t="str">
            <v>SE0009</v>
          </cell>
          <cell r="B16" t="str">
            <v>Sensore induttivo IFM IFM216 basse temperature</v>
          </cell>
          <cell r="C16" t="str">
            <v>Inductive sensor IFM IFM216 low temperature</v>
          </cell>
          <cell r="D16" t="str">
            <v>IFM</v>
          </cell>
          <cell r="E16" t="str">
            <v>IFM216</v>
          </cell>
          <cell r="F16">
            <v>24</v>
          </cell>
          <cell r="G16" t="str">
            <v>DC</v>
          </cell>
          <cell r="I16">
            <v>67</v>
          </cell>
          <cell r="K16" t="str">
            <v>LOW TEMPERATURE</v>
          </cell>
        </row>
        <row r="17">
          <cell r="A17" t="str">
            <v>SE0010</v>
          </cell>
          <cell r="B17" t="str">
            <v>Sensore induttivo Telemecanique XS630B1PAL2</v>
          </cell>
          <cell r="C17" t="str">
            <v>Inductive sensor Telemecanique XS630B1PAL2</v>
          </cell>
          <cell r="D17" t="str">
            <v>Telemecanique</v>
          </cell>
          <cell r="E17" t="str">
            <v>XS630B1PAL2</v>
          </cell>
          <cell r="F17">
            <v>24</v>
          </cell>
          <cell r="G17" t="str">
            <v>DC</v>
          </cell>
          <cell r="I17">
            <v>68</v>
          </cell>
        </row>
        <row r="18">
          <cell r="A18" t="str">
            <v>SE0011</v>
          </cell>
          <cell r="B18" t="str">
            <v>Sensore induttivo Telemecanique XSAV11373</v>
          </cell>
          <cell r="C18" t="str">
            <v>Inductive sensor Telemecanique XSAV11373</v>
          </cell>
          <cell r="D18" t="str">
            <v>Telemecanique</v>
          </cell>
          <cell r="E18" t="str">
            <v>XSAV11373</v>
          </cell>
          <cell r="F18">
            <v>24</v>
          </cell>
          <cell r="G18" t="str">
            <v>DC</v>
          </cell>
          <cell r="I18">
            <v>67</v>
          </cell>
        </row>
        <row r="19">
          <cell r="A19" t="str">
            <v>SE0012</v>
          </cell>
          <cell r="B19" t="str">
            <v>Sensore induttivo Telemecanique XSAV11373TF</v>
          </cell>
          <cell r="C19" t="str">
            <v>Inductive sensor Telemecanique XSAV11373TF</v>
          </cell>
          <cell r="D19" t="str">
            <v>Telemecanique</v>
          </cell>
          <cell r="E19" t="str">
            <v>XSAV11373TF</v>
          </cell>
          <cell r="F19">
            <v>24</v>
          </cell>
          <cell r="G19" t="str">
            <v>DC</v>
          </cell>
          <cell r="I19">
            <v>67</v>
          </cell>
        </row>
        <row r="20">
          <cell r="A20" t="str">
            <v>SE0013</v>
          </cell>
          <cell r="B20" t="str">
            <v>Sensore temperatura IFM TS522A</v>
          </cell>
          <cell r="C20" t="str">
            <v>Temperature sensor IFM TS522A</v>
          </cell>
          <cell r="D20" t="str">
            <v>IFM</v>
          </cell>
          <cell r="E20" t="str">
            <v>TS522A</v>
          </cell>
          <cell r="I20">
            <v>67</v>
          </cell>
          <cell r="J20" t="str">
            <v>ATEX22</v>
          </cell>
        </row>
        <row r="21">
          <cell r="A21" t="str">
            <v>SE0014</v>
          </cell>
          <cell r="B21" t="str">
            <v>Sensore Antisbandamento XCKD3918P16EX+ZCY22Ex</v>
          </cell>
          <cell r="C21" t="str">
            <v>Anti side skid sensor XCKD3918P16EX+ZCY22Ex</v>
          </cell>
          <cell r="D21" t="str">
            <v>Telemecanique</v>
          </cell>
          <cell r="E21" t="str">
            <v>XCKD3918P16EX+ZCY22Ex</v>
          </cell>
          <cell r="F21">
            <v>24</v>
          </cell>
          <cell r="G21" t="str">
            <v>DC</v>
          </cell>
          <cell r="J21" t="str">
            <v>21-22</v>
          </cell>
        </row>
        <row r="22">
          <cell r="A22" t="str">
            <v>SE0015</v>
          </cell>
          <cell r="B22" t="str">
            <v>Sensore ind. Telemeccanique XSAV11373EX</v>
          </cell>
          <cell r="C22" t="str">
            <v>Inductive sensor Telemecanique XSAV11373EX</v>
          </cell>
          <cell r="D22" t="str">
            <v>Telemecanique</v>
          </cell>
          <cell r="E22" t="str">
            <v>XSAV11373EX</v>
          </cell>
          <cell r="F22">
            <v>24</v>
          </cell>
          <cell r="G22" t="str">
            <v>DC</v>
          </cell>
          <cell r="I22">
            <v>67</v>
          </cell>
          <cell r="J22" t="str">
            <v>ATEX22</v>
          </cell>
        </row>
        <row r="23">
          <cell r="A23" t="str">
            <v>SE0016</v>
          </cell>
          <cell r="B23" t="str">
            <v>Sensore induttivo XS630B1PAL10EX</v>
          </cell>
          <cell r="C23" t="str">
            <v>Inductive sensor Telemec XS630B1PAL10EX</v>
          </cell>
          <cell r="D23" t="str">
            <v>Telemecanique</v>
          </cell>
          <cell r="E23" t="str">
            <v>XS630B1PAL10EX</v>
          </cell>
          <cell r="F23">
            <v>24</v>
          </cell>
          <cell r="G23" t="str">
            <v>DC</v>
          </cell>
          <cell r="I23">
            <v>68</v>
          </cell>
          <cell r="J23" t="str">
            <v>ATEX22</v>
          </cell>
        </row>
        <row r="24">
          <cell r="A24" t="str">
            <v>SE0017</v>
          </cell>
          <cell r="B24" t="str">
            <v>Sensore antisband. Telemecc. XCRT115</v>
          </cell>
          <cell r="C24" t="str">
            <v>Anti side skid sensor Telemec. XCRT115</v>
          </cell>
          <cell r="D24" t="str">
            <v>Telemecanique</v>
          </cell>
          <cell r="E24" t="str">
            <v>XCRT115</v>
          </cell>
          <cell r="F24">
            <v>24</v>
          </cell>
          <cell r="G24" t="str">
            <v>DC</v>
          </cell>
        </row>
        <row r="25">
          <cell r="A25" t="str">
            <v>SE0018</v>
          </cell>
          <cell r="B25" t="str">
            <v>Sensore antisband. Telemecc. XCRT115EX</v>
          </cell>
          <cell r="C25" t="str">
            <v>Anti side skid sensor Telemec. XCRT115EX</v>
          </cell>
          <cell r="D25" t="str">
            <v>Telemecanique</v>
          </cell>
          <cell r="E25" t="str">
            <v>XCRT115EX</v>
          </cell>
          <cell r="I25">
            <v>65</v>
          </cell>
          <cell r="J25" t="str">
            <v>ATEX21</v>
          </cell>
        </row>
        <row r="26">
          <cell r="A26" t="str">
            <v>SE0019</v>
          </cell>
          <cell r="B26" t="str">
            <v>Sensore strappo DX Telem. XY2CE1A250EX</v>
          </cell>
          <cell r="C26" t="str">
            <v>limit switch sensor RH Telem. XY2CE1A250EX</v>
          </cell>
          <cell r="D26" t="str">
            <v>Telemecanique</v>
          </cell>
          <cell r="E26" t="str">
            <v>XY2CE1A250EX</v>
          </cell>
          <cell r="I26">
            <v>65</v>
          </cell>
          <cell r="J26" t="str">
            <v>ATEX21</v>
          </cell>
          <cell r="K26" t="str">
            <v xml:space="preserve">Nr. 1 x side Max. &lt;=40 mt. ==&gt; nr. 2 </v>
          </cell>
        </row>
        <row r="27">
          <cell r="A27" t="str">
            <v>SE0020</v>
          </cell>
          <cell r="B27" t="str">
            <v>Sensore strappo SX Telem. XY2CE2A250EX</v>
          </cell>
          <cell r="C27" t="str">
            <v>limit switch sensor LH Telem. XY2CE2A250EX</v>
          </cell>
          <cell r="D27" t="str">
            <v>Telemecanique</v>
          </cell>
          <cell r="E27" t="str">
            <v>XY2CE2A250EX</v>
          </cell>
          <cell r="I27">
            <v>65</v>
          </cell>
          <cell r="J27" t="str">
            <v>ATEX21</v>
          </cell>
          <cell r="K27" t="str">
            <v xml:space="preserve">Nr. 1 x side Max. &lt;=40 mt. ==&gt; nr. 2 </v>
          </cell>
        </row>
        <row r="28">
          <cell r="A28" t="str">
            <v>SE0021</v>
          </cell>
          <cell r="B28" t="str">
            <v>Sensore strappo DX Telem. XY2CE1A250</v>
          </cell>
          <cell r="C28" t="str">
            <v>limit switch sensor RH Telem. XY2CE1A250</v>
          </cell>
          <cell r="D28" t="str">
            <v>Telemecanique</v>
          </cell>
          <cell r="E28" t="str">
            <v>XY2CE1A250</v>
          </cell>
          <cell r="F28">
            <v>24</v>
          </cell>
          <cell r="G28" t="str">
            <v>DC</v>
          </cell>
          <cell r="I28">
            <v>65</v>
          </cell>
          <cell r="K28" t="str">
            <v>Nr. 1 x side Max. &lt;=40 mt. ==&gt; nr. 2</v>
          </cell>
        </row>
        <row r="29">
          <cell r="A29" t="str">
            <v>SE0022</v>
          </cell>
          <cell r="B29" t="str">
            <v>Sensore strappo SX Telem. XY2CE2A250</v>
          </cell>
          <cell r="C29" t="str">
            <v>limit switch sensor LH Telem. XY2CE2A250</v>
          </cell>
          <cell r="D29" t="str">
            <v>Telemecanique</v>
          </cell>
          <cell r="E29" t="str">
            <v>XY2CE2A250</v>
          </cell>
          <cell r="F29">
            <v>24</v>
          </cell>
          <cell r="G29" t="str">
            <v>DC</v>
          </cell>
          <cell r="I29">
            <v>65</v>
          </cell>
          <cell r="K29" t="str">
            <v>Nr. 1 x side Max. &lt;=40 mt. ==&gt; nr. 2</v>
          </cell>
        </row>
        <row r="30">
          <cell r="A30" t="str">
            <v>SE0023</v>
          </cell>
          <cell r="B30" t="str">
            <v>Encoder Kubler 8.5850.1282.G132</v>
          </cell>
          <cell r="C30" t="str">
            <v>Encoder Kubler 8.5850.1282.G132</v>
          </cell>
          <cell r="D30" t="str">
            <v>Kubler</v>
          </cell>
          <cell r="E30" t="str">
            <v>8.5850.1282.G132</v>
          </cell>
          <cell r="K30" t="str">
            <v>Fuori produzione, usare SE0025</v>
          </cell>
        </row>
        <row r="31">
          <cell r="A31" t="str">
            <v>SE0024</v>
          </cell>
          <cell r="B31" t="str">
            <v>Giunto Kubler 8.0000.1101.1010</v>
          </cell>
          <cell r="C31" t="str">
            <v>Joint Kubler 8.0000.1101.1010</v>
          </cell>
          <cell r="D31" t="str">
            <v>Kubler</v>
          </cell>
          <cell r="E31" t="str">
            <v>8.000.011.011.010</v>
          </cell>
          <cell r="K31" t="str">
            <v>Fuori produzione, usare SE0026</v>
          </cell>
        </row>
        <row r="32">
          <cell r="A32" t="str">
            <v>SE0025</v>
          </cell>
          <cell r="B32" t="str">
            <v>Encoder Kubler ATEX 8.3651.2632.1311.EX</v>
          </cell>
          <cell r="C32" t="str">
            <v>Encoder Kubler ATEX 8.3651.2632.1311.EX</v>
          </cell>
          <cell r="D32" t="str">
            <v>Kubler</v>
          </cell>
          <cell r="E32" t="str">
            <v>8.3651.2632.1311.EX</v>
          </cell>
          <cell r="F32">
            <v>24</v>
          </cell>
          <cell r="G32" t="str">
            <v>DC</v>
          </cell>
          <cell r="I32">
            <v>67</v>
          </cell>
          <cell r="J32" t="str">
            <v>ATEX22</v>
          </cell>
          <cell r="K32" t="str">
            <v>Fuori produzione, usare SE0065</v>
          </cell>
        </row>
        <row r="33">
          <cell r="A33" t="str">
            <v>SE0026</v>
          </cell>
          <cell r="B33" t="str">
            <v>Giunto Kubler 8.0000.1102.1008</v>
          </cell>
          <cell r="C33" t="str">
            <v>Joint Kubler 8.0000.1102.1008</v>
          </cell>
          <cell r="D33" t="str">
            <v>Kubler</v>
          </cell>
          <cell r="E33" t="str">
            <v>8.0000.1102.1008</v>
          </cell>
          <cell r="I33">
            <v>67</v>
          </cell>
          <cell r="K33" t="str">
            <v>Giunto Ø10 - Ø8</v>
          </cell>
        </row>
        <row r="34">
          <cell r="A34" t="str">
            <v>SE0027</v>
          </cell>
          <cell r="B34" t="str">
            <v>Sensore induttivo M30x1.5 IFM IIC210</v>
          </cell>
          <cell r="C34" t="str">
            <v>Inductive sensor M30x1.5 IFM IIC210</v>
          </cell>
          <cell r="D34" t="str">
            <v>IFM</v>
          </cell>
          <cell r="E34" t="str">
            <v>IIC210</v>
          </cell>
          <cell r="F34">
            <v>24</v>
          </cell>
          <cell r="G34" t="str">
            <v>DC</v>
          </cell>
          <cell r="I34">
            <v>68</v>
          </cell>
        </row>
        <row r="35">
          <cell r="A35" t="str">
            <v>SE0028</v>
          </cell>
          <cell r="B35" t="str">
            <v>Sensore induttivo IFM ID5005</v>
          </cell>
          <cell r="C35" t="str">
            <v>Inductive sensor IFM ID5005</v>
          </cell>
          <cell r="D35" t="str">
            <v>IFM</v>
          </cell>
          <cell r="E35" t="str">
            <v>ID5005</v>
          </cell>
          <cell r="F35">
            <v>24</v>
          </cell>
          <cell r="G35" t="str">
            <v>DC</v>
          </cell>
          <cell r="I35">
            <v>65</v>
          </cell>
        </row>
        <row r="36">
          <cell r="A36" t="str">
            <v>SE0029</v>
          </cell>
          <cell r="B36" t="str">
            <v>Sensore induttivo IFM ID502A Atex</v>
          </cell>
          <cell r="C36" t="str">
            <v>Inductive sensor IFM ID502A Atex</v>
          </cell>
          <cell r="D36" t="str">
            <v>IFM</v>
          </cell>
          <cell r="E36" t="str">
            <v xml:space="preserve">ID502A </v>
          </cell>
          <cell r="F36">
            <v>24</v>
          </cell>
          <cell r="G36" t="str">
            <v>DC</v>
          </cell>
          <cell r="I36">
            <v>65</v>
          </cell>
          <cell r="J36" t="str">
            <v>ATEX22</v>
          </cell>
        </row>
        <row r="37">
          <cell r="A37" t="str">
            <v>SE0030</v>
          </cell>
          <cell r="B37" t="str">
            <v>Interruttore di livello a vibrazione Vega VB62.XXTGDRAMX</v>
          </cell>
          <cell r="C37" t="str">
            <v>Vibrating level switch Vega VB62.XXTGDRAMX</v>
          </cell>
          <cell r="D37" t="str">
            <v>Vega</v>
          </cell>
          <cell r="E37" t="str">
            <v>VB62.XXTGDRAMX</v>
          </cell>
          <cell r="F37">
            <v>24</v>
          </cell>
          <cell r="G37" t="str">
            <v>DC</v>
          </cell>
          <cell r="I37">
            <v>66</v>
          </cell>
          <cell r="K37" t="str">
            <v>NON UTILIZZABILE</v>
          </cell>
        </row>
        <row r="38">
          <cell r="A38" t="str">
            <v>SE0030-06</v>
          </cell>
          <cell r="B38" t="str">
            <v>Interruttore di livello a vibrazione Vega VB62.XXTGDRAMX</v>
          </cell>
          <cell r="C38" t="str">
            <v>Vibrating level switch Vega VB62.XXTGDRAMX</v>
          </cell>
          <cell r="D38" t="str">
            <v>Vega</v>
          </cell>
          <cell r="E38" t="str">
            <v>VB62.XXTGDRAMX</v>
          </cell>
          <cell r="F38">
            <v>24</v>
          </cell>
          <cell r="G38" t="str">
            <v>DC</v>
          </cell>
          <cell r="I38">
            <v>66</v>
          </cell>
          <cell r="K38" t="str">
            <v>L=   600mm</v>
          </cell>
        </row>
        <row r="39">
          <cell r="A39" t="str">
            <v>SE0030-15</v>
          </cell>
          <cell r="B39" t="str">
            <v>Interruttore di livello a vibrazione Vega VB62.XXTGDRAMX</v>
          </cell>
          <cell r="C39" t="str">
            <v>Vibrating level switch Vega VB62.XXTGDRAMX</v>
          </cell>
          <cell r="D39" t="str">
            <v>Vega</v>
          </cell>
          <cell r="E39" t="str">
            <v>VB62.XXTGDRAMX</v>
          </cell>
          <cell r="F39">
            <v>24</v>
          </cell>
          <cell r="G39" t="str">
            <v>DC</v>
          </cell>
          <cell r="I39">
            <v>66</v>
          </cell>
          <cell r="K39" t="str">
            <v>L= 1500mm</v>
          </cell>
        </row>
        <row r="40">
          <cell r="A40" t="str">
            <v>SE0030-20</v>
          </cell>
          <cell r="B40" t="str">
            <v>Interruttore di livello a vibrazione Vega VB62.XXTGDRAMX</v>
          </cell>
          <cell r="C40" t="str">
            <v>Vibrating level switch Vega VB62.XXTGDRAMX</v>
          </cell>
          <cell r="D40" t="str">
            <v>Vega</v>
          </cell>
          <cell r="E40" t="str">
            <v>VB62.XXTGDRAMX</v>
          </cell>
          <cell r="F40">
            <v>24</v>
          </cell>
          <cell r="G40" t="str">
            <v>DC</v>
          </cell>
          <cell r="I40">
            <v>66</v>
          </cell>
          <cell r="K40" t="str">
            <v>L= 2000mm</v>
          </cell>
        </row>
        <row r="41">
          <cell r="A41" t="str">
            <v>SE0030-25</v>
          </cell>
          <cell r="B41" t="str">
            <v>Interruttore di livello a vibrazione Vega VB62.XXTGDRAMX</v>
          </cell>
          <cell r="C41" t="str">
            <v>Vibrating level switch Vega VB62.XXTGDRAMX</v>
          </cell>
          <cell r="D41" t="str">
            <v>Vega</v>
          </cell>
          <cell r="E41" t="str">
            <v>VB62.XXTGDRAMX</v>
          </cell>
          <cell r="F41">
            <v>24</v>
          </cell>
          <cell r="G41" t="str">
            <v>DC</v>
          </cell>
          <cell r="I41">
            <v>66</v>
          </cell>
          <cell r="K41" t="str">
            <v>L= 2500mm</v>
          </cell>
        </row>
        <row r="42">
          <cell r="A42" t="str">
            <v>SE0030-28</v>
          </cell>
          <cell r="B42" t="str">
            <v>Interruttore di livello a vibrazione Vega VB62.XXTGDRAMX</v>
          </cell>
          <cell r="C42" t="str">
            <v>Vibrating level switch Vega VB62.XXTGDRAMX</v>
          </cell>
          <cell r="D42" t="str">
            <v>Vega</v>
          </cell>
          <cell r="E42" t="str">
            <v>VB62.XXTGDRAMX</v>
          </cell>
          <cell r="F42">
            <v>24</v>
          </cell>
          <cell r="G42" t="str">
            <v>DC</v>
          </cell>
          <cell r="I42">
            <v>66</v>
          </cell>
          <cell r="K42" t="str">
            <v>L= 2800mm</v>
          </cell>
        </row>
        <row r="43">
          <cell r="A43" t="str">
            <v>SE0030-30</v>
          </cell>
          <cell r="B43" t="str">
            <v>Interruttore di livello a vibrazione Vega VB62.XXTGDRAMX</v>
          </cell>
          <cell r="C43" t="str">
            <v>Vibrating level switch Vega VB62.XXTGDRAMX</v>
          </cell>
          <cell r="D43" t="str">
            <v>Vega</v>
          </cell>
          <cell r="E43" t="str">
            <v>VB62.XXTGDRAMX</v>
          </cell>
          <cell r="F43">
            <v>24</v>
          </cell>
          <cell r="G43" t="str">
            <v>DC</v>
          </cell>
          <cell r="I43">
            <v>66</v>
          </cell>
          <cell r="K43" t="str">
            <v>L= 3000mm</v>
          </cell>
        </row>
        <row r="44">
          <cell r="A44" t="str">
            <v>SE0030-33</v>
          </cell>
          <cell r="B44" t="str">
            <v>Interruttore di livello a vibrazione Vega VB62.XXTGDRAMX</v>
          </cell>
          <cell r="C44" t="str">
            <v>Vibrating level switch Vega VB62.XXTGDRAMX</v>
          </cell>
          <cell r="D44" t="str">
            <v>Vega</v>
          </cell>
          <cell r="E44" t="str">
            <v>VB62.XXTGDRAMX</v>
          </cell>
          <cell r="F44">
            <v>24</v>
          </cell>
          <cell r="G44" t="str">
            <v>DC</v>
          </cell>
          <cell r="I44">
            <v>66</v>
          </cell>
          <cell r="K44" t="str">
            <v>L= 3300mm</v>
          </cell>
        </row>
        <row r="45">
          <cell r="A45" t="str">
            <v>SE0030-35</v>
          </cell>
          <cell r="B45" t="str">
            <v>Interruttore di livello a vibrazione Vega VB62.XXTGDRAMX</v>
          </cell>
          <cell r="C45" t="str">
            <v>Vibrating level switch Vega VB62.XXTGDRAMX</v>
          </cell>
          <cell r="D45" t="str">
            <v>Vega</v>
          </cell>
          <cell r="E45" t="str">
            <v>VB62.XXTGDRAMX</v>
          </cell>
          <cell r="F45">
            <v>24</v>
          </cell>
          <cell r="G45" t="str">
            <v>DC</v>
          </cell>
          <cell r="I45">
            <v>66</v>
          </cell>
          <cell r="K45" t="str">
            <v>L= 3500mm</v>
          </cell>
        </row>
        <row r="46">
          <cell r="A46" t="str">
            <v>SE0030-38</v>
          </cell>
          <cell r="B46" t="str">
            <v>Interruttore di livello a vibrazione Vega VB62.XXTGDRAMX</v>
          </cell>
          <cell r="C46" t="str">
            <v>Vibrating level switch Vega VB62.XXTGDRAMX</v>
          </cell>
          <cell r="D46" t="str">
            <v>Vega</v>
          </cell>
          <cell r="E46" t="str">
            <v>VB62.XXTGDRAMX</v>
          </cell>
          <cell r="F46">
            <v>24</v>
          </cell>
          <cell r="G46" t="str">
            <v>DC</v>
          </cell>
          <cell r="I46">
            <v>66</v>
          </cell>
          <cell r="K46" t="str">
            <v>L= 3800mm</v>
          </cell>
        </row>
        <row r="47">
          <cell r="A47" t="str">
            <v>SE0030-40</v>
          </cell>
          <cell r="B47" t="str">
            <v>Interruttore di livello a vibrazione Vega VB62.XXTGDRAMX</v>
          </cell>
          <cell r="C47" t="str">
            <v>Vibrating level switch Vega VB62.XXTGDRAMX</v>
          </cell>
          <cell r="D47" t="str">
            <v>Vega</v>
          </cell>
          <cell r="E47" t="str">
            <v>VB62.XXTGDRAMX</v>
          </cell>
          <cell r="F47">
            <v>24</v>
          </cell>
          <cell r="G47" t="str">
            <v>DC</v>
          </cell>
          <cell r="I47">
            <v>66</v>
          </cell>
          <cell r="K47" t="str">
            <v>L= 4000mm</v>
          </cell>
        </row>
        <row r="48">
          <cell r="A48" t="str">
            <v>SE0030-45</v>
          </cell>
          <cell r="B48" t="str">
            <v>Interruttore di livello a vibrazione Vega VB62.XXTGDRAMX</v>
          </cell>
          <cell r="C48" t="str">
            <v>Vibrating level switch Vega VB62.XXTGDRAMX</v>
          </cell>
          <cell r="D48" t="str">
            <v>Vega</v>
          </cell>
          <cell r="E48" t="str">
            <v>VB62.XXTGDRAMX</v>
          </cell>
          <cell r="F48">
            <v>24</v>
          </cell>
          <cell r="G48" t="str">
            <v>DC</v>
          </cell>
          <cell r="I48">
            <v>66</v>
          </cell>
          <cell r="K48" t="str">
            <v>L= 4500mm</v>
          </cell>
        </row>
        <row r="49">
          <cell r="A49" t="str">
            <v>SE0031</v>
          </cell>
          <cell r="B49" t="str">
            <v>Connettore M12 IFM EVT004</v>
          </cell>
          <cell r="C49" t="str">
            <v>Connector M12 IFM EVT004</v>
          </cell>
          <cell r="D49" t="str">
            <v>IFM</v>
          </cell>
          <cell r="E49" t="str">
            <v>EVT004</v>
          </cell>
          <cell r="I49">
            <v>65</v>
          </cell>
          <cell r="K49" t="str">
            <v>CONNECTOR AND CABLE</v>
          </cell>
        </row>
        <row r="50">
          <cell r="A50" t="str">
            <v>SE0032</v>
          </cell>
          <cell r="B50" t="str">
            <v>Sensore per portella Rembe RSK</v>
          </cell>
          <cell r="C50" t="str">
            <v>Sensor for explotion door Rembe RSK</v>
          </cell>
          <cell r="D50" t="str">
            <v>Rembe</v>
          </cell>
          <cell r="E50" t="str">
            <v>RSK</v>
          </cell>
          <cell r="F50">
            <v>24</v>
          </cell>
          <cell r="G50" t="str">
            <v>DC</v>
          </cell>
          <cell r="I50">
            <v>67</v>
          </cell>
          <cell r="J50" t="str">
            <v>ATEX22</v>
          </cell>
          <cell r="K50" t="str">
            <v>Electrical supply from intrinsecal safety circuit in the main cabinet (not Trasmec supply)</v>
          </cell>
        </row>
        <row r="51">
          <cell r="A51" t="str">
            <v>SE0033</v>
          </cell>
          <cell r="B51" t="str">
            <v>Sensore induttivo IFM DI520A</v>
          </cell>
          <cell r="C51" t="str">
            <v>Inductive sensor IFM DI520A</v>
          </cell>
          <cell r="D51" t="str">
            <v>IFM</v>
          </cell>
          <cell r="E51" t="str">
            <v>DI520A</v>
          </cell>
          <cell r="F51">
            <v>24</v>
          </cell>
          <cell r="G51" t="str">
            <v>DC</v>
          </cell>
          <cell r="I51">
            <v>67</v>
          </cell>
          <cell r="J51" t="str">
            <v>ATEX22</v>
          </cell>
        </row>
        <row r="52">
          <cell r="A52" t="str">
            <v>SE0034</v>
          </cell>
          <cell r="B52" t="str">
            <v>Sensore fotoelettr. Turck Banner MI9EQ Atex</v>
          </cell>
          <cell r="C52" t="str">
            <v>Photoelectric sensor Turck Banner MI9EQ Atex</v>
          </cell>
          <cell r="D52" t="str">
            <v>Turck Banner</v>
          </cell>
          <cell r="E52" t="str">
            <v>MI9EQ</v>
          </cell>
          <cell r="F52">
            <v>10</v>
          </cell>
          <cell r="G52" t="str">
            <v>DC</v>
          </cell>
          <cell r="I52">
            <v>67</v>
          </cell>
          <cell r="J52" t="str">
            <v>ATEX22</v>
          </cell>
        </row>
        <row r="53">
          <cell r="A53" t="str">
            <v>SE0035</v>
          </cell>
          <cell r="B53" t="str">
            <v>Sensore fotoelettr. Turck Banner MIAD9RQ Atex</v>
          </cell>
          <cell r="C53" t="str">
            <v>Photoelectric sensor Turck Banner MIAD9RQ Atex</v>
          </cell>
          <cell r="D53" t="str">
            <v>Turck Banner</v>
          </cell>
          <cell r="E53" t="str">
            <v>MIAD9RQ</v>
          </cell>
          <cell r="F53">
            <v>10</v>
          </cell>
          <cell r="G53" t="str">
            <v>DC</v>
          </cell>
          <cell r="I53">
            <v>67</v>
          </cell>
          <cell r="J53" t="str">
            <v>ATEX22</v>
          </cell>
        </row>
        <row r="54">
          <cell r="A54" t="str">
            <v>SE0036</v>
          </cell>
          <cell r="B54" t="str">
            <v>Switch amplific. isol. T. Banner IMX12-DI01-2S-2T-0</v>
          </cell>
          <cell r="C54" t="str">
            <v>Isolating switching amplifier Turck Banner</v>
          </cell>
          <cell r="D54" t="str">
            <v>Turck Banner</v>
          </cell>
          <cell r="E54" t="str">
            <v>IMX12-DI01-2S-2T-0</v>
          </cell>
          <cell r="F54">
            <v>24</v>
          </cell>
          <cell r="G54" t="str">
            <v>DC</v>
          </cell>
          <cell r="I54">
            <v>20</v>
          </cell>
          <cell r="J54" t="str">
            <v>ATEX22</v>
          </cell>
        </row>
        <row r="55">
          <cell r="A55" t="str">
            <v>SE0037</v>
          </cell>
          <cell r="B55" t="str">
            <v>Connettore Turck Banner MQD9-415RA</v>
          </cell>
          <cell r="C55" t="str">
            <v>Connecting cable Turck Banner MQD9-415RA</v>
          </cell>
          <cell r="D55" t="str">
            <v>Turck Banner</v>
          </cell>
          <cell r="E55" t="str">
            <v>MQD9-415RA</v>
          </cell>
          <cell r="I55">
            <v>67</v>
          </cell>
          <cell r="J55" t="str">
            <v>ATEX22</v>
          </cell>
          <cell r="K55" t="str">
            <v>CONNECTION CABLE L=4.6m (15ft)</v>
          </cell>
        </row>
        <row r="56">
          <cell r="A56" t="str">
            <v>SE0038</v>
          </cell>
          <cell r="B56" t="str">
            <v>Sensore livello Camlogic basse temperature</v>
          </cell>
          <cell r="C56" t="str">
            <v>Level sensor Camlogic low temperature</v>
          </cell>
          <cell r="D56" t="str">
            <v>CAMLOGIC</v>
          </cell>
          <cell r="E56" t="str">
            <v>PFG05</v>
          </cell>
          <cell r="F56">
            <v>24</v>
          </cell>
          <cell r="G56" t="str">
            <v>DC</v>
          </cell>
          <cell r="J56" t="str">
            <v>ATEX21</v>
          </cell>
          <cell r="K56" t="str">
            <v>LOW TEMPERATURE</v>
          </cell>
        </row>
        <row r="57">
          <cell r="A57" t="str">
            <v>SE0039</v>
          </cell>
          <cell r="B57" t="str">
            <v xml:space="preserve">Sensore induttivo IFM IIC228 </v>
          </cell>
          <cell r="C57" t="str">
            <v>Inductive sensor IFM IIC228</v>
          </cell>
          <cell r="D57" t="str">
            <v>IFM</v>
          </cell>
          <cell r="E57" t="str">
            <v>IIC228</v>
          </cell>
          <cell r="F57">
            <v>24</v>
          </cell>
          <cell r="G57" t="str">
            <v>DC</v>
          </cell>
        </row>
        <row r="58">
          <cell r="A58" t="str">
            <v>SE0040</v>
          </cell>
          <cell r="B58" t="str">
            <v>Inclinometro SEIKA SB2i-NG4I +/- 40°</v>
          </cell>
          <cell r="C58" t="str">
            <v>Inclinometer SEIKA SB2i-NG4I +/- 40°</v>
          </cell>
          <cell r="D58" t="str">
            <v>SEIKA</v>
          </cell>
          <cell r="E58" t="str">
            <v>SB2i-NG4I +/- 40°</v>
          </cell>
          <cell r="F58">
            <v>24</v>
          </cell>
          <cell r="G58" t="str">
            <v>DC</v>
          </cell>
        </row>
        <row r="59">
          <cell r="A59" t="str">
            <v>SE0041</v>
          </cell>
          <cell r="B59" t="str">
            <v>Connettore M12 IFM EVC005</v>
          </cell>
          <cell r="C59" t="str">
            <v>Connector M12 IFM EVC005</v>
          </cell>
          <cell r="D59" t="str">
            <v>IFM</v>
          </cell>
          <cell r="E59" t="str">
            <v>EVC005</v>
          </cell>
        </row>
        <row r="60">
          <cell r="A60" t="str">
            <v>SE0042</v>
          </cell>
          <cell r="B60" t="str">
            <v>Sensore temperatura Gefran AR6 PT100</v>
          </cell>
          <cell r="C60" t="str">
            <v>Temperature sensor Gefran AR6 PT100</v>
          </cell>
          <cell r="D60" t="str">
            <v>Gefran</v>
          </cell>
          <cell r="E60" t="str">
            <v>AR6</v>
          </cell>
          <cell r="F60">
            <v>24</v>
          </cell>
          <cell r="G60" t="str">
            <v>DC</v>
          </cell>
        </row>
        <row r="61">
          <cell r="A61" t="str">
            <v>SE0043</v>
          </cell>
          <cell r="B61" t="str">
            <v>Interruttore di livello a vibrazione Vega VB63.XXAGDRAMX</v>
          </cell>
          <cell r="C61" t="str">
            <v>Vibrating level switch Vega VB63.XXAGDRAMX</v>
          </cell>
          <cell r="D61" t="str">
            <v>Vega</v>
          </cell>
          <cell r="E61" t="str">
            <v>VB63.XXAGDRAMX</v>
          </cell>
          <cell r="F61">
            <v>24</v>
          </cell>
          <cell r="G61" t="str">
            <v>DC</v>
          </cell>
          <cell r="I61">
            <v>66</v>
          </cell>
          <cell r="K61" t="str">
            <v>L=…</v>
          </cell>
        </row>
        <row r="62">
          <cell r="A62" t="str">
            <v>SE0044</v>
          </cell>
          <cell r="B62" t="str">
            <v>Connettore M12 IFM EVC05A</v>
          </cell>
          <cell r="C62" t="str">
            <v>Connector M12 IFM EVC05A</v>
          </cell>
          <cell r="D62" t="str">
            <v>IFM</v>
          </cell>
          <cell r="E62" t="str">
            <v>EVC05A</v>
          </cell>
          <cell r="J62" t="str">
            <v>ATEX22</v>
          </cell>
        </row>
        <row r="63">
          <cell r="A63" t="str">
            <v>SE0045</v>
          </cell>
          <cell r="B63" t="str">
            <v>Sensore induttivo M12x1 IFM IF505A</v>
          </cell>
          <cell r="C63" t="str">
            <v>Inductive sensor M12x1 IFM IF505A</v>
          </cell>
          <cell r="D63" t="str">
            <v>IFM</v>
          </cell>
          <cell r="E63" t="str">
            <v>IF505A</v>
          </cell>
          <cell r="F63">
            <v>24</v>
          </cell>
          <cell r="G63" t="str">
            <v>DC</v>
          </cell>
          <cell r="J63" t="str">
            <v>ATEX22</v>
          </cell>
          <cell r="K63" t="str">
            <v>USARE SOLO SE A SPECIFICA</v>
          </cell>
        </row>
        <row r="64">
          <cell r="A64" t="str">
            <v>SE0046</v>
          </cell>
          <cell r="B64" t="str">
            <v>Interruttore di livello a vibrazione Vega VB62.GXTGDRAMX</v>
          </cell>
          <cell r="C64" t="str">
            <v>Vibrating level switch Vega VB62.GXTGDRAMX</v>
          </cell>
          <cell r="D64" t="str">
            <v>Vega</v>
          </cell>
          <cell r="E64" t="str">
            <v>VB62.GXTGDRAMX</v>
          </cell>
          <cell r="F64">
            <v>24</v>
          </cell>
          <cell r="G64" t="str">
            <v>DC</v>
          </cell>
          <cell r="I64">
            <v>66</v>
          </cell>
          <cell r="J64" t="str">
            <v>ATEX22</v>
          </cell>
          <cell r="K64" t="str">
            <v>NON UTILIZZABILE</v>
          </cell>
        </row>
        <row r="65">
          <cell r="A65" t="str">
            <v>SE0046-10</v>
          </cell>
          <cell r="B65" t="str">
            <v>Interruttore di livello a vibrazione Vega VB62.GXTGDRAMX</v>
          </cell>
          <cell r="C65" t="str">
            <v>Vibrating level switch Vega VB62.GXTGDRAMX</v>
          </cell>
          <cell r="D65" t="str">
            <v>Vega</v>
          </cell>
          <cell r="E65" t="str">
            <v>VB62.GXTGDRAMX</v>
          </cell>
          <cell r="F65">
            <v>24</v>
          </cell>
          <cell r="G65" t="str">
            <v>DC</v>
          </cell>
          <cell r="I65">
            <v>66</v>
          </cell>
          <cell r="J65" t="str">
            <v>ATEX22</v>
          </cell>
          <cell r="K65" t="str">
            <v>L= 1000mm</v>
          </cell>
        </row>
        <row r="66">
          <cell r="A66" t="str">
            <v>SE0046-15</v>
          </cell>
          <cell r="B66" t="str">
            <v>Interruttore di livello a vibrazione Vega VB62.GXTGDRAMX</v>
          </cell>
          <cell r="C66" t="str">
            <v>Vibrating level switch Vega VB62.GXTGDRAMX</v>
          </cell>
          <cell r="D66" t="str">
            <v>Vega</v>
          </cell>
          <cell r="E66" t="str">
            <v>VB62.GXTGDRAMX</v>
          </cell>
          <cell r="F66">
            <v>24</v>
          </cell>
          <cell r="G66" t="str">
            <v>DC</v>
          </cell>
          <cell r="I66">
            <v>66</v>
          </cell>
          <cell r="J66" t="str">
            <v>ATEX22</v>
          </cell>
          <cell r="K66" t="str">
            <v>L= 1500mm</v>
          </cell>
        </row>
        <row r="67">
          <cell r="A67" t="str">
            <v>SE0046-20</v>
          </cell>
          <cell r="B67" t="str">
            <v>Interruttore di livello a vibrazione Vega VB62.GXTGDRAMX</v>
          </cell>
          <cell r="C67" t="str">
            <v>Vibrating level switch Vega VB62.GXTGDRAMX</v>
          </cell>
          <cell r="D67" t="str">
            <v>Vega</v>
          </cell>
          <cell r="E67" t="str">
            <v>VB62.GXTGDRAMX</v>
          </cell>
          <cell r="F67">
            <v>24</v>
          </cell>
          <cell r="G67" t="str">
            <v>DC</v>
          </cell>
          <cell r="I67">
            <v>66</v>
          </cell>
          <cell r="J67" t="str">
            <v>ATEX22</v>
          </cell>
          <cell r="K67" t="str">
            <v>L= 2000mm</v>
          </cell>
        </row>
        <row r="68">
          <cell r="A68" t="str">
            <v>SE0046-25</v>
          </cell>
          <cell r="B68" t="str">
            <v>Interruttore di livello a vibrazione Vega VB62.GXTGDRAMX</v>
          </cell>
          <cell r="C68" t="str">
            <v>Vibrating level switch Vega VB62.GXTGDRAMX</v>
          </cell>
          <cell r="D68" t="str">
            <v>Vega</v>
          </cell>
          <cell r="E68" t="str">
            <v>VB62.GXTGDRAMX</v>
          </cell>
          <cell r="F68">
            <v>24</v>
          </cell>
          <cell r="G68" t="str">
            <v>DC</v>
          </cell>
          <cell r="I68">
            <v>66</v>
          </cell>
          <cell r="J68" t="str">
            <v>ATEX22</v>
          </cell>
          <cell r="K68" t="str">
            <v>L= 2500mm</v>
          </cell>
        </row>
        <row r="69">
          <cell r="A69" t="str">
            <v>SE0046-30</v>
          </cell>
          <cell r="B69" t="str">
            <v>Interruttore di livello a vibrazione Vega VB62.GXTGDRAMX</v>
          </cell>
          <cell r="C69" t="str">
            <v>Vibrating level switch Vega VB62.GXTGDRAMX</v>
          </cell>
          <cell r="D69" t="str">
            <v>Vega</v>
          </cell>
          <cell r="E69" t="str">
            <v>VB62.GXTGDRAMX</v>
          </cell>
          <cell r="F69">
            <v>24</v>
          </cell>
          <cell r="G69" t="str">
            <v>DC</v>
          </cell>
          <cell r="I69">
            <v>66</v>
          </cell>
          <cell r="J69" t="str">
            <v>ATEX22</v>
          </cell>
          <cell r="K69" t="str">
            <v>L= 3000mm</v>
          </cell>
        </row>
        <row r="70">
          <cell r="A70" t="str">
            <v>SE0046-35</v>
          </cell>
          <cell r="B70" t="str">
            <v>Interruttore di livello a vibrazione Vega VB62.GXTGDRAMX</v>
          </cell>
          <cell r="C70" t="str">
            <v>Vibrating level switch Vega VB62.GXTGDRAMX</v>
          </cell>
          <cell r="D70" t="str">
            <v>Vega</v>
          </cell>
          <cell r="E70" t="str">
            <v>VB62.GXTGDRAMX</v>
          </cell>
          <cell r="F70">
            <v>24</v>
          </cell>
          <cell r="G70" t="str">
            <v>DC</v>
          </cell>
          <cell r="I70">
            <v>66</v>
          </cell>
          <cell r="J70" t="str">
            <v>ATEX22</v>
          </cell>
          <cell r="K70" t="str">
            <v>L= 3500mm</v>
          </cell>
        </row>
        <row r="71">
          <cell r="A71" t="str">
            <v>SE0046-40</v>
          </cell>
          <cell r="B71" t="str">
            <v>Interruttore di livello a vibrazione Vega VB62.GXTGDRAMX</v>
          </cell>
          <cell r="C71" t="str">
            <v>Vibrating level switch Vega VB62.GXTGDRAMX</v>
          </cell>
          <cell r="D71" t="str">
            <v>Vega</v>
          </cell>
          <cell r="E71" t="str">
            <v>VB62.GXTGDRAMX</v>
          </cell>
          <cell r="F71">
            <v>24</v>
          </cell>
          <cell r="G71" t="str">
            <v>DC</v>
          </cell>
          <cell r="I71">
            <v>66</v>
          </cell>
          <cell r="J71" t="str">
            <v>ATEX22</v>
          </cell>
          <cell r="K71" t="str">
            <v>L= 4000mm</v>
          </cell>
        </row>
        <row r="72">
          <cell r="A72" t="str">
            <v>SE0046-44</v>
          </cell>
          <cell r="B72" t="str">
            <v>Interruttore di livello a vibrazione Vega VB62.GXTGDRAMX</v>
          </cell>
          <cell r="C72" t="str">
            <v>Vibrating level switch Vega VB62.GXTGDRAMX</v>
          </cell>
          <cell r="D72" t="str">
            <v>Vega</v>
          </cell>
          <cell r="E72" t="str">
            <v>VB62.GXTGDRAMX</v>
          </cell>
          <cell r="F72">
            <v>24</v>
          </cell>
          <cell r="G72" t="str">
            <v>DC</v>
          </cell>
          <cell r="I72">
            <v>66</v>
          </cell>
          <cell r="J72" t="str">
            <v>ATEX22</v>
          </cell>
          <cell r="K72" t="str">
            <v>L= 4400mm</v>
          </cell>
        </row>
        <row r="73">
          <cell r="A73" t="str">
            <v>SE0046-48</v>
          </cell>
          <cell r="B73" t="str">
            <v>Interruttore di livello a vibrazione Vega VB62.GXTGDRAMX</v>
          </cell>
          <cell r="C73" t="str">
            <v>Vibrating level switch Vega VB62.GXTGDRAMX</v>
          </cell>
          <cell r="D73" t="str">
            <v>Vega</v>
          </cell>
          <cell r="E73" t="str">
            <v>VB62.GXTGDRAMX</v>
          </cell>
          <cell r="F73">
            <v>24</v>
          </cell>
          <cell r="G73" t="str">
            <v>DC</v>
          </cell>
          <cell r="I73">
            <v>66</v>
          </cell>
          <cell r="J73" t="str">
            <v>ATEX22</v>
          </cell>
          <cell r="K73" t="str">
            <v>L= 4800mm</v>
          </cell>
        </row>
        <row r="74">
          <cell r="A74" t="str">
            <v>SE0046-52</v>
          </cell>
          <cell r="B74" t="str">
            <v>Interruttore di livello a vibrazione Vega VB62.GXTGDRAMX</v>
          </cell>
          <cell r="C74" t="str">
            <v>Vibrating level switch Vega VB62.GXTGDRAMX</v>
          </cell>
          <cell r="D74" t="str">
            <v>Vega</v>
          </cell>
          <cell r="E74" t="str">
            <v>VB62.GXTGDRAMX</v>
          </cell>
          <cell r="F74">
            <v>24</v>
          </cell>
          <cell r="G74" t="str">
            <v>DC</v>
          </cell>
          <cell r="I74">
            <v>66</v>
          </cell>
          <cell r="J74" t="str">
            <v>ATEX22</v>
          </cell>
          <cell r="K74" t="str">
            <v>L= 5200mm</v>
          </cell>
        </row>
        <row r="75">
          <cell r="A75" t="str">
            <v>SE0046-56</v>
          </cell>
          <cell r="B75" t="str">
            <v>Interruttore di livello a vibrazione Vega VB62.GXTGDRAMX</v>
          </cell>
          <cell r="C75" t="str">
            <v>Vibrating level switch Vega VB62.GXTGDRAMX</v>
          </cell>
          <cell r="D75" t="str">
            <v>Vega</v>
          </cell>
          <cell r="E75" t="str">
            <v>VB62.GXTGDRAMX</v>
          </cell>
          <cell r="F75">
            <v>24</v>
          </cell>
          <cell r="G75" t="str">
            <v>DC</v>
          </cell>
          <cell r="I75">
            <v>66</v>
          </cell>
          <cell r="J75" t="str">
            <v>ATEX22</v>
          </cell>
          <cell r="K75" t="str">
            <v>L= 5600mm</v>
          </cell>
        </row>
        <row r="76">
          <cell r="A76" t="str">
            <v>SE0046-60</v>
          </cell>
          <cell r="B76" t="str">
            <v>Interruttore di livello a vibrazione Vega VB62.GXTGDRAMX</v>
          </cell>
          <cell r="C76" t="str">
            <v>Vibrating level switch Vega VB62.GXTGDRAMX</v>
          </cell>
          <cell r="D76" t="str">
            <v>Vega</v>
          </cell>
          <cell r="E76" t="str">
            <v>VB62.GXTGDRAMX</v>
          </cell>
          <cell r="F76">
            <v>24</v>
          </cell>
          <cell r="G76" t="str">
            <v>DC</v>
          </cell>
          <cell r="I76">
            <v>66</v>
          </cell>
          <cell r="J76" t="str">
            <v>ATEX22</v>
          </cell>
          <cell r="K76" t="str">
            <v>L= 6000mm</v>
          </cell>
        </row>
        <row r="77">
          <cell r="A77" t="str">
            <v>SE0047</v>
          </cell>
          <cell r="B77" t="str">
            <v>Interruttore di livello radar VEGAPULS69 PS69.ARCSAAHXANXXX</v>
          </cell>
          <cell r="C77" t="str">
            <v>Radar level switch Vega VEGAPULS69 PS69.ARCSAAHXANXXX</v>
          </cell>
          <cell r="D77" t="str">
            <v>Vega</v>
          </cell>
          <cell r="E77" t="str">
            <v>PS69.ARCSAAHXANXXX</v>
          </cell>
          <cell r="F77">
            <v>24</v>
          </cell>
          <cell r="G77" t="str">
            <v>DC</v>
          </cell>
          <cell r="I77">
            <v>66</v>
          </cell>
          <cell r="J77" t="str">
            <v>ATEX20</v>
          </cell>
          <cell r="K77" t="str">
            <v>Sostituito da SE0126</v>
          </cell>
        </row>
        <row r="78">
          <cell r="A78" t="str">
            <v>SE0048</v>
          </cell>
          <cell r="B78" t="str">
            <v>Connettore M12 IFM EVM012</v>
          </cell>
          <cell r="C78" t="str">
            <v>Connector M12 IFM EVM012</v>
          </cell>
          <cell r="D78" t="str">
            <v>IFM</v>
          </cell>
          <cell r="E78" t="str">
            <v>EVM012</v>
          </cell>
          <cell r="K78" t="str">
            <v>CONNECTOR AND CABLE</v>
          </cell>
        </row>
        <row r="79">
          <cell r="A79" t="str">
            <v>SE0049</v>
          </cell>
          <cell r="B79" t="str">
            <v>Sensore induttivo IFM IM510A</v>
          </cell>
          <cell r="C79" t="str">
            <v>Inductive sensor IFM IM510A</v>
          </cell>
          <cell r="D79" t="str">
            <v>IFM</v>
          </cell>
          <cell r="E79" t="str">
            <v>IM510A</v>
          </cell>
          <cell r="F79">
            <v>24</v>
          </cell>
          <cell r="G79" t="str">
            <v>DC</v>
          </cell>
          <cell r="I79">
            <v>65</v>
          </cell>
          <cell r="J79" t="str">
            <v>ATEX22</v>
          </cell>
        </row>
        <row r="80">
          <cell r="A80" t="str">
            <v>SE0050</v>
          </cell>
          <cell r="B80" t="str">
            <v>Connettore adattatore M20 - M12x1 IFM E11295</v>
          </cell>
          <cell r="C80" t="str">
            <v>Adapter plug M20 - M12x1 IFM E11295</v>
          </cell>
          <cell r="D80" t="str">
            <v>IFM</v>
          </cell>
          <cell r="E80" t="str">
            <v>E11295</v>
          </cell>
        </row>
        <row r="81">
          <cell r="A81" t="str">
            <v>SE0051</v>
          </cell>
          <cell r="B81" t="str">
            <v>Sensore posizione Telemec. XCKJ390541H29EX</v>
          </cell>
          <cell r="C81" t="str">
            <v>Limit switch sensor Telemec. XCKJ390541H29EX</v>
          </cell>
          <cell r="D81" t="str">
            <v>Telemecanique</v>
          </cell>
          <cell r="E81" t="str">
            <v>XCKJ390541H29EX</v>
          </cell>
          <cell r="F81">
            <v>24</v>
          </cell>
          <cell r="G81" t="str">
            <v>DC</v>
          </cell>
          <cell r="I81">
            <v>66</v>
          </cell>
          <cell r="J81" t="str">
            <v>ATEX21</v>
          </cell>
        </row>
        <row r="82">
          <cell r="A82" t="str">
            <v>SE0052</v>
          </cell>
          <cell r="B82" t="str">
            <v>Interruttore di livello a vibrazione Vega VB63.GXAGDRAMX</v>
          </cell>
          <cell r="C82" t="str">
            <v>Vibrating level switch Vega VB63.GXAGDRAMX</v>
          </cell>
          <cell r="D82" t="str">
            <v>Vega</v>
          </cell>
          <cell r="E82" t="str">
            <v>VB63.GXAGDRAMX</v>
          </cell>
          <cell r="F82">
            <v>24</v>
          </cell>
          <cell r="G82" t="str">
            <v>DC</v>
          </cell>
          <cell r="I82">
            <v>66</v>
          </cell>
          <cell r="J82" t="str">
            <v>ATEX20</v>
          </cell>
          <cell r="K82" t="str">
            <v>L=300 mm</v>
          </cell>
        </row>
        <row r="83">
          <cell r="A83" t="str">
            <v>SE0052-03</v>
          </cell>
          <cell r="B83" t="str">
            <v>Interruttore di livello a vibrazione Vega VB63.GXAGDRAMX</v>
          </cell>
          <cell r="C83" t="str">
            <v>Vibrating level switch Vega VB63.GXAGDRAMX</v>
          </cell>
          <cell r="D83" t="str">
            <v>Vega</v>
          </cell>
          <cell r="E83" t="str">
            <v>VB63.GXAGDRAMX</v>
          </cell>
          <cell r="F83">
            <v>24</v>
          </cell>
          <cell r="G83" t="str">
            <v>DC</v>
          </cell>
          <cell r="I83">
            <v>66</v>
          </cell>
          <cell r="J83" t="str">
            <v>ATEX20</v>
          </cell>
          <cell r="K83" t="str">
            <v>L=300 mm</v>
          </cell>
        </row>
        <row r="84">
          <cell r="A84" t="str">
            <v>SE0052-04</v>
          </cell>
          <cell r="B84" t="str">
            <v>Interruttore di livello a vibrazione Vega VB63.GXAGDRAMX</v>
          </cell>
          <cell r="C84" t="str">
            <v>Vibrating level switch Vega VB63.GXAGDRAMX</v>
          </cell>
          <cell r="D84" t="str">
            <v>Vega</v>
          </cell>
          <cell r="E84" t="str">
            <v>VB63.GXAGDRAMX</v>
          </cell>
          <cell r="F84">
            <v>24</v>
          </cell>
          <cell r="G84" t="str">
            <v>DC</v>
          </cell>
          <cell r="I84">
            <v>66</v>
          </cell>
          <cell r="J84" t="str">
            <v>ATEX20</v>
          </cell>
          <cell r="K84" t="str">
            <v>L=400 mm</v>
          </cell>
        </row>
        <row r="85">
          <cell r="A85" t="str">
            <v>SE0052-05</v>
          </cell>
          <cell r="B85" t="str">
            <v>Interruttore di livello a vibrazione Vega VB63.GXAGDRAMX</v>
          </cell>
          <cell r="C85" t="str">
            <v>Vibrating level switch Vega VB63.GXAGDRAMX</v>
          </cell>
          <cell r="D85" t="str">
            <v>Vega</v>
          </cell>
          <cell r="E85" t="str">
            <v>VB63.GXAGDRAMX</v>
          </cell>
          <cell r="F85">
            <v>24</v>
          </cell>
          <cell r="G85" t="str">
            <v>DC</v>
          </cell>
          <cell r="I85">
            <v>66</v>
          </cell>
          <cell r="J85" t="str">
            <v>ATEX20</v>
          </cell>
          <cell r="K85" t="str">
            <v>L=500 mm</v>
          </cell>
        </row>
        <row r="86">
          <cell r="A86" t="str">
            <v>SE0052-06</v>
          </cell>
          <cell r="B86" t="str">
            <v>Interruttore di livello a vibrazione Vega VB63.GXAGDRAMX</v>
          </cell>
          <cell r="C86" t="str">
            <v>Vibrating level switch Vega VB63.GXAGDRAMX</v>
          </cell>
          <cell r="D86" t="str">
            <v>Vega</v>
          </cell>
          <cell r="E86" t="str">
            <v>VB63.GXAGDRAMX</v>
          </cell>
          <cell r="F86">
            <v>24</v>
          </cell>
          <cell r="G86" t="str">
            <v>DC</v>
          </cell>
          <cell r="I86">
            <v>66</v>
          </cell>
          <cell r="J86" t="str">
            <v>ATEX20</v>
          </cell>
          <cell r="K86" t="str">
            <v>L=600 mm</v>
          </cell>
        </row>
        <row r="87">
          <cell r="A87" t="str">
            <v>SE0053</v>
          </cell>
          <cell r="B87" t="str">
            <v>Trasmettitore per sistema fotocellule a barriera</v>
          </cell>
          <cell r="C87" t="str">
            <v>Transmitter for barrier photocell system</v>
          </cell>
          <cell r="D87" t="str">
            <v>Telco</v>
          </cell>
          <cell r="E87" t="str">
            <v>LT 100L TS58 J</v>
          </cell>
          <cell r="I87">
            <v>67</v>
          </cell>
          <cell r="K87" t="str">
            <v>Usare SE0053+54+(55o61) insieme</v>
          </cell>
        </row>
        <row r="88">
          <cell r="A88" t="str">
            <v>SE0054</v>
          </cell>
          <cell r="B88" t="str">
            <v>Ricevitore per sistema fotocellule a barriera</v>
          </cell>
          <cell r="C88" t="str">
            <v>Reciever for barrier photocell system</v>
          </cell>
          <cell r="D88" t="str">
            <v>Telco</v>
          </cell>
          <cell r="E88" t="str">
            <v>LR 100L TS58 J</v>
          </cell>
          <cell r="I88">
            <v>67</v>
          </cell>
          <cell r="K88" t="str">
            <v>Usare SE0053+54+(55o61) insieme</v>
          </cell>
        </row>
        <row r="89">
          <cell r="A89" t="str">
            <v>SE0055</v>
          </cell>
          <cell r="B89" t="str">
            <v>Amplificatore per sistema fotocellule a barriera - 3 relays</v>
          </cell>
          <cell r="C89" t="str">
            <v>Amplifier for barrier photocell system - 3 relays</v>
          </cell>
          <cell r="D89" t="str">
            <v>Telco</v>
          </cell>
          <cell r="E89" t="str">
            <v>PAB.30.A.009</v>
          </cell>
          <cell r="F89">
            <v>24</v>
          </cell>
          <cell r="G89" t="str">
            <v>DC</v>
          </cell>
          <cell r="I89">
            <v>40</v>
          </cell>
          <cell r="K89" t="str">
            <v>Usare SE0053+54+(55o61) insieme</v>
          </cell>
        </row>
        <row r="90">
          <cell r="A90" t="str">
            <v>SE0056</v>
          </cell>
          <cell r="B90" t="str">
            <v>Sensore induttivo M30x1.5 IFM DI5020</v>
          </cell>
          <cell r="C90" t="str">
            <v>Inductive sensor M30x1.5 IFM DI5020</v>
          </cell>
          <cell r="D90" t="str">
            <v>IFM</v>
          </cell>
          <cell r="E90" t="str">
            <v>DI5020</v>
          </cell>
          <cell r="F90">
            <v>24</v>
          </cell>
          <cell r="G90" t="str">
            <v>DC</v>
          </cell>
          <cell r="I90">
            <v>67</v>
          </cell>
        </row>
        <row r="91">
          <cell r="A91" t="str">
            <v>SE0057</v>
          </cell>
          <cell r="B91" t="str">
            <v>Encoder Kubler 8.3651.2632.1311</v>
          </cell>
          <cell r="C91" t="str">
            <v>Encoder Kubler 8.3651.2632.1311</v>
          </cell>
          <cell r="D91" t="str">
            <v>Kubler</v>
          </cell>
          <cell r="E91" t="str">
            <v>8.3651.2632.1311</v>
          </cell>
          <cell r="F91">
            <v>24</v>
          </cell>
          <cell r="G91" t="str">
            <v>DC</v>
          </cell>
          <cell r="I91">
            <v>67</v>
          </cell>
          <cell r="K91" t="str">
            <v>Fuori produzione, usare SE1014</v>
          </cell>
        </row>
        <row r="92">
          <cell r="A92" t="str">
            <v>SE0058</v>
          </cell>
          <cell r="B92" t="str">
            <v>Sensore induttivo Pepperl+Fuchs NBB20-L2-A2-V1-M</v>
          </cell>
          <cell r="C92" t="str">
            <v>Inductive sensor Pepperl+Fuchs NBB20-L2-A2-V1-M</v>
          </cell>
          <cell r="D92" t="str">
            <v>Pepperl+Fuchs</v>
          </cell>
          <cell r="E92" t="str">
            <v>NBB20-L2-A2-V1-M</v>
          </cell>
          <cell r="F92">
            <v>24</v>
          </cell>
          <cell r="G92" t="str">
            <v>DC</v>
          </cell>
          <cell r="I92">
            <v>69</v>
          </cell>
          <cell r="K92" t="str">
            <v>LOW TEMPERATURE</v>
          </cell>
        </row>
        <row r="93">
          <cell r="A93" t="str">
            <v>SE0059</v>
          </cell>
          <cell r="B93" t="str">
            <v>Sensore antisbandamento Kiepe SLS 711</v>
          </cell>
          <cell r="C93" t="str">
            <v>Anti side skid sensor Kiepe SLS 711</v>
          </cell>
          <cell r="D93" t="str">
            <v>Kiepe</v>
          </cell>
          <cell r="E93" t="str">
            <v>SLS 711</v>
          </cell>
          <cell r="F93">
            <v>24</v>
          </cell>
          <cell r="G93" t="str">
            <v>DC</v>
          </cell>
          <cell r="I93">
            <v>67</v>
          </cell>
          <cell r="K93" t="str">
            <v>LOW TEMPERATURE</v>
          </cell>
        </row>
        <row r="94">
          <cell r="A94" t="str">
            <v>SE0060</v>
          </cell>
          <cell r="B94" t="str">
            <v>Sensore strappo Kiepe HEN 702</v>
          </cell>
          <cell r="C94" t="str">
            <v>Limit switch sensor Kiepe HEN 702</v>
          </cell>
          <cell r="D94" t="str">
            <v>Kiepe</v>
          </cell>
          <cell r="E94" t="str">
            <v>HEN 702</v>
          </cell>
          <cell r="F94">
            <v>24</v>
          </cell>
          <cell r="G94" t="str">
            <v>DC</v>
          </cell>
          <cell r="I94">
            <v>67</v>
          </cell>
          <cell r="K94" t="str">
            <v>LOW TEMPERATURE</v>
          </cell>
        </row>
        <row r="95">
          <cell r="A95" t="str">
            <v>SE0061</v>
          </cell>
          <cell r="B95" t="str">
            <v>Amplificatore per sistema fotocellule a barriera - 3 PNP</v>
          </cell>
          <cell r="C95" t="str">
            <v>Amplifier for barrier photocell system - 3 PNP</v>
          </cell>
          <cell r="D95" t="str">
            <v>Telco</v>
          </cell>
          <cell r="E95" t="str">
            <v>PAB.30.A.209.1</v>
          </cell>
          <cell r="F95">
            <v>24</v>
          </cell>
          <cell r="G95" t="str">
            <v>DC</v>
          </cell>
          <cell r="I95">
            <v>40</v>
          </cell>
          <cell r="K95" t="str">
            <v>Usare SE0053+54+(55o61) insieme</v>
          </cell>
        </row>
        <row r="96">
          <cell r="A96" t="str">
            <v>SE0062</v>
          </cell>
          <cell r="B96" t="str">
            <v>Sensore per portella Rembe Q-BOX</v>
          </cell>
          <cell r="C96" t="str">
            <v>Sensor for explotion door Rembe Q-BOX</v>
          </cell>
          <cell r="D96" t="str">
            <v>Rembe</v>
          </cell>
          <cell r="E96" t="str">
            <v>RSK</v>
          </cell>
          <cell r="F96">
            <v>24</v>
          </cell>
          <cell r="G96" t="str">
            <v>DC</v>
          </cell>
          <cell r="I96">
            <v>67</v>
          </cell>
          <cell r="J96" t="str">
            <v>ATEX22</v>
          </cell>
          <cell r="K96" t="str">
            <v>Electrical supply from intrinsecal safety circuit in the main cabinet (not Trasmec supply) - INCLUDED IN QBOX!!</v>
          </cell>
        </row>
        <row r="97">
          <cell r="A97" t="str">
            <v>SE0063</v>
          </cell>
          <cell r="B97" t="str">
            <v>Encoder EVM78E-011DRRPBN-1312</v>
          </cell>
          <cell r="C97" t="str">
            <v>Encoder EVM78E-011DRRPBN-1312</v>
          </cell>
          <cell r="D97" t="str">
            <v>Pepperl+Fuchs</v>
          </cell>
          <cell r="E97" t="str">
            <v>EVM78E-011DRRPBN-1312</v>
          </cell>
          <cell r="F97">
            <v>24</v>
          </cell>
          <cell r="G97" t="str">
            <v>DC</v>
          </cell>
          <cell r="I97">
            <v>66</v>
          </cell>
          <cell r="J97" t="str">
            <v>ATEX21</v>
          </cell>
        </row>
        <row r="98">
          <cell r="A98" t="str">
            <v>SE0064</v>
          </cell>
          <cell r="B98" t="str">
            <v>Giunto 9401 10*10</v>
          </cell>
          <cell r="C98" t="str">
            <v>Joint 9401 10*10</v>
          </cell>
          <cell r="D98" t="str">
            <v>Pepperl+Fuchs</v>
          </cell>
          <cell r="E98" t="str">
            <v>9401 10*10</v>
          </cell>
        </row>
        <row r="99">
          <cell r="A99" t="str">
            <v>SE0065</v>
          </cell>
          <cell r="B99" t="str">
            <v>Encoder Kubler ATEX 8.3651.2634.1311.EX</v>
          </cell>
          <cell r="C99" t="str">
            <v>Encoder Kubler ATEX 8.3651.2634.1311.EX</v>
          </cell>
          <cell r="D99" t="str">
            <v>Kubler</v>
          </cell>
          <cell r="E99" t="str">
            <v>8.3651.2634.1311.EX</v>
          </cell>
          <cell r="F99">
            <v>24</v>
          </cell>
          <cell r="G99" t="str">
            <v>DC</v>
          </cell>
          <cell r="I99">
            <v>67</v>
          </cell>
          <cell r="J99" t="str">
            <v>ATEX22</v>
          </cell>
          <cell r="K99" t="str">
            <v>Output 4-20 mA - Senza cavo FUORI PRODUZIONE</v>
          </cell>
        </row>
        <row r="100">
          <cell r="A100" t="str">
            <v>SE0066</v>
          </cell>
          <cell r="B100" t="str">
            <v xml:space="preserve">Connettore femmina M12+ cavo 15 mt. 05.00.6081.2211.015M </v>
          </cell>
          <cell r="C100" t="str">
            <v xml:space="preserve">Famale connector M12 + Cable 15 mt. 05.00.6081.2211.015M </v>
          </cell>
          <cell r="D100" t="str">
            <v>Kubler</v>
          </cell>
          <cell r="E100" t="str">
            <v xml:space="preserve">05.00.6081.2211.015M </v>
          </cell>
          <cell r="I100">
            <v>67</v>
          </cell>
        </row>
        <row r="101">
          <cell r="A101" t="str">
            <v>SE0067</v>
          </cell>
          <cell r="B101" t="str">
            <v>Kit Atex Zona 22 per connettore  8.0000.5000.0006</v>
          </cell>
          <cell r="C101" t="str">
            <v>Atex Zone 22 Kit for connector 8.0000.5000.0006</v>
          </cell>
          <cell r="D101" t="str">
            <v>Kubler</v>
          </cell>
          <cell r="E101" t="str">
            <v>8.000.050.000.006</v>
          </cell>
          <cell r="J101" t="str">
            <v>ATEX22</v>
          </cell>
        </row>
        <row r="102">
          <cell r="A102" t="str">
            <v>SE0068</v>
          </cell>
          <cell r="B102" t="str">
            <v>Sensore induttivo Telemecanique XS630B1PBL2</v>
          </cell>
          <cell r="C102" t="str">
            <v>Inductive sensor Telemecanique XS630B1PBL2</v>
          </cell>
          <cell r="D102" t="str">
            <v>Telemecanique</v>
          </cell>
          <cell r="E102" t="str">
            <v>XS630B1PBL2</v>
          </cell>
          <cell r="F102">
            <v>24</v>
          </cell>
          <cell r="G102" t="str">
            <v>DC</v>
          </cell>
          <cell r="I102">
            <v>68</v>
          </cell>
        </row>
        <row r="103">
          <cell r="A103" t="str">
            <v>SE0069</v>
          </cell>
          <cell r="B103" t="str">
            <v>Sensore induttivo XS630B1PAM12</v>
          </cell>
          <cell r="C103" t="str">
            <v>Inductive sensor Telemec XS630B1PAM12</v>
          </cell>
          <cell r="D103" t="str">
            <v>Telemecanique</v>
          </cell>
          <cell r="E103" t="str">
            <v>XS630B1PAM12</v>
          </cell>
          <cell r="F103">
            <v>24</v>
          </cell>
          <cell r="G103" t="str">
            <v>DC</v>
          </cell>
          <cell r="I103">
            <v>67</v>
          </cell>
        </row>
        <row r="104">
          <cell r="A104" t="str">
            <v>SE0070</v>
          </cell>
          <cell r="B104" t="str">
            <v>Encoder Kubler 8.3651.2634.1311</v>
          </cell>
          <cell r="C104" t="str">
            <v>Encoder Kubler 8.3651.2634.1311</v>
          </cell>
          <cell r="D104" t="str">
            <v>Kubler</v>
          </cell>
          <cell r="E104" t="str">
            <v>8.3651.2634.1311</v>
          </cell>
          <cell r="F104">
            <v>24</v>
          </cell>
          <cell r="G104" t="str">
            <v>DC</v>
          </cell>
          <cell r="I104">
            <v>67</v>
          </cell>
          <cell r="K104" t="str">
            <v>Output 4-20 mA - Senza cavo FUORI PRODUZIONE</v>
          </cell>
        </row>
        <row r="105">
          <cell r="A105" t="str">
            <v>SE0071</v>
          </cell>
          <cell r="B105" t="str">
            <v>Connettore M12 IFM EVC199</v>
          </cell>
          <cell r="C105" t="str">
            <v>Connector M12 IFM EVC199</v>
          </cell>
          <cell r="D105" t="str">
            <v>IFM</v>
          </cell>
          <cell r="E105" t="str">
            <v>EVC199</v>
          </cell>
          <cell r="F105">
            <v>24</v>
          </cell>
          <cell r="G105" t="str">
            <v>DC</v>
          </cell>
          <cell r="I105" t="str">
            <v>69K</v>
          </cell>
          <cell r="K105" t="str">
            <v>CONNECTOR AND CABLE</v>
          </cell>
        </row>
        <row r="106">
          <cell r="A106" t="str">
            <v>SE0072</v>
          </cell>
          <cell r="B106" t="str">
            <v>Sensore induttivo M30x1.5 IFM NI501A</v>
          </cell>
          <cell r="C106" t="str">
            <v>Inductive sensor M30x1.5 IFM NI501A</v>
          </cell>
          <cell r="D106" t="str">
            <v>IFM</v>
          </cell>
          <cell r="E106" t="str">
            <v>NI501A</v>
          </cell>
          <cell r="F106">
            <v>8.1999999999999993</v>
          </cell>
          <cell r="G106" t="str">
            <v>DC</v>
          </cell>
          <cell r="I106">
            <v>67</v>
          </cell>
          <cell r="J106" t="str">
            <v>CL2DIV1</v>
          </cell>
          <cell r="K106" t="str">
            <v>NAMUR - Instead SE0002 IN USA - CL2DIV1</v>
          </cell>
        </row>
        <row r="107">
          <cell r="A107" t="str">
            <v>SE0073</v>
          </cell>
          <cell r="B107" t="str">
            <v>Connettore M12 IFM ENC13A</v>
          </cell>
          <cell r="C107" t="str">
            <v>Connector M12 IFM ENC13A</v>
          </cell>
          <cell r="D107" t="str">
            <v>IFM</v>
          </cell>
          <cell r="E107" t="str">
            <v>ENC13A</v>
          </cell>
          <cell r="I107">
            <v>67</v>
          </cell>
          <cell r="J107" t="str">
            <v>CL2DIV1</v>
          </cell>
          <cell r="K107" t="str">
            <v>Instead of SE0003 IN USA - CL2DIV1</v>
          </cell>
        </row>
        <row r="108">
          <cell r="A108" t="str">
            <v>SE0074</v>
          </cell>
          <cell r="B108" t="str">
            <v>Sensore induttivo M12x1 IFM NF501A</v>
          </cell>
          <cell r="C108" t="str">
            <v>Inductive sensor M12x1 IFM NF501A</v>
          </cell>
          <cell r="D108" t="str">
            <v>IFM</v>
          </cell>
          <cell r="E108" t="str">
            <v>NF501A</v>
          </cell>
          <cell r="F108">
            <v>8.1999999999999993</v>
          </cell>
          <cell r="G108" t="str">
            <v>DC</v>
          </cell>
          <cell r="I108">
            <v>67</v>
          </cell>
          <cell r="J108" t="str">
            <v>CL2DIV1</v>
          </cell>
          <cell r="K108" t="str">
            <v>NAMUR - Instead of SE0004 for USA - CL2DIV1</v>
          </cell>
        </row>
        <row r="109">
          <cell r="A109" t="str">
            <v>SE0075</v>
          </cell>
          <cell r="B109" t="str">
            <v>Sensore induttivo M30x1.5 IFM IIC224</v>
          </cell>
          <cell r="C109" t="str">
            <v>Inductive sensor M30x1.5 IFM IIC224</v>
          </cell>
          <cell r="D109" t="str">
            <v>IFM</v>
          </cell>
          <cell r="E109" t="str">
            <v>IIC224</v>
          </cell>
          <cell r="F109">
            <v>24</v>
          </cell>
          <cell r="G109" t="str">
            <v>DC</v>
          </cell>
          <cell r="I109">
            <v>67</v>
          </cell>
          <cell r="K109" t="str">
            <v>Instead of SE0002 for USA - SAFE</v>
          </cell>
        </row>
        <row r="110">
          <cell r="A110" t="str">
            <v>SE0076</v>
          </cell>
          <cell r="B110" t="str">
            <v>Connettore M12 IFM EVC088</v>
          </cell>
          <cell r="C110" t="str">
            <v>Connector M12 IFM EVC088</v>
          </cell>
          <cell r="D110" t="str">
            <v>IFM</v>
          </cell>
          <cell r="E110" t="str">
            <v>EVC088</v>
          </cell>
          <cell r="I110">
            <v>67</v>
          </cell>
          <cell r="K110" t="str">
            <v>Instead of SE0003 for USA - SAFE</v>
          </cell>
        </row>
        <row r="111">
          <cell r="A111" t="str">
            <v>SE0077</v>
          </cell>
          <cell r="B111" t="str">
            <v>Sensore antisband. 059488-ROS-2D</v>
          </cell>
          <cell r="C111" t="str">
            <v>Anti side skid sensor 059488-ROS-2D</v>
          </cell>
          <cell r="D111" t="str">
            <v>Thermo Ramsey</v>
          </cell>
          <cell r="E111" t="str">
            <v>059488-ROS-2D</v>
          </cell>
          <cell r="I111">
            <v>56</v>
          </cell>
          <cell r="K111" t="str">
            <v>NON USARE, USARE SE1007 UL - SAFE -NEMA4</v>
          </cell>
        </row>
        <row r="112">
          <cell r="A112" t="str">
            <v>SE0078</v>
          </cell>
          <cell r="B112" t="str">
            <v>Sensore strappo SX-DX 059495-SPS-2D</v>
          </cell>
          <cell r="C112" t="str">
            <v>limit switch sensor LD-RH 059495-SPS-2D</v>
          </cell>
          <cell r="D112" t="str">
            <v>Thermo Ramsey</v>
          </cell>
          <cell r="E112" t="str">
            <v>059495-SPS-2D</v>
          </cell>
          <cell r="I112">
            <v>56</v>
          </cell>
          <cell r="K112" t="str">
            <v xml:space="preserve">NON USARE, USARE SE1008-SE1009 - UL - SAFE -NEMA4 </v>
          </cell>
        </row>
        <row r="113">
          <cell r="A113" t="str">
            <v>SE0079</v>
          </cell>
          <cell r="B113" t="str">
            <v>Sensore induttivo M30x1.5 IFM IIC224</v>
          </cell>
          <cell r="C113" t="str">
            <v>Inductive sensor M30x1.5 IFM IIC224</v>
          </cell>
          <cell r="D113" t="str">
            <v>IFM</v>
          </cell>
          <cell r="E113" t="str">
            <v>IIC224</v>
          </cell>
          <cell r="F113">
            <v>24</v>
          </cell>
          <cell r="G113" t="str">
            <v>DC</v>
          </cell>
          <cell r="I113">
            <v>67</v>
          </cell>
          <cell r="K113" t="str">
            <v>Instead of SE0002 for USA - SAFE</v>
          </cell>
        </row>
        <row r="114">
          <cell r="A114" t="str">
            <v>SE0080</v>
          </cell>
          <cell r="B114" t="str">
            <v>Connettore M12 IFM EVC088</v>
          </cell>
          <cell r="C114" t="str">
            <v>Connector M12 IFM EVC088</v>
          </cell>
          <cell r="D114" t="str">
            <v>IFM</v>
          </cell>
          <cell r="E114" t="str">
            <v>EVC088</v>
          </cell>
          <cell r="I114" t="str">
            <v>IP69K</v>
          </cell>
          <cell r="K114" t="str">
            <v>Connector and cable "UL" approved</v>
          </cell>
        </row>
        <row r="115">
          <cell r="A115" t="str">
            <v>SE0081</v>
          </cell>
          <cell r="B115" t="str">
            <v>Sensore strappo DX-SX Bernstein SR-U2Z 175</v>
          </cell>
          <cell r="C115" t="str">
            <v>Limit switch DX-SX Bernstein SR-U2Z 175</v>
          </cell>
          <cell r="D115" t="str">
            <v>Bernstein</v>
          </cell>
          <cell r="E115" t="str">
            <v>SR-U2Z 175 Art. 6011621026</v>
          </cell>
          <cell r="F115">
            <v>250</v>
          </cell>
          <cell r="G115" t="str">
            <v>AC</v>
          </cell>
          <cell r="I115">
            <v>67</v>
          </cell>
        </row>
        <row r="116">
          <cell r="A116" t="str">
            <v>SE0082</v>
          </cell>
          <cell r="B116" t="str">
            <v>Sensore induttivo NBN40-L2-A2-V1-M</v>
          </cell>
          <cell r="C116" t="str">
            <v>Inductive sensor NBN40-L2-A2-V1-M</v>
          </cell>
          <cell r="D116" t="str">
            <v>Pepperl+fuchs</v>
          </cell>
          <cell r="E116" t="str">
            <v>NBN40-L2-A2-V1-M</v>
          </cell>
          <cell r="F116" t="str">
            <v>10_60</v>
          </cell>
          <cell r="G116" t="str">
            <v>DC</v>
          </cell>
          <cell r="I116" t="str">
            <v>IP69K</v>
          </cell>
          <cell r="K116" t="str">
            <v>LOW TEMPERATURE</v>
          </cell>
        </row>
        <row r="117">
          <cell r="A117" t="str">
            <v>SE0083</v>
          </cell>
          <cell r="B117" t="str">
            <v>Sensore di livello IFM PI2789</v>
          </cell>
          <cell r="C117" t="str">
            <v>Level sensor IFM PI2789</v>
          </cell>
          <cell r="D117" t="str">
            <v>IFM</v>
          </cell>
          <cell r="E117" t="str">
            <v>PI2789</v>
          </cell>
          <cell r="F117">
            <v>24</v>
          </cell>
          <cell r="G117" t="str">
            <v>DC</v>
          </cell>
        </row>
        <row r="118">
          <cell r="A118" t="str">
            <v>SE0084</v>
          </cell>
          <cell r="B118" t="str">
            <v>Valvola servoassistita 6281 2"-2"</v>
          </cell>
          <cell r="C118" t="str">
            <v>Servo Valve 6281 2"-2"</v>
          </cell>
          <cell r="D118" t="str">
            <v>Burkert</v>
          </cell>
          <cell r="E118">
            <v>6281</v>
          </cell>
          <cell r="K118" t="str">
            <v>NUMERO ID 221859 - G1 ¼</v>
          </cell>
        </row>
        <row r="119">
          <cell r="A119" t="str">
            <v>SE0085</v>
          </cell>
          <cell r="B119" t="str">
            <v>Cavo anti-incendio termosensibile</v>
          </cell>
          <cell r="C119" t="str">
            <v>Antifire cable</v>
          </cell>
          <cell r="D119" t="str">
            <v>Notifier-Honeywell</v>
          </cell>
          <cell r="E119" t="str">
            <v>CV-T68</v>
          </cell>
          <cell r="K119" t="str">
            <v xml:space="preserve">L = … </v>
          </cell>
        </row>
        <row r="120">
          <cell r="A120" t="str">
            <v>SE0086</v>
          </cell>
          <cell r="B120" t="str">
            <v>Sensore induttivo M30x1.5 IFM II5447</v>
          </cell>
          <cell r="C120" t="str">
            <v>Inductive sensor M30x1.5 IFM II5447</v>
          </cell>
          <cell r="D120" t="str">
            <v>IFM</v>
          </cell>
          <cell r="E120" t="str">
            <v>II5447</v>
          </cell>
          <cell r="F120">
            <v>24</v>
          </cell>
          <cell r="G120" t="str">
            <v>DC</v>
          </cell>
          <cell r="I120">
            <v>65</v>
          </cell>
        </row>
        <row r="121">
          <cell r="A121" t="str">
            <v>SE0087</v>
          </cell>
          <cell r="B121" t="str">
            <v>Sensore strappo DX Telem. XY2CE1A290</v>
          </cell>
          <cell r="C121" t="str">
            <v>limit switch sensor RH Telem. XY2CE1A290</v>
          </cell>
          <cell r="D121" t="str">
            <v>Telemecanique</v>
          </cell>
          <cell r="E121" t="str">
            <v>XY2CE1A290</v>
          </cell>
          <cell r="F121">
            <v>24</v>
          </cell>
          <cell r="G121" t="str">
            <v>DC</v>
          </cell>
          <cell r="I121">
            <v>65</v>
          </cell>
          <cell r="K121" t="str">
            <v xml:space="preserve">Nr. 1 x side Max. &lt;=70 mt. ==&gt; nr. 2 </v>
          </cell>
        </row>
        <row r="122">
          <cell r="A122" t="str">
            <v>SE0088</v>
          </cell>
          <cell r="B122" t="str">
            <v>Sensore strappo SX Telem. XY2CE2A290</v>
          </cell>
          <cell r="C122" t="str">
            <v>limit switch sensor LH Telem. XY2CE2A290</v>
          </cell>
          <cell r="D122" t="str">
            <v>Telemecanique</v>
          </cell>
          <cell r="E122" t="str">
            <v>XY2CE2A290</v>
          </cell>
          <cell r="F122">
            <v>24</v>
          </cell>
          <cell r="G122" t="str">
            <v>DC</v>
          </cell>
          <cell r="I122">
            <v>65</v>
          </cell>
          <cell r="K122" t="str">
            <v xml:space="preserve">Nr. 1 x side Max. &lt;=70 mt. ==&gt; nr. 2 </v>
          </cell>
        </row>
        <row r="123">
          <cell r="A123" t="str">
            <v>SE0089</v>
          </cell>
          <cell r="B123" t="str">
            <v>Encoder Kubler ATEX 8.3651.2632.1311.EX</v>
          </cell>
          <cell r="C123" t="str">
            <v>Encoder Kubler ATEX 8.3651.2632.1311.EX</v>
          </cell>
          <cell r="D123" t="str">
            <v>Kubler</v>
          </cell>
          <cell r="E123" t="str">
            <v>8.3651.2632.1311.EX</v>
          </cell>
          <cell r="F123">
            <v>24</v>
          </cell>
          <cell r="G123" t="str">
            <v>DC</v>
          </cell>
          <cell r="I123">
            <v>67</v>
          </cell>
          <cell r="J123" t="str">
            <v>ATEX22</v>
          </cell>
          <cell r="K123" t="str">
            <v>Output 4-20 mA - Con cavo FUORI PRODUZIONE</v>
          </cell>
        </row>
        <row r="124">
          <cell r="A124" t="str">
            <v>SE0052-10</v>
          </cell>
          <cell r="B124" t="str">
            <v>Interruttore di livello a vibrazione Vega VB63.GXAGDRAMX</v>
          </cell>
          <cell r="C124" t="str">
            <v>Vibrating level switch Vega VB63.GXAGDRAMX</v>
          </cell>
          <cell r="D124" t="str">
            <v>Vega</v>
          </cell>
          <cell r="E124" t="str">
            <v>VB63.GXAGDRAMX</v>
          </cell>
          <cell r="F124">
            <v>24</v>
          </cell>
          <cell r="G124" t="str">
            <v>DC</v>
          </cell>
          <cell r="I124">
            <v>66</v>
          </cell>
          <cell r="J124" t="str">
            <v>ATEX20</v>
          </cell>
          <cell r="K124" t="str">
            <v>L=1000 mm</v>
          </cell>
        </row>
        <row r="125">
          <cell r="A125" t="str">
            <v>SE0090</v>
          </cell>
          <cell r="B125" t="str">
            <v>Interruttore di livello rotativo Vega VEGAPAL RN 3001</v>
          </cell>
          <cell r="C125" t="str">
            <v>Rotating level switch Vega VEGAPAL RN3001</v>
          </cell>
          <cell r="D125" t="str">
            <v>Vega</v>
          </cell>
          <cell r="E125" t="str">
            <v>VEGAPAL RN3001</v>
          </cell>
          <cell r="F125">
            <v>230</v>
          </cell>
          <cell r="G125" t="str">
            <v>AC</v>
          </cell>
          <cell r="H125">
            <v>50</v>
          </cell>
          <cell r="I125">
            <v>65</v>
          </cell>
          <cell r="J125" t="str">
            <v>ATEX22</v>
          </cell>
          <cell r="K125" t="str">
            <v>L=150mm</v>
          </cell>
        </row>
        <row r="126">
          <cell r="A126" t="str">
            <v>SE0091</v>
          </cell>
          <cell r="B126" t="str">
            <v>Encoder Kubler 8.3651.2632.2311</v>
          </cell>
          <cell r="C126" t="str">
            <v>Encoder Kubler 8.3651.2632.2311</v>
          </cell>
          <cell r="D126" t="str">
            <v>Kubler</v>
          </cell>
          <cell r="E126" t="str">
            <v>8.3651.2632.2311</v>
          </cell>
          <cell r="F126">
            <v>24</v>
          </cell>
          <cell r="G126" t="str">
            <v>DC</v>
          </cell>
          <cell r="I126">
            <v>67</v>
          </cell>
          <cell r="K126" t="str">
            <v>Output 4-20 mA - Con cavo - TRASMEC CHINA FUORI PRODUZIONE</v>
          </cell>
        </row>
        <row r="127">
          <cell r="A127" t="str">
            <v>SE0092</v>
          </cell>
          <cell r="B127" t="str">
            <v>Sensore di prossimita</v>
          </cell>
          <cell r="E127" t="str">
            <v xml:space="preserve">AE1/AP-1HAN </v>
          </cell>
          <cell r="J127" t="str">
            <v>ATEX22</v>
          </cell>
          <cell r="K127" t="str">
            <v>Lubrification System</v>
          </cell>
        </row>
        <row r="128">
          <cell r="A128" t="str">
            <v>SE0093</v>
          </cell>
          <cell r="B128" t="str">
            <v>Sensore Capacitivo</v>
          </cell>
          <cell r="D128" t="str">
            <v>AECO</v>
          </cell>
          <cell r="E128" t="str">
            <v>SC18SP-CE-10PNP NO+NC AD3LC5</v>
          </cell>
          <cell r="K128" t="str">
            <v>Lubrification System</v>
          </cell>
        </row>
        <row r="129">
          <cell r="A129" t="str">
            <v>SE0094</v>
          </cell>
          <cell r="B129" t="str">
            <v>Sensore induttivo Allen-Bradley 871TM-B15N30-H2</v>
          </cell>
          <cell r="C129" t="str">
            <v>Inductive sensor Allen-Bradley  871TM-B15N30-H2</v>
          </cell>
          <cell r="D129" t="str">
            <v>Allen-Bradley</v>
          </cell>
          <cell r="E129" t="str">
            <v>871TM-B15N30-H2</v>
          </cell>
          <cell r="F129" t="str">
            <v>20-250</v>
          </cell>
          <cell r="G129" t="str">
            <v>AC/DC</v>
          </cell>
        </row>
        <row r="130">
          <cell r="A130" t="str">
            <v>SE0095</v>
          </cell>
          <cell r="B130" t="str">
            <v>Encoder Kubler 8.M3661.2332.3412</v>
          </cell>
          <cell r="C130" t="str">
            <v>Encoder Kubler 8.M3661.2332.3412</v>
          </cell>
          <cell r="D130" t="str">
            <v>Kubler</v>
          </cell>
          <cell r="E130" t="str">
            <v>8.M3661.2332.3412</v>
          </cell>
          <cell r="F130">
            <v>24</v>
          </cell>
          <cell r="G130" t="str">
            <v>DC</v>
          </cell>
          <cell r="I130">
            <v>67</v>
          </cell>
          <cell r="K130" t="str">
            <v>Output 4-20 mA - Con cavo - Multigiro</v>
          </cell>
        </row>
        <row r="131">
          <cell r="A131" t="str">
            <v>SE0096</v>
          </cell>
          <cell r="B131" t="str">
            <v>Sensore livello Camlogic</v>
          </cell>
          <cell r="C131" t="str">
            <v>Level sensor Camlogic</v>
          </cell>
          <cell r="D131" t="str">
            <v>CAMLOGIC</v>
          </cell>
          <cell r="E131" t="str">
            <v>PFG05</v>
          </cell>
          <cell r="F131">
            <v>230</v>
          </cell>
          <cell r="G131" t="str">
            <v>AC</v>
          </cell>
          <cell r="H131">
            <v>50</v>
          </cell>
          <cell r="J131" t="str">
            <v>ATEX21</v>
          </cell>
        </row>
        <row r="132">
          <cell r="A132" t="str">
            <v>SE0097</v>
          </cell>
          <cell r="B132" t="str">
            <v>Sensore M30x1.5 IFMDI5023</v>
          </cell>
          <cell r="C132" t="str">
            <v>Sensor M30x1.5 IFM DI5023</v>
          </cell>
          <cell r="D132" t="str">
            <v>IFM</v>
          </cell>
          <cell r="E132" t="str">
            <v>DI5023</v>
          </cell>
          <cell r="F132">
            <v>24</v>
          </cell>
          <cell r="G132" t="str">
            <v>DC</v>
          </cell>
          <cell r="I132">
            <v>67</v>
          </cell>
        </row>
        <row r="133">
          <cell r="A133" t="str">
            <v>SE0098</v>
          </cell>
          <cell r="B133" t="str">
            <v>Sensore Vegabar 82 B82.AXDASAGCSZXKIMXX</v>
          </cell>
          <cell r="C133" t="str">
            <v>Sensor Vegabar 82 B82.AXDASAGCSZXKIMXX</v>
          </cell>
          <cell r="D133" t="str">
            <v>Vega</v>
          </cell>
          <cell r="E133" t="str">
            <v>Vegabar 82</v>
          </cell>
          <cell r="F133" t="str">
            <v>16 ÷ 35</v>
          </cell>
          <cell r="G133" t="str">
            <v>DC</v>
          </cell>
          <cell r="I133">
            <v>67</v>
          </cell>
          <cell r="K133" t="str">
            <v>Protection NEMA 4X</v>
          </cell>
        </row>
        <row r="134">
          <cell r="A134" t="str">
            <v>SE0099</v>
          </cell>
          <cell r="B134" t="str">
            <v>Sensore VEGAVIB 61 - VB61.XXAGDRKMX - IT107716638</v>
          </cell>
          <cell r="C134" t="str">
            <v>Sensor VEGAVIB 61 - VB61.XXAGDRKMX - IT107716638</v>
          </cell>
          <cell r="D134" t="str">
            <v>Vega</v>
          </cell>
          <cell r="E134" t="str">
            <v>Vegavib 61</v>
          </cell>
          <cell r="F134" t="str">
            <v>20 ÷ 72
20 ÷ 253</v>
          </cell>
          <cell r="G134" t="str">
            <v>DC
AC</v>
          </cell>
          <cell r="I134">
            <v>67</v>
          </cell>
          <cell r="K134" t="str">
            <v>With PLICSLED Rosso / Verde</v>
          </cell>
        </row>
        <row r="135">
          <cell r="A135" t="str">
            <v>SE0100</v>
          </cell>
          <cell r="B135" t="str">
            <v>Tastierino taratura USB+Bluetooth+Wireless +Adattatore Vega</v>
          </cell>
          <cell r="C135" t="str">
            <v>Calibration pluggable display USB+Bluetooth+Wireless +connector Vega</v>
          </cell>
          <cell r="D135" t="str">
            <v>Vega</v>
          </cell>
          <cell r="E135" t="str">
            <v>PLICSCOM.XV+PLICSACADAPT.B</v>
          </cell>
          <cell r="I135">
            <v>66</v>
          </cell>
        </row>
        <row r="136">
          <cell r="A136" t="str">
            <v>SE0101</v>
          </cell>
          <cell r="B136" t="str">
            <v>Sensore livello Camlogic 24V dc</v>
          </cell>
          <cell r="C136" t="str">
            <v>Level sensor Camlogic 24V dc</v>
          </cell>
          <cell r="D136" t="str">
            <v>CAMLOGIC</v>
          </cell>
          <cell r="E136" t="str">
            <v>PFG05</v>
          </cell>
          <cell r="F136">
            <v>24</v>
          </cell>
          <cell r="G136" t="str">
            <v>DC</v>
          </cell>
          <cell r="J136" t="str">
            <v>ATEX21</v>
          </cell>
          <cell r="K136" t="str">
            <v xml:space="preserve">Supplier code PFG05XS-10 </v>
          </cell>
        </row>
        <row r="137">
          <cell r="A137" t="str">
            <v>SE0102</v>
          </cell>
          <cell r="B137" t="str">
            <v>Sensore livello Camlogic 110/230V ca</v>
          </cell>
          <cell r="C137" t="str">
            <v>Level sensor Camlogic 110/230 Vca</v>
          </cell>
          <cell r="D137" t="str">
            <v>CAMLOGIC</v>
          </cell>
          <cell r="E137" t="str">
            <v>PFG05</v>
          </cell>
          <cell r="F137" t="str">
            <v>110/230</v>
          </cell>
          <cell r="J137" t="str">
            <v>ATEX21</v>
          </cell>
          <cell r="K137" t="str">
            <v>Supplier code PFG05XS-27</v>
          </cell>
        </row>
        <row r="138">
          <cell r="A138" t="str">
            <v>SE0103</v>
          </cell>
          <cell r="B138" t="str">
            <v>Sensore induttivo Schneider XS630B1PAL5( cavo 5m )</v>
          </cell>
          <cell r="D138" t="str">
            <v>SCHNEIDER</v>
          </cell>
          <cell r="E138" t="str">
            <v>XS630B1PAL5</v>
          </cell>
          <cell r="F138" t="str">
            <v>10 ÷ 58</v>
          </cell>
          <cell r="G138" t="str">
            <v>DC</v>
          </cell>
        </row>
        <row r="139">
          <cell r="A139" t="str">
            <v>SE0104</v>
          </cell>
          <cell r="B139" t="str">
            <v>Sensore induttivo Telecanique XSAV11373L05( cavo 5m )</v>
          </cell>
          <cell r="D139" t="str">
            <v>TELEMECANIQUE</v>
          </cell>
          <cell r="E139" t="str">
            <v>XSAV11373L05</v>
          </cell>
          <cell r="F139" t="str">
            <v>10 ÷ 58</v>
          </cell>
          <cell r="G139" t="str">
            <v>DC</v>
          </cell>
          <cell r="H139" t="str">
            <v>&lt;=100</v>
          </cell>
        </row>
        <row r="140">
          <cell r="A140" t="str">
            <v>SE0105</v>
          </cell>
          <cell r="B140" t="str">
            <v>Sensore per portelle Rembe L=10 m</v>
          </cell>
          <cell r="C140" t="str">
            <v>Sensor for explotion door Rembe RSK</v>
          </cell>
          <cell r="D140" t="str">
            <v>REMBE</v>
          </cell>
          <cell r="E140" t="str">
            <v>RSK ( L=10m )</v>
          </cell>
          <cell r="F140">
            <v>24</v>
          </cell>
          <cell r="G140" t="str">
            <v>DC</v>
          </cell>
          <cell r="I140">
            <v>67</v>
          </cell>
          <cell r="J140" t="str">
            <v>ATEX22</v>
          </cell>
          <cell r="K140" t="str">
            <v>Electrical supply from intrinsecal safety circuit in the main cabinet (not Trasmec supply)</v>
          </cell>
        </row>
        <row r="141">
          <cell r="A141" t="str">
            <v>SE0106</v>
          </cell>
          <cell r="B141" t="str">
            <v xml:space="preserve">Sensore antisbandamentoThermo fisher </v>
          </cell>
          <cell r="C141" t="str">
            <v>Anti side skid sensor Thermo fisher</v>
          </cell>
          <cell r="D141" t="str">
            <v>Thermo Ramsey</v>
          </cell>
          <cell r="E141" t="str">
            <v>60-3A</v>
          </cell>
          <cell r="F141">
            <v>400</v>
          </cell>
          <cell r="G141" t="str">
            <v>DC</v>
          </cell>
          <cell r="I141">
            <v>67</v>
          </cell>
          <cell r="J141" t="str">
            <v>ATEX22</v>
          </cell>
        </row>
        <row r="142">
          <cell r="A142" t="str">
            <v>SE0107</v>
          </cell>
          <cell r="B142" t="str">
            <v>Sensore finecorsa meccanico XCMD4102L5EX</v>
          </cell>
          <cell r="C142" t="str">
            <v>Mechanical limit switch XCMD4102L5EX</v>
          </cell>
          <cell r="D142" t="str">
            <v>Telemecanique</v>
          </cell>
          <cell r="E142" t="str">
            <v>XCMD4102L5EX</v>
          </cell>
          <cell r="I142">
            <v>66</v>
          </cell>
          <cell r="J142" t="str">
            <v>ATEX21</v>
          </cell>
        </row>
        <row r="143">
          <cell r="A143" t="str">
            <v>SE0108</v>
          </cell>
          <cell r="B143" t="str">
            <v>Sensore strappo DX Telem. XY2CE1A270</v>
          </cell>
          <cell r="C143" t="str">
            <v>limit switch sensor RH Telem. XY2CE1A270</v>
          </cell>
          <cell r="D143" t="str">
            <v>Telemecanique</v>
          </cell>
          <cell r="E143" t="str">
            <v>XY2CE1A270</v>
          </cell>
          <cell r="F143">
            <v>24</v>
          </cell>
          <cell r="G143" t="str">
            <v>DC</v>
          </cell>
          <cell r="I143">
            <v>65</v>
          </cell>
          <cell r="K143" t="str">
            <v xml:space="preserve">Nr. 1 x side Max. &lt;=40 mt. ==&gt; nr. 2 </v>
          </cell>
        </row>
        <row r="144">
          <cell r="A144" t="str">
            <v>SE0109</v>
          </cell>
          <cell r="B144" t="str">
            <v>Sensore strappo SX Telem. XY2CE2A270</v>
          </cell>
          <cell r="C144" t="str">
            <v>limit switch sensor LH Telem. XY2CE2A270</v>
          </cell>
          <cell r="D144" t="str">
            <v>Telemecanique</v>
          </cell>
          <cell r="E144" t="str">
            <v>XY2CE2A270</v>
          </cell>
          <cell r="F144">
            <v>24</v>
          </cell>
          <cell r="G144" t="str">
            <v>DC</v>
          </cell>
          <cell r="I144">
            <v>65</v>
          </cell>
          <cell r="K144" t="str">
            <v xml:space="preserve">Nr. 1 x side Max. &lt;=40 mt. ==&gt; nr. 2 </v>
          </cell>
        </row>
        <row r="145">
          <cell r="A145" t="str">
            <v>SE0110</v>
          </cell>
          <cell r="B145" t="str">
            <v>Sensore di prossimità induttivo XS ATEX D</v>
          </cell>
          <cell r="C145" t="str">
            <v>Inductive proximity sensors XS ATEX D</v>
          </cell>
          <cell r="D145" t="str">
            <v>Telemecanique</v>
          </cell>
          <cell r="E145" t="str">
            <v>XS630B1PAL2EX</v>
          </cell>
          <cell r="F145" t="str">
            <v>10 ÷ 48</v>
          </cell>
          <cell r="G145" t="str">
            <v>DC</v>
          </cell>
          <cell r="I145" t="str">
            <v>IP69K</v>
          </cell>
          <cell r="J145" t="str">
            <v>ATEX21</v>
          </cell>
          <cell r="K145" t="str">
            <v>cable 2 m</v>
          </cell>
        </row>
        <row r="146">
          <cell r="A146" t="str">
            <v>SE0111</v>
          </cell>
          <cell r="B146" t="str">
            <v>Sensore di prossimità induttivo XS6 M30</v>
          </cell>
          <cell r="C146" t="str">
            <v>Inductive proximity sensors XS6 M30</v>
          </cell>
          <cell r="D146" t="str">
            <v>Telemecanique</v>
          </cell>
          <cell r="E146" t="str">
            <v>XS630B1PAL10</v>
          </cell>
          <cell r="F146" t="str">
            <v>10 ÷ 48</v>
          </cell>
          <cell r="G146" t="str">
            <v>DC</v>
          </cell>
          <cell r="I146" t="str">
            <v>IP69K</v>
          </cell>
          <cell r="K146" t="str">
            <v>cable 10 m</v>
          </cell>
        </row>
        <row r="147">
          <cell r="A147" t="str">
            <v>SE0112</v>
          </cell>
          <cell r="B147" t="str">
            <v>Sensore di prossimità induttivo XSAV M30</v>
          </cell>
          <cell r="C147" t="str">
            <v>Inductive proximity sensors XSAV M30</v>
          </cell>
          <cell r="D147" t="str">
            <v>Telemecanique</v>
          </cell>
          <cell r="E147" t="str">
            <v>XSAV11373L10</v>
          </cell>
          <cell r="F147" t="str">
            <v>10 ÷ 48</v>
          </cell>
          <cell r="G147" t="str">
            <v>DC</v>
          </cell>
          <cell r="I147" t="str">
            <v>IP67</v>
          </cell>
          <cell r="K147" t="str">
            <v>cable 10 m</v>
          </cell>
        </row>
        <row r="148">
          <cell r="A148" t="str">
            <v>SE0113</v>
          </cell>
          <cell r="B148" t="str">
            <v>Sensore induttivo M30x1.5 IFM DI103A</v>
          </cell>
          <cell r="C148" t="str">
            <v>Inductive sensor M30x1.5 IFM DI103A</v>
          </cell>
          <cell r="D148" t="str">
            <v>IFM</v>
          </cell>
          <cell r="E148" t="str">
            <v>DI103A</v>
          </cell>
          <cell r="F148">
            <v>24</v>
          </cell>
          <cell r="G148" t="str">
            <v>DC</v>
          </cell>
          <cell r="I148">
            <v>67</v>
          </cell>
          <cell r="J148" t="str">
            <v>ATEX22</v>
          </cell>
          <cell r="K148" t="str">
            <v>Cable 2 m</v>
          </cell>
        </row>
        <row r="149">
          <cell r="A149" t="str">
            <v>SE0114</v>
          </cell>
          <cell r="B149" t="str">
            <v>Sensore di prossimità induttivo XS630B1PBL10EX</v>
          </cell>
          <cell r="C149" t="str">
            <v>Inductive proximity sensors XS630B1PBL10EX</v>
          </cell>
          <cell r="D149" t="str">
            <v>Telemecanique</v>
          </cell>
          <cell r="E149" t="str">
            <v>XS630B1PBL10EX</v>
          </cell>
          <cell r="F149" t="str">
            <v>10 ÷ 48</v>
          </cell>
          <cell r="G149" t="str">
            <v>DC</v>
          </cell>
          <cell r="I149">
            <v>68</v>
          </cell>
          <cell r="J149" t="str">
            <v>ATEX21</v>
          </cell>
          <cell r="K149" t="str">
            <v>cable 10 m</v>
          </cell>
        </row>
        <row r="150">
          <cell r="A150" t="str">
            <v>SE0115</v>
          </cell>
          <cell r="B150" t="str">
            <v>Sensore livello Camlogic 24V dc</v>
          </cell>
          <cell r="C150" t="str">
            <v>Level sensor Camlogic 24V dc</v>
          </cell>
          <cell r="D150" t="str">
            <v>CAMLOGIC</v>
          </cell>
          <cell r="E150" t="str">
            <v>PFG05</v>
          </cell>
          <cell r="F150">
            <v>24</v>
          </cell>
          <cell r="G150" t="str">
            <v>DC</v>
          </cell>
          <cell r="J150" t="str">
            <v>ATEX21</v>
          </cell>
          <cell r="K150" t="str">
            <v>LOW TEMPERATURE  FARE RIF. A SE0101</v>
          </cell>
        </row>
        <row r="151">
          <cell r="A151" t="str">
            <v>SE0116</v>
          </cell>
          <cell r="B151" t="str">
            <v>Sensore Fune a strappo Kiepe SNA2-22S</v>
          </cell>
          <cell r="C151" t="str">
            <v>Emergency pull-wire switch Kiepe SNA2-22S</v>
          </cell>
          <cell r="D151" t="str">
            <v>KIEPE</v>
          </cell>
          <cell r="E151" t="str">
            <v>SN</v>
          </cell>
          <cell r="F151" t="str">
            <v>multi</v>
          </cell>
          <cell r="G151" t="str">
            <v>AC/DC</v>
          </cell>
          <cell r="I151">
            <v>67</v>
          </cell>
          <cell r="K151" t="str">
            <v>LOW TEMPERATURE</v>
          </cell>
        </row>
        <row r="152">
          <cell r="A152" t="str">
            <v>SE0117</v>
          </cell>
          <cell r="B152" t="str">
            <v>Sensore Antisbandamento PSA2-2S-S1</v>
          </cell>
          <cell r="C152" t="str">
            <v>Anti side skid sensor PSA2-2S-S1</v>
          </cell>
          <cell r="D152" t="str">
            <v>KIEPE</v>
          </cell>
          <cell r="E152" t="str">
            <v>PSA2-2S-S1</v>
          </cell>
          <cell r="F152" t="str">
            <v>multi</v>
          </cell>
          <cell r="G152" t="str">
            <v>AC/DC</v>
          </cell>
          <cell r="I152">
            <v>67</v>
          </cell>
          <cell r="K152" t="str">
            <v>LOW TEMPERATURE</v>
          </cell>
        </row>
        <row r="153">
          <cell r="A153" t="str">
            <v>SE0118</v>
          </cell>
          <cell r="B153" t="str">
            <v>Sensore Fune a strappo Kiepe SNA2-22S EX 2D</v>
          </cell>
          <cell r="C153" t="str">
            <v>Emergency pull-wire switch Kiepe SNA2-22S EX 2D</v>
          </cell>
          <cell r="D153" t="str">
            <v>KIEPE</v>
          </cell>
          <cell r="E153" t="str">
            <v>SN</v>
          </cell>
          <cell r="F153" t="str">
            <v>multi</v>
          </cell>
          <cell r="G153" t="str">
            <v>AC/DC</v>
          </cell>
          <cell r="I153">
            <v>67</v>
          </cell>
          <cell r="J153" t="str">
            <v>ATEX21</v>
          </cell>
          <cell r="K153" t="str">
            <v>LOW TEMPERATURE</v>
          </cell>
        </row>
        <row r="154">
          <cell r="A154" t="str">
            <v>SE0119</v>
          </cell>
          <cell r="B154" t="str">
            <v>Sensore Antisbandamento PSA2-2S-S1 EX 2D</v>
          </cell>
          <cell r="C154" t="str">
            <v>Anti side skid sensor PSA2-2S-S1 EX 2D</v>
          </cell>
          <cell r="D154" t="str">
            <v>KIEPE</v>
          </cell>
          <cell r="E154" t="str">
            <v>PSA2-2S-S1 EX 2D</v>
          </cell>
          <cell r="F154" t="str">
            <v>multi</v>
          </cell>
          <cell r="G154" t="str">
            <v>AC/DC</v>
          </cell>
          <cell r="I154">
            <v>67</v>
          </cell>
          <cell r="J154" t="str">
            <v>ATEX21</v>
          </cell>
          <cell r="K154" t="str">
            <v>LOW TEMPERATURE</v>
          </cell>
        </row>
        <row r="155">
          <cell r="A155" t="str">
            <v>SE0120</v>
          </cell>
          <cell r="B155" t="str">
            <v>Interruttore di livello radar VEGAPULS 6X PS6X - 222 E6X</v>
          </cell>
          <cell r="C155" t="str">
            <v>Radar level switch Vega VEGAPULS 6X PS6X - 222 E6X</v>
          </cell>
          <cell r="D155" t="str">
            <v>Vega</v>
          </cell>
          <cell r="E155" t="str">
            <v>PS6X - 222 E6X</v>
          </cell>
          <cell r="F155">
            <v>24</v>
          </cell>
          <cell r="G155" t="str">
            <v>DC</v>
          </cell>
          <cell r="I155">
            <v>66</v>
          </cell>
          <cell r="J155" t="str">
            <v>NO</v>
          </cell>
        </row>
        <row r="156">
          <cell r="A156" t="str">
            <v>SE0121</v>
          </cell>
          <cell r="B156" t="str">
            <v>Sensore induttivo XS630B1PBM12</v>
          </cell>
          <cell r="C156" t="str">
            <v>Inductive sensor Telemec XS630B1PBM12</v>
          </cell>
          <cell r="D156" t="str">
            <v>Telemecanique</v>
          </cell>
          <cell r="E156" t="str">
            <v>XS630B1PBM12</v>
          </cell>
          <cell r="F156">
            <v>24</v>
          </cell>
          <cell r="G156" t="str">
            <v>DC</v>
          </cell>
          <cell r="I156">
            <v>67</v>
          </cell>
        </row>
        <row r="157">
          <cell r="A157" t="str">
            <v>SE0122</v>
          </cell>
          <cell r="B157" t="str">
            <v>Sensore induttivo IFM II505A</v>
          </cell>
          <cell r="C157" t="str">
            <v>Inductive sensor Telemec IFM II505A</v>
          </cell>
          <cell r="D157" t="str">
            <v>IFM</v>
          </cell>
          <cell r="E157" t="str">
            <v>II505A</v>
          </cell>
          <cell r="F157">
            <v>24</v>
          </cell>
          <cell r="G157" t="str">
            <v>DC</v>
          </cell>
          <cell r="I157">
            <v>67</v>
          </cell>
          <cell r="J157" t="str">
            <v>ATEX22</v>
          </cell>
        </row>
        <row r="158">
          <cell r="A158" t="str">
            <v>SE0123</v>
          </cell>
          <cell r="B158" t="str">
            <v>Connettore XZ 90° - M12 femmina - 4 pins - 10 m</v>
          </cell>
          <cell r="C158" t="str">
            <v>Connector XZ 90° - M12 female - 4 pins - 10m</v>
          </cell>
          <cell r="D158" t="str">
            <v>Telemecanique</v>
          </cell>
          <cell r="E158" t="str">
            <v>XZCP1241L10</v>
          </cell>
          <cell r="F158">
            <v>24</v>
          </cell>
          <cell r="G158" t="str">
            <v>DC</v>
          </cell>
          <cell r="I158">
            <v>67</v>
          </cell>
          <cell r="J158" t="str">
            <v>NO</v>
          </cell>
        </row>
        <row r="159">
          <cell r="A159" t="str">
            <v>SE0124</v>
          </cell>
          <cell r="B159" t="str">
            <v>Sensore induttivo IFM IG5929</v>
          </cell>
          <cell r="C159" t="str">
            <v>Inductive sensor IFM IG5929</v>
          </cell>
          <cell r="D159" t="str">
            <v>IFM</v>
          </cell>
          <cell r="E159" t="str">
            <v>IG5929</v>
          </cell>
          <cell r="F159">
            <v>24</v>
          </cell>
          <cell r="G159" t="str">
            <v>DC</v>
          </cell>
          <cell r="I159">
            <v>67</v>
          </cell>
          <cell r="J159" t="str">
            <v>NO</v>
          </cell>
        </row>
        <row r="160">
          <cell r="A160" t="str">
            <v>SE0125</v>
          </cell>
          <cell r="B160" t="str">
            <v>Amplificatore di controllo IFM DI521A</v>
          </cell>
          <cell r="C160" t="str">
            <v>Unit for speed monitoring IFM DI521A</v>
          </cell>
          <cell r="D160" t="str">
            <v>IFM</v>
          </cell>
          <cell r="E160" t="str">
            <v>DI521A</v>
          </cell>
          <cell r="F160">
            <v>24</v>
          </cell>
          <cell r="G160" t="str">
            <v>DC</v>
          </cell>
          <cell r="I160">
            <v>65</v>
          </cell>
          <cell r="J160" t="str">
            <v>ATEX22</v>
          </cell>
        </row>
        <row r="161">
          <cell r="A161" t="str">
            <v>SE0126</v>
          </cell>
          <cell r="B161" t="str">
            <v>Interruttore di livello radar VEGAPULS 6X PS6X - 222 E6V</v>
          </cell>
          <cell r="C161" t="str">
            <v>Radar level switch Vega VEGAPULS 6X PS6X - 222 E6V</v>
          </cell>
          <cell r="D161" t="str">
            <v>Vega</v>
          </cell>
          <cell r="E161" t="str">
            <v>PS6X - 222 E6V</v>
          </cell>
          <cell r="F161" t="str">
            <v>10 ÷ 35</v>
          </cell>
          <cell r="G161" t="str">
            <v>DC</v>
          </cell>
          <cell r="I161">
            <v>66</v>
          </cell>
          <cell r="J161" t="str">
            <v>ATEX20</v>
          </cell>
        </row>
        <row r="162">
          <cell r="A162" t="str">
            <v>SE0127</v>
          </cell>
          <cell r="B162" t="str">
            <v>Sensore induttivo IFM II5284</v>
          </cell>
          <cell r="C162" t="str">
            <v>Inductive  sensor IFM II5284</v>
          </cell>
          <cell r="D162" t="str">
            <v>IFM</v>
          </cell>
          <cell r="E162" t="str">
            <v>II5284</v>
          </cell>
          <cell r="F162" t="str">
            <v>10÷36</v>
          </cell>
          <cell r="G162" t="str">
            <v>DC</v>
          </cell>
          <cell r="I162">
            <v>67</v>
          </cell>
          <cell r="J162" t="str">
            <v>NO</v>
          </cell>
        </row>
        <row r="163">
          <cell r="A163" t="str">
            <v>SE0128</v>
          </cell>
          <cell r="B163" t="str">
            <v>Misuratore di livello LPS200</v>
          </cell>
          <cell r="C163" t="str">
            <v>Level mesurement LPS200</v>
          </cell>
          <cell r="D163" t="str">
            <v>Siemens</v>
          </cell>
          <cell r="E163" t="str">
            <v>7ML5728-1NA11-5BB0, SITRANS LPS200</v>
          </cell>
          <cell r="F163">
            <v>24</v>
          </cell>
          <cell r="G163" t="str">
            <v>DC</v>
          </cell>
          <cell r="I163">
            <v>65</v>
          </cell>
          <cell r="J163" t="str">
            <v>ATEX21</v>
          </cell>
        </row>
        <row r="164">
          <cell r="A164" t="str">
            <v>SE0129</v>
          </cell>
          <cell r="B164" t="str">
            <v>Sensore induttivo M30x1.5 IFM IIM216</v>
          </cell>
          <cell r="C164" t="str">
            <v>Inductive sensor M30x1.5 IFM IIM216</v>
          </cell>
          <cell r="D164" t="str">
            <v>IFM</v>
          </cell>
          <cell r="E164" t="str">
            <v>IIM216</v>
          </cell>
          <cell r="F164">
            <v>24</v>
          </cell>
          <cell r="G164" t="str">
            <v>DC</v>
          </cell>
          <cell r="I164">
            <v>67</v>
          </cell>
          <cell r="J164" t="str">
            <v>NO</v>
          </cell>
        </row>
        <row r="165">
          <cell r="A165" t="str">
            <v>SE0130</v>
          </cell>
          <cell r="B165" t="str">
            <v>Sensore livello Rotonivo 24V dc</v>
          </cell>
          <cell r="C165" t="str">
            <v>Level sensor Rotonivo 24V dc</v>
          </cell>
          <cell r="D165" t="str">
            <v>Rotonivo</v>
          </cell>
          <cell r="E165" t="str">
            <v>RN 6002</v>
          </cell>
          <cell r="F165">
            <v>24</v>
          </cell>
          <cell r="G165" t="str">
            <v>DC</v>
          </cell>
          <cell r="J165" t="str">
            <v>ATEX22</v>
          </cell>
        </row>
        <row r="166">
          <cell r="A166" t="str">
            <v>SE0131</v>
          </cell>
          <cell r="B166" t="str">
            <v>Sensore di temperatura TK6130</v>
          </cell>
          <cell r="C166" t="str">
            <v>Temperature switch TK6130</v>
          </cell>
          <cell r="D166" t="str">
            <v>IFM</v>
          </cell>
          <cell r="E166" t="str">
            <v>TK6130</v>
          </cell>
          <cell r="F166">
            <v>24</v>
          </cell>
          <cell r="G166" t="str">
            <v>DC</v>
          </cell>
          <cell r="I166">
            <v>67</v>
          </cell>
          <cell r="J166" t="str">
            <v>NO</v>
          </cell>
        </row>
        <row r="167">
          <cell r="A167" t="str">
            <v>SE0132</v>
          </cell>
          <cell r="B167" t="str">
            <v>Sensore strappo DX Telem. XY2CE1A296</v>
          </cell>
          <cell r="C167" t="str">
            <v>limit switch sensor RH Telem. XY2CE1A296</v>
          </cell>
          <cell r="D167" t="str">
            <v>Telemecanique</v>
          </cell>
          <cell r="E167" t="str">
            <v>XY2CE1A296</v>
          </cell>
          <cell r="F167">
            <v>24</v>
          </cell>
          <cell r="G167" t="str">
            <v>DC</v>
          </cell>
          <cell r="I167">
            <v>66</v>
          </cell>
          <cell r="J167" t="str">
            <v>NO</v>
          </cell>
          <cell r="K167" t="str">
            <v xml:space="preserve">Nr. 1 x side Max. &lt;=40 mt. ==&gt; nr. 2 </v>
          </cell>
        </row>
        <row r="168">
          <cell r="A168" t="str">
            <v>SE0133</v>
          </cell>
          <cell r="B168" t="str">
            <v>Sensore strappo SX Telem. XY2CE2A296</v>
          </cell>
          <cell r="C168" t="str">
            <v>limit switch sensor LH Telem. XY2CE2A296</v>
          </cell>
          <cell r="D168" t="str">
            <v>Telemecanique</v>
          </cell>
          <cell r="E168" t="str">
            <v>XY2CE2A296</v>
          </cell>
          <cell r="F168">
            <v>24</v>
          </cell>
          <cell r="G168" t="str">
            <v>DC</v>
          </cell>
          <cell r="I168">
            <v>66</v>
          </cell>
          <cell r="J168" t="str">
            <v>NO</v>
          </cell>
          <cell r="K168" t="str">
            <v xml:space="preserve">Nr. 1 x side Max. &lt;=40 mt. ==&gt; nr. 2 </v>
          </cell>
        </row>
        <row r="169">
          <cell r="A169" t="str">
            <v>SE0134</v>
          </cell>
          <cell r="B169" t="str">
            <v>Interruttore di livello a vibrazione Vega VB63.GXAGDRAMX</v>
          </cell>
          <cell r="C169" t="str">
            <v>Vibrating level switch Vega VB63.GXAGDRAMX</v>
          </cell>
          <cell r="D169" t="str">
            <v>Vega</v>
          </cell>
          <cell r="E169" t="str">
            <v>VB63.GXAGDRAMX</v>
          </cell>
          <cell r="F169">
            <v>24</v>
          </cell>
          <cell r="G169" t="str">
            <v>DC</v>
          </cell>
          <cell r="I169">
            <v>66</v>
          </cell>
          <cell r="J169" t="str">
            <v>ATEX20</v>
          </cell>
          <cell r="K169" t="str">
            <v>L=400 mm</v>
          </cell>
        </row>
        <row r="170">
          <cell r="A170" t="str">
            <v>SE1001</v>
          </cell>
          <cell r="B170" t="str">
            <v>Staffa supporto sensore laser</v>
          </cell>
          <cell r="C170" t="str">
            <v>Laser sensor support bracket</v>
          </cell>
          <cell r="D170" t="str">
            <v>IFM</v>
          </cell>
          <cell r="E170" t="str">
            <v>E1D100</v>
          </cell>
          <cell r="J170" t="str">
            <v>NO</v>
          </cell>
        </row>
        <row r="171">
          <cell r="A171" t="str">
            <v>SE1002</v>
          </cell>
          <cell r="B171" t="str">
            <v>Sensore laser O1D100</v>
          </cell>
          <cell r="C171" t="str">
            <v>Laser Sensor O1D100</v>
          </cell>
          <cell r="D171" t="str">
            <v>IFM</v>
          </cell>
          <cell r="E171" t="str">
            <v>O1D100</v>
          </cell>
          <cell r="F171">
            <v>24</v>
          </cell>
          <cell r="G171" t="str">
            <v>DC</v>
          </cell>
          <cell r="I171">
            <v>67</v>
          </cell>
          <cell r="J171" t="str">
            <v>NO</v>
          </cell>
        </row>
        <row r="172">
          <cell r="A172" t="str">
            <v>SE1003</v>
          </cell>
          <cell r="B172" t="str">
            <v>Sensore induttivo M30x1.5 IFM IIC233</v>
          </cell>
          <cell r="C172" t="str">
            <v>Inductive sensor M30x1.5 IFM IIC233</v>
          </cell>
          <cell r="D172" t="str">
            <v>IFM</v>
          </cell>
          <cell r="E172" t="str">
            <v>IIC233</v>
          </cell>
          <cell r="F172">
            <v>24</v>
          </cell>
          <cell r="G172" t="str">
            <v>DC</v>
          </cell>
          <cell r="I172">
            <v>67</v>
          </cell>
          <cell r="J172" t="str">
            <v>NO</v>
          </cell>
          <cell r="K172" t="str">
            <v>Instead of SE0002 for USA - SAFE - LOW TEMPERATURE</v>
          </cell>
        </row>
        <row r="173">
          <cell r="A173" t="str">
            <v>SE1004</v>
          </cell>
          <cell r="B173" t="str">
            <v>Sensore Antisbandamento TS2V4C</v>
          </cell>
          <cell r="C173" t="str">
            <v>Anti side skid sensor TS2V4C</v>
          </cell>
          <cell r="D173" t="str">
            <v>4B</v>
          </cell>
          <cell r="E173" t="str">
            <v>TS2V4C</v>
          </cell>
          <cell r="F173">
            <v>24</v>
          </cell>
          <cell r="G173" t="str">
            <v>DC</v>
          </cell>
          <cell r="I173">
            <v>66</v>
          </cell>
          <cell r="J173" t="str">
            <v>CL2DIV1/ATEX</v>
          </cell>
          <cell r="K173" t="str">
            <v>NEMA 4X - CSA</v>
          </cell>
        </row>
        <row r="174">
          <cell r="A174" t="str">
            <v>SE1005</v>
          </cell>
          <cell r="B174" t="str">
            <v>Encoder Kubler 8.M3651A.4334.3112</v>
          </cell>
          <cell r="C174" t="str">
            <v>Encoder Kubler 8.M3651A.4334.3112</v>
          </cell>
          <cell r="D174" t="str">
            <v>Kubler</v>
          </cell>
          <cell r="E174" t="str">
            <v>8.M3651A.4334.3112</v>
          </cell>
          <cell r="F174">
            <v>24</v>
          </cell>
          <cell r="G174" t="str">
            <v>DC</v>
          </cell>
          <cell r="I174">
            <v>65</v>
          </cell>
          <cell r="J174" t="str">
            <v>NO</v>
          </cell>
          <cell r="K174" t="str">
            <v>Output 4-20 mA - Con cavo</v>
          </cell>
        </row>
        <row r="175">
          <cell r="A175" t="str">
            <v>SE1006</v>
          </cell>
          <cell r="B175" t="str">
            <v>SITRANS WS300 Sensore di velocità: montaggio albero, 0.3 … 2 000 rpm</v>
          </cell>
          <cell r="C175" t="str">
            <v>SITRANS WS300 Speed sensor: shaft mounted, 0.3 … 2 000 rpm</v>
          </cell>
          <cell r="D175" t="str">
            <v>Siemens</v>
          </cell>
          <cell r="E175" t="str">
            <v>7MH7177-2AD10-0-Z C11</v>
          </cell>
        </row>
        <row r="176">
          <cell r="A176" t="str">
            <v>SE1007</v>
          </cell>
          <cell r="B176" t="str">
            <v>Sensore antisband. ThermoFisher 60-33A-2NC</v>
          </cell>
          <cell r="C176" t="str">
            <v>Anti side skid sensor ThermoFisher 60-33A-2NC</v>
          </cell>
          <cell r="D176" t="str">
            <v>ThermoFisher</v>
          </cell>
          <cell r="E176" t="str">
            <v>60-33A-2NC</v>
          </cell>
          <cell r="F176">
            <v>24</v>
          </cell>
          <cell r="G176" t="str">
            <v>DC</v>
          </cell>
          <cell r="I176">
            <v>67</v>
          </cell>
          <cell r="J176" t="str">
            <v>ATEX22</v>
          </cell>
          <cell r="K176" t="str">
            <v>UL</v>
          </cell>
        </row>
        <row r="177">
          <cell r="A177" t="str">
            <v>SE1008</v>
          </cell>
          <cell r="B177" t="str">
            <v>Sensore strappo DX Telem. XY2CE1A250H7</v>
          </cell>
          <cell r="C177" t="str">
            <v>limit switch sensor RH Telem. XY2CE1A250H7</v>
          </cell>
          <cell r="D177" t="str">
            <v>Telemecanique</v>
          </cell>
          <cell r="E177" t="str">
            <v>XY2CE1A250H7</v>
          </cell>
          <cell r="F177">
            <v>24</v>
          </cell>
          <cell r="G177" t="str">
            <v>DC</v>
          </cell>
          <cell r="I177">
            <v>65</v>
          </cell>
          <cell r="K177" t="str">
            <v>Nr. 1 x side Max. &lt;=40 mt. ==&gt; nr. 2 UL</v>
          </cell>
        </row>
        <row r="178">
          <cell r="A178" t="str">
            <v>SE1009</v>
          </cell>
          <cell r="B178" t="str">
            <v>Sensore strappo SX Telem. XY2CE2A250H7</v>
          </cell>
          <cell r="C178" t="str">
            <v>limit switch sensor LH Telem. XY2CE2A250H7</v>
          </cell>
          <cell r="D178" t="str">
            <v>Telemecanique</v>
          </cell>
          <cell r="E178" t="str">
            <v>XY2CE2A250H7</v>
          </cell>
          <cell r="F178">
            <v>24</v>
          </cell>
          <cell r="G178" t="str">
            <v>DC</v>
          </cell>
          <cell r="I178">
            <v>65</v>
          </cell>
          <cell r="K178" t="str">
            <v>Nr. 1 x side Max. &lt;=40 mt. ==&gt; nr. 2 UL</v>
          </cell>
        </row>
        <row r="179">
          <cell r="A179" t="str">
            <v>SE1010</v>
          </cell>
          <cell r="B179" t="str">
            <v>Sensore M30x1.5 IFM DI5024</v>
          </cell>
          <cell r="C179" t="str">
            <v>Sensor M30x1.5 IFM DI5024</v>
          </cell>
          <cell r="D179" t="str">
            <v>IFM</v>
          </cell>
          <cell r="E179" t="str">
            <v>DI5024</v>
          </cell>
          <cell r="F179">
            <v>24</v>
          </cell>
          <cell r="G179" t="str">
            <v>DC</v>
          </cell>
          <cell r="I179">
            <v>67</v>
          </cell>
        </row>
        <row r="180">
          <cell r="A180" t="str">
            <v>SE1011</v>
          </cell>
          <cell r="B180" t="str">
            <v>Sensore strappo XY2CH13170</v>
          </cell>
          <cell r="C180" t="str">
            <v>Emergency stop rope pull switches XY2CH13170</v>
          </cell>
          <cell r="D180" t="str">
            <v>Telemecanique</v>
          </cell>
          <cell r="E180" t="str">
            <v>XY2CH13170</v>
          </cell>
          <cell r="F180">
            <v>24</v>
          </cell>
          <cell r="G180" t="str">
            <v>DC</v>
          </cell>
          <cell r="I180">
            <v>65</v>
          </cell>
          <cell r="K180" t="str">
            <v>UL</v>
          </cell>
        </row>
        <row r="181">
          <cell r="A181" t="str">
            <v>SE1012</v>
          </cell>
          <cell r="B181" t="str">
            <v>Accelerometro a sicurezza intrinseca HS-420I/M</v>
          </cell>
          <cell r="C181" t="str">
            <v>Intrinsically safe accelerometer HS-420I/M</v>
          </cell>
          <cell r="D181" t="str">
            <v>Hansford Sensor</v>
          </cell>
          <cell r="E181" t="str">
            <v>HS-420I/M</v>
          </cell>
          <cell r="F181">
            <v>24</v>
          </cell>
          <cell r="G181" t="str">
            <v>DC</v>
          </cell>
          <cell r="I181">
            <v>68</v>
          </cell>
          <cell r="J181" t="str">
            <v>ATEX21</v>
          </cell>
        </row>
        <row r="182">
          <cell r="A182" t="str">
            <v>SE1013</v>
          </cell>
          <cell r="B182" t="str">
            <v>Sensore induttivo M30x1.5 IDEM RM-EX 905101</v>
          </cell>
          <cell r="C182" t="str">
            <v>Inductive sensor M30x1.5 IDEM RM-EX 905101</v>
          </cell>
          <cell r="D182" t="str">
            <v>IDEM</v>
          </cell>
          <cell r="E182" t="str">
            <v>RM-EX 905101</v>
          </cell>
          <cell r="F182">
            <v>24</v>
          </cell>
          <cell r="G182" t="str">
            <v>DC</v>
          </cell>
          <cell r="I182">
            <v>67</v>
          </cell>
          <cell r="J182" t="str">
            <v>ATEX21</v>
          </cell>
          <cell r="K182" t="str">
            <v>SAFETY - cavo 5m</v>
          </cell>
        </row>
        <row r="183">
          <cell r="A183" t="str">
            <v>SE1014</v>
          </cell>
          <cell r="B183" t="str">
            <v>Encoder Kubler 8.M3651A.4332.3112</v>
          </cell>
          <cell r="C183" t="str">
            <v>Encoder Kubler 8.M3651A.4332.3112</v>
          </cell>
          <cell r="D183" t="str">
            <v>Kubler</v>
          </cell>
          <cell r="E183" t="str">
            <v>8.M3651A.4332.3112</v>
          </cell>
          <cell r="F183">
            <v>24</v>
          </cell>
          <cell r="G183" t="str">
            <v>DC</v>
          </cell>
          <cell r="I183">
            <v>67</v>
          </cell>
        </row>
        <row r="184">
          <cell r="A184" t="str">
            <v>SE1015</v>
          </cell>
          <cell r="B184" t="str">
            <v>Sensore di prossimità induttivo P3001V34C - 4B</v>
          </cell>
          <cell r="C184" t="str">
            <v>Inductive Proximity Sensor P3001V34C - 4B</v>
          </cell>
          <cell r="D184" t="str">
            <v>4B</v>
          </cell>
          <cell r="E184" t="str">
            <v>P3001V34C - 4B</v>
          </cell>
          <cell r="F184">
            <v>24</v>
          </cell>
          <cell r="G184" t="str">
            <v>DC</v>
          </cell>
          <cell r="I184">
            <v>65</v>
          </cell>
          <cell r="J184" t="str">
            <v>Atex20</v>
          </cell>
          <cell r="K184" t="str">
            <v>UL and NEC500 approved - for US and Canada market</v>
          </cell>
        </row>
        <row r="185">
          <cell r="A185" t="str">
            <v>SE1016</v>
          </cell>
          <cell r="B185" t="str">
            <v>Cella di carico a perno Ø40 72kN</v>
          </cell>
          <cell r="C185" t="str">
            <v>Pin load cell Ø40 72kN</v>
          </cell>
          <cell r="D185" t="str">
            <v>CELMI</v>
          </cell>
        </row>
        <row r="186">
          <cell r="A186" t="str">
            <v>SE1017</v>
          </cell>
          <cell r="B186" t="str">
            <v>Encoder assoluto singologiro ATEX21-22</v>
          </cell>
          <cell r="D186" t="str">
            <v>LIKA</v>
          </cell>
          <cell r="E186" t="str">
            <v>ROTACOD XAC77-12-00-PA2-14-PX-RL050/Pxxx  </v>
          </cell>
          <cell r="F186">
            <v>24</v>
          </cell>
          <cell r="G186" t="str">
            <v>DC</v>
          </cell>
          <cell r="I186">
            <v>65</v>
          </cell>
          <cell r="J186" t="str">
            <v>ATEX21-22</v>
          </cell>
          <cell r="K186" t="str">
            <v>USARE CON SE1019 E SE1020. Cavo 5m, uscita 4-20mA, albero cavo cieco Ø14mm</v>
          </cell>
        </row>
        <row r="187">
          <cell r="A187" t="str">
            <v>SE1018</v>
          </cell>
          <cell r="B187" t="str">
            <v>Encoder assoluto multigiro ATEX21-22</v>
          </cell>
          <cell r="D187" t="str">
            <v>LIKA</v>
          </cell>
          <cell r="E187" t="str">
            <v>ROTACOD XAC77-12-14-PA2-14-PX-RL050/Pxxx</v>
          </cell>
          <cell r="F187">
            <v>24</v>
          </cell>
          <cell r="G187" t="str">
            <v>DC</v>
          </cell>
          <cell r="I187">
            <v>65</v>
          </cell>
          <cell r="J187" t="str">
            <v>ATEX21-22</v>
          </cell>
          <cell r="K187" t="str">
            <v>USARE CON SE1019 E SE1020. Cavo 5m, uscita 4-20mA su 16giri, albero cavo cieco Ø14mm</v>
          </cell>
        </row>
        <row r="188">
          <cell r="A188" t="str">
            <v>SE1019</v>
          </cell>
          <cell r="B188" t="str">
            <v>Inserto per encoder albero sporgente Ø10mm</v>
          </cell>
          <cell r="D188" t="str">
            <v>LIKA</v>
          </cell>
          <cell r="E188" t="str">
            <v>LKM-1758  </v>
          </cell>
          <cell r="J188" t="str">
            <v>NO</v>
          </cell>
          <cell r="K188" t="str">
            <v>Inserto per rendere uscita da cavo Ø14mm ad albero Ø10mm</v>
          </cell>
        </row>
        <row r="189">
          <cell r="A189" t="str">
            <v>SE1020</v>
          </cell>
          <cell r="B189" t="str">
            <v>Giunto elastico</v>
          </cell>
          <cell r="D189" t="str">
            <v>LIKA</v>
          </cell>
          <cell r="E189" t="str">
            <v xml:space="preserve">PAN -10 </v>
          </cell>
          <cell r="J189" t="str">
            <v>NO</v>
          </cell>
          <cell r="K189" t="str">
            <v>Coupling joint Ø10 - Ø10</v>
          </cell>
        </row>
        <row r="190">
          <cell r="A190" t="str">
            <v>SE1021</v>
          </cell>
          <cell r="B190" t="str">
            <v>Encoder assoluto singolo-giro</v>
          </cell>
          <cell r="D190" t="str">
            <v>LIKA</v>
          </cell>
          <cell r="E190" t="str">
            <v xml:space="preserve">ROTACOD AS58-12-00-AI12-10-PT-RM8  </v>
          </cell>
          <cell r="F190">
            <v>24</v>
          </cell>
          <cell r="G190" t="str">
            <v>DC</v>
          </cell>
          <cell r="I190">
            <v>65</v>
          </cell>
          <cell r="J190" t="str">
            <v>NO</v>
          </cell>
          <cell r="K190" t="str">
            <v>WITH SE1023 E SE1020. Output 4-20mA, 4096 info/round, shaft Ø10mm, radial connector M12 8pin</v>
          </cell>
        </row>
        <row r="191">
          <cell r="A191" t="str">
            <v>SE1022</v>
          </cell>
          <cell r="B191" t="str">
            <v>Encoder assoluto multi-giro</v>
          </cell>
          <cell r="D191" t="str">
            <v>LIKA</v>
          </cell>
          <cell r="E191" t="str">
            <v>ROTACOD AS58-12-04-AI12-10-PT-RM8</v>
          </cell>
          <cell r="F191">
            <v>24</v>
          </cell>
          <cell r="G191" t="str">
            <v>DC</v>
          </cell>
          <cell r="I191">
            <v>65</v>
          </cell>
          <cell r="J191" t="str">
            <v>NO</v>
          </cell>
          <cell r="K191" t="str">
            <v>WITH SE1023 E SE1020. Output 4-20mA, 4096 info/round, 16 rounds , shaft Ø10mm, radial connector M12 8pin</v>
          </cell>
        </row>
        <row r="192">
          <cell r="A192" t="str">
            <v>SE1023</v>
          </cell>
          <cell r="B192" t="str">
            <v>Cavo</v>
          </cell>
          <cell r="D192" t="str">
            <v>LIKA</v>
          </cell>
          <cell r="E192" t="str">
            <v xml:space="preserve">EC-M12F8-LK-M8-L050  </v>
          </cell>
          <cell r="J192" t="str">
            <v>NO</v>
          </cell>
          <cell r="K192" t="str">
            <v>Cable connector M12 8pin, on the other side free cables</v>
          </cell>
        </row>
        <row r="193">
          <cell r="A193" t="str">
            <v>SE1024</v>
          </cell>
          <cell r="B193" t="str">
            <v>Giunto elastico</v>
          </cell>
          <cell r="D193" t="str">
            <v>LIKA</v>
          </cell>
          <cell r="E193" t="str">
            <v xml:space="preserve">MWS-25-8-10  </v>
          </cell>
          <cell r="J193" t="str">
            <v>NO</v>
          </cell>
          <cell r="K193" t="str">
            <v>Giunto Ø8 - Ø10</v>
          </cell>
        </row>
        <row r="194">
          <cell r="A194" t="str">
            <v>SE1025</v>
          </cell>
          <cell r="B194" t="str">
            <v>Sensore livello Camlogic 24V dc</v>
          </cell>
          <cell r="C194" t="str">
            <v>Level sensor Camlogic 24V dc</v>
          </cell>
          <cell r="D194" t="str">
            <v>CAMLOGIC</v>
          </cell>
          <cell r="E194" t="str">
            <v>PFG05</v>
          </cell>
          <cell r="F194">
            <v>24</v>
          </cell>
          <cell r="J194" t="str">
            <v>ATEX22</v>
          </cell>
          <cell r="K194" t="str">
            <v>USARE SE0101</v>
          </cell>
        </row>
        <row r="195">
          <cell r="A195" t="str">
            <v>SE1026</v>
          </cell>
          <cell r="B195" t="str">
            <v>Trasmettitore di velocità 60-12C - Thermo fisher</v>
          </cell>
          <cell r="C195" t="str">
            <v>Speed sensor series 60-12C - Thermo fisher</v>
          </cell>
          <cell r="D195" t="str">
            <v>THERMO FISHER</v>
          </cell>
          <cell r="E195" t="str">
            <v>60-12C</v>
          </cell>
          <cell r="F195">
            <v>24</v>
          </cell>
          <cell r="G195" t="str">
            <v>DC</v>
          </cell>
          <cell r="I195">
            <v>65</v>
          </cell>
          <cell r="J195" t="str">
            <v>NO</v>
          </cell>
        </row>
        <row r="196">
          <cell r="A196" t="str">
            <v>SE1027</v>
          </cell>
          <cell r="B196" t="str">
            <v>Trasmettitore di velocità 60-12C/ATEX22 - Thermo fisher</v>
          </cell>
          <cell r="C196" t="str">
            <v>Speed sensor series 60-12C/ATEX22 - Thermo fisher</v>
          </cell>
          <cell r="D196" t="str">
            <v>THERMO FISHER</v>
          </cell>
          <cell r="E196" t="str">
            <v>60-12C/ATEX22</v>
          </cell>
          <cell r="F196">
            <v>24</v>
          </cell>
          <cell r="G196" t="str">
            <v>DC</v>
          </cell>
          <cell r="I196">
            <v>65</v>
          </cell>
          <cell r="J196" t="str">
            <v>SI</v>
          </cell>
        </row>
        <row r="197">
          <cell r="A197" t="str">
            <v>SE1028</v>
          </cell>
          <cell r="B197" t="str">
            <v>Sensore induttivo M30x1.5 IFM IIS204</v>
          </cell>
          <cell r="C197" t="str">
            <v>Inductive sensor M30x1.5 IFM IIS204</v>
          </cell>
          <cell r="D197" t="str">
            <v>IFM</v>
          </cell>
          <cell r="E197" t="str">
            <v>IIS204</v>
          </cell>
          <cell r="F197">
            <v>24</v>
          </cell>
          <cell r="G197" t="str">
            <v>DC</v>
          </cell>
          <cell r="I197">
            <v>67</v>
          </cell>
          <cell r="J197" t="str">
            <v>NO</v>
          </cell>
          <cell r="K197" t="str">
            <v>CE UL UKCA</v>
          </cell>
        </row>
        <row r="198">
          <cell r="A198" t="str">
            <v>SE1029</v>
          </cell>
          <cell r="B198" t="str">
            <v>Sensore induttivo M30x1.5 IFM IIS204</v>
          </cell>
          <cell r="C198" t="str">
            <v>Inductive sensor M30x1.5 IFM IIS204</v>
          </cell>
          <cell r="D198" t="str">
            <v>IFM</v>
          </cell>
          <cell r="E198" t="str">
            <v>IIS206</v>
          </cell>
          <cell r="F198">
            <v>24</v>
          </cell>
          <cell r="G198" t="str">
            <v>DC</v>
          </cell>
          <cell r="I198">
            <v>67</v>
          </cell>
          <cell r="J198" t="str">
            <v>NO</v>
          </cell>
          <cell r="K198" t="str">
            <v>CE UL UKCA</v>
          </cell>
        </row>
        <row r="199">
          <cell r="A199" t="str">
            <v>SE1030</v>
          </cell>
          <cell r="B199" t="str">
            <v>Encoder incremen. EK8R/EV8R SET-A.GA 21018472</v>
          </cell>
          <cell r="C199" t="str">
            <v>Incremental encoder EK8R/EV8R SET-A.GA 21018472</v>
          </cell>
          <cell r="D199" t="str">
            <v>SEW</v>
          </cell>
          <cell r="E199">
            <v>21018472</v>
          </cell>
          <cell r="F199">
            <v>24</v>
          </cell>
          <cell r="G199" t="str">
            <v>DC</v>
          </cell>
          <cell r="I199">
            <v>66</v>
          </cell>
          <cell r="J199" t="str">
            <v>NO</v>
          </cell>
        </row>
        <row r="200">
          <cell r="A200" t="str">
            <v>SE1031</v>
          </cell>
          <cell r="B200" t="str">
            <v>Encoder Kubler 8.M5851A.3532.3112</v>
          </cell>
          <cell r="C200" t="str">
            <v>Encoder Kubler 8.M5851A.3532.3112</v>
          </cell>
          <cell r="D200" t="str">
            <v>Kubler</v>
          </cell>
          <cell r="E200" t="str">
            <v>8.M5851A.3532.3112</v>
          </cell>
          <cell r="F200">
            <v>24</v>
          </cell>
          <cell r="G200" t="str">
            <v>DC</v>
          </cell>
        </row>
        <row r="201">
          <cell r="A201" t="str">
            <v>SE1032</v>
          </cell>
          <cell r="B201" t="str">
            <v>Sensore di rottura del cavo Firefly</v>
          </cell>
          <cell r="C201" t="str">
            <v>Breakable cable burst sensor Firefly</v>
          </cell>
          <cell r="D201" t="str">
            <v>Firefly</v>
          </cell>
          <cell r="E201" t="str">
            <v>RSK ( L=3m )</v>
          </cell>
          <cell r="F201">
            <v>24</v>
          </cell>
          <cell r="G201" t="str">
            <v>DC</v>
          </cell>
          <cell r="J201" t="str">
            <v>ATEX22</v>
          </cell>
          <cell r="K201" t="str">
            <v>Electrical supply from panel</v>
          </cell>
        </row>
        <row r="202">
          <cell r="A202" t="str">
            <v>SE1033</v>
          </cell>
          <cell r="B202" t="str">
            <v>Sensore induttivo XSAV11801</v>
          </cell>
          <cell r="C202" t="str">
            <v>Inductive sensor XSAV11801</v>
          </cell>
          <cell r="D202" t="str">
            <v>Telemecanique</v>
          </cell>
          <cell r="E202" t="str">
            <v>XSAV11801</v>
          </cell>
          <cell r="F202">
            <v>24</v>
          </cell>
          <cell r="G202" t="str">
            <v>DC</v>
          </cell>
          <cell r="I202">
            <v>67</v>
          </cell>
        </row>
        <row r="203">
          <cell r="A203" t="str">
            <v>SE1034</v>
          </cell>
          <cell r="B203" t="str">
            <v>Interruttore a fune incl. pulsante di arresto di emergenza</v>
          </cell>
          <cell r="C203" t="str">
            <v>Rope switch including emergency stop button</v>
          </cell>
          <cell r="D203" t="str">
            <v>Pilz</v>
          </cell>
          <cell r="E203" t="str">
            <v>PSEN 570304</v>
          </cell>
          <cell r="F203">
            <v>24</v>
          </cell>
          <cell r="G203" t="str">
            <v>DC</v>
          </cell>
        </row>
        <row r="204">
          <cell r="A204" t="str">
            <v>SE1035</v>
          </cell>
          <cell r="B204" t="str">
            <v>Interruttore di allinemanto nastro EX</v>
          </cell>
          <cell r="C204" t="str">
            <v>Conveyor belt alignment switch EX</v>
          </cell>
          <cell r="D204" t="str">
            <v>Steute</v>
          </cell>
          <cell r="E204" t="str">
            <v>Ex ES 98 SR-11U</v>
          </cell>
          <cell r="F204">
            <v>24</v>
          </cell>
          <cell r="G204" t="str">
            <v>DC</v>
          </cell>
          <cell r="I204">
            <v>66</v>
          </cell>
          <cell r="K204" t="str">
            <v>Article no.: 1349304</v>
          </cell>
        </row>
        <row r="205">
          <cell r="A205" t="str">
            <v>SE1036</v>
          </cell>
          <cell r="B205" t="str">
            <v>Interruttore di livello radar Siemens Sitrans LR580</v>
          </cell>
          <cell r="C205" t="str">
            <v>Radar level switch  Siemens Sitrans LR580</v>
          </cell>
          <cell r="D205" t="str">
            <v>Siemens</v>
          </cell>
          <cell r="E205" t="str">
            <v>Sitrans LR580 7ML7580-0ED10-4MF0-Z E49 + A5E51857118</v>
          </cell>
          <cell r="F205">
            <v>24</v>
          </cell>
          <cell r="G205" t="str">
            <v>DC</v>
          </cell>
          <cell r="I205">
            <v>66</v>
          </cell>
          <cell r="J205" t="str">
            <v>ATEX20</v>
          </cell>
        </row>
        <row r="206">
          <cell r="A206" t="str">
            <v>SE1037</v>
          </cell>
          <cell r="B206" t="str">
            <v>Sensore induttivo XS630B1MAL2</v>
          </cell>
          <cell r="C206" t="str">
            <v>Proximity sensor XS630B1MAL2</v>
          </cell>
          <cell r="D206" t="str">
            <v>Telemecanique</v>
          </cell>
          <cell r="E206" t="str">
            <v>XS630B1MAL2</v>
          </cell>
          <cell r="F206" t="str">
            <v>24..240</v>
          </cell>
          <cell r="G206" t="str">
            <v>AC/DC</v>
          </cell>
          <cell r="I206">
            <v>68</v>
          </cell>
          <cell r="J206" t="str">
            <v>NO</v>
          </cell>
        </row>
        <row r="207">
          <cell r="A207" t="str">
            <v>SE1038</v>
          </cell>
          <cell r="B207" t="str">
            <v>CODICE DA RECUPERARE (BRUCIATO ARCEMI)</v>
          </cell>
          <cell r="C207" t="str">
            <v>CODICE DA RECUPERARE (BRUCIATO ARCEMI)</v>
          </cell>
          <cell r="D207" t="str">
            <v>CODICE DA RECUPERARE (BRUCIATO ARCEMI)</v>
          </cell>
          <cell r="E207" t="str">
            <v>CODICE DA RECUPERARE (BRUCIATO ARCEMI)</v>
          </cell>
          <cell r="F207" t="str">
            <v>CODICE DA RECUPERARE (BRUCIATO ARCEMI)</v>
          </cell>
          <cell r="G207" t="str">
            <v>CODICE DA RECUPERARE (BRUCIATO ARCEMI)</v>
          </cell>
          <cell r="H207" t="str">
            <v>CODICE DA RECUPERARE (BRUCIATO ARCEMI)</v>
          </cell>
          <cell r="I207" t="str">
            <v>CODICE DA RECUPERARE (BRUCIATO ARCEMI)</v>
          </cell>
          <cell r="J207" t="str">
            <v>CODICE DA RECUPERARE (BRUCIATO ARCEMI)</v>
          </cell>
          <cell r="K207" t="str">
            <v>CODICE DA RECUPERARE (BRUCIATO ARCEMI)</v>
          </cell>
        </row>
        <row r="208">
          <cell r="A208" t="str">
            <v>SE1039</v>
          </cell>
          <cell r="B208" t="str">
            <v>Encoder rotativo assoluto CEV582M-M0259 TRelectronic</v>
          </cell>
          <cell r="C208" t="str">
            <v>Absolute rotary encoder CEV582M-M0259 TRelectronic</v>
          </cell>
          <cell r="D208" t="str">
            <v>TRelectronic</v>
          </cell>
          <cell r="E208" t="str">
            <v>CEV582M-00569</v>
          </cell>
          <cell r="F208">
            <v>24</v>
          </cell>
          <cell r="G208" t="str">
            <v>DC</v>
          </cell>
          <cell r="H208">
            <v>60</v>
          </cell>
          <cell r="I208">
            <v>67</v>
          </cell>
          <cell r="J208" t="str">
            <v>NO</v>
          </cell>
        </row>
        <row r="209">
          <cell r="A209" t="str">
            <v>SE1040</v>
          </cell>
          <cell r="B209" t="str">
            <v>Connettore a spina</v>
          </cell>
          <cell r="C209" t="str">
            <v>Plug connector</v>
          </cell>
          <cell r="D209" t="str">
            <v>elco</v>
          </cell>
          <cell r="E209" t="str">
            <v>LSO12.8-0/M/S/C</v>
          </cell>
          <cell r="F209">
            <v>30</v>
          </cell>
          <cell r="G209" t="str">
            <v>AC/DC</v>
          </cell>
          <cell r="I209">
            <v>67</v>
          </cell>
          <cell r="J209" t="str">
            <v>NO</v>
          </cell>
        </row>
        <row r="210">
          <cell r="A210" t="str">
            <v>SE1041</v>
          </cell>
          <cell r="B210" t="str">
            <v>Giunto elastico</v>
          </cell>
          <cell r="C210" t="str">
            <v>Elastic joint</v>
          </cell>
          <cell r="D210" t="str">
            <v>Telestar</v>
          </cell>
          <cell r="E210" t="str">
            <v>GEAV2532</v>
          </cell>
        </row>
        <row r="212">
          <cell r="A212" t="str">
            <v>SE1000</v>
          </cell>
          <cell r="B212" t="str">
            <v>PRIMO NUMERO UTILIZZATO MEDIANTE CODIFICA AUTOMATICA VAULT PROFESSIONAL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refreshOnLoad="1" connectionId="1" xr16:uid="{724CC9E1-B43A-4941-9422-86433ABAEDA0}" autoFormatId="16" applyNumberFormats="0" applyBorderFormats="0" applyFontFormats="0" applyPatternFormats="0" applyAlignmentFormats="0" applyWidthHeightFormats="0">
  <queryTableRefresh nextId="25">
    <queryTableFields count="19">
      <queryTableField id="1" name="Project ° " tableColumnId="1"/>
      <queryTableField id="2" name="INTERNAL ORDER CONF NR" tableColumnId="2"/>
      <queryTableField id="23" name="Link to PE folder" tableColumnId="3"/>
      <queryTableField id="4" name="CUSTOMER" tableColumnId="4"/>
      <queryTableField id="5" name="FINAL CUSTOMER" tableColumnId="5"/>
      <queryTableField id="6" name="PLANT" tableColumnId="6"/>
      <queryTableField id="7" name="DESCRIPTION" tableColumnId="7"/>
      <queryTableField id="8" name="Location" tableColumnId="8"/>
      <queryTableField id="9" name="Vendor" tableColumnId="9"/>
      <queryTableField id="10" name="YEAR" tableColumnId="10"/>
      <queryTableField id="11" name="Project Engineer" tableColumnId="11"/>
      <queryTableField id="12" name="DELIVERY" tableColumnId="12"/>
      <queryTableField id="13" name="REMARKS" tableColumnId="13"/>
      <queryTableField id="14" name="MOTOR &amp; SENSOR LIST DELIVERED TO PURCHASE DEPT._x000a_AND TO CUSTOMER" tableColumnId="14"/>
      <queryTableField id="15" name="PROJECT STATUS" tableColumnId="15"/>
      <queryTableField id="16" name="FOLDER NAME" tableColumnId="16"/>
      <queryTableField id="17" name="Column17" tableColumnId="17"/>
      <queryTableField id="18" name="Column18" tableColumnId="18"/>
      <queryTableField id="19" name="Column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571AC-355A-4D18-8BE0-7887E0C09D78}" name="Foglio1" displayName="Foglio1" ref="A1:S949" tableType="queryTable" totalsRowShown="0">
  <autoFilter ref="A1:S949" xr:uid="{E07571AC-355A-4D18-8BE0-7887E0C09D78}"/>
  <tableColumns count="19">
    <tableColumn id="1" xr3:uid="{1657B310-D6AA-48D6-9B77-25B2FA2E8140}" uniqueName="1" name="Project ° " queryTableFieldId="1"/>
    <tableColumn id="2" xr3:uid="{A36FA206-A0AC-4501-919E-8CD0E6B4C577}" uniqueName="2" name="INTERNAL ORDER CONF NR" queryTableFieldId="2"/>
    <tableColumn id="3" xr3:uid="{89FCA80A-B35F-4EC7-B52A-65EA9F83A7BB}" uniqueName="3" name="Link to PE folder" queryTableFieldId="23"/>
    <tableColumn id="4" xr3:uid="{1D725847-CBCA-4FB9-AEA4-204392913FD3}" uniqueName="4" name="CUSTOMER" queryTableFieldId="4"/>
    <tableColumn id="5" xr3:uid="{5759406A-2884-4AA1-9145-F8658C85DB86}" uniqueName="5" name="FINAL CUSTOMER" queryTableFieldId="5"/>
    <tableColumn id="6" xr3:uid="{94D05DA5-BD4B-40AA-A825-EDC8D83CB67A}" uniqueName="6" name="PLANT" queryTableFieldId="6"/>
    <tableColumn id="7" xr3:uid="{AA600961-DAB8-4F82-993C-9177075BDD05}" uniqueName="7" name="DESCRIPTION" queryTableFieldId="7"/>
    <tableColumn id="8" xr3:uid="{563D8152-1E6D-47DB-83C2-B9647AEDE065}" uniqueName="8" name="Location" queryTableFieldId="8"/>
    <tableColumn id="9" xr3:uid="{3FEB550E-4950-4162-ABBC-9B2501B5ABF4}" uniqueName="9" name="Vendor" queryTableFieldId="9"/>
    <tableColumn id="10" xr3:uid="{437CC62D-8B0C-4DB2-805F-81DC70F7496A}" uniqueName="10" name="YEAR" queryTableFieldId="10"/>
    <tableColumn id="11" xr3:uid="{A993DF5D-84E2-4B3C-A7E5-7C3A54DB1278}" uniqueName="11" name="Project Engineer" queryTableFieldId="11"/>
    <tableColumn id="12" xr3:uid="{6C300CA6-2460-49D0-85C1-C3A57CAB2A98}" uniqueName="12" name="DELIVERY" queryTableFieldId="12"/>
    <tableColumn id="13" xr3:uid="{C7F03B1D-034F-4C54-A1C8-A8A2DCF7AD7E}" uniqueName="13" name="REMARKS" queryTableFieldId="13"/>
    <tableColumn id="14" xr3:uid="{8D1EA61A-A34D-4785-9096-59D4941162C2}" uniqueName="14" name="MOTOR &amp; SENSOR LIST DELIVERED TO PURCHASE DEPT._x000a_AND TO CUSTOMER" queryTableFieldId="14"/>
    <tableColumn id="15" xr3:uid="{B63ADE73-DDB5-4D2B-AB10-B2379F8C93F8}" uniqueName="15" name="PROJECT STATUS" queryTableFieldId="15"/>
    <tableColumn id="16" xr3:uid="{2C0E067B-CE5B-4434-A90D-35EB1F18DE21}" uniqueName="16" name="FOLDER NAME" queryTableFieldId="16"/>
    <tableColumn id="17" xr3:uid="{F846154C-7682-4625-8DEF-7B732DD2A752}" uniqueName="17" name="Column17" queryTableFieldId="17"/>
    <tableColumn id="18" xr3:uid="{E57E6756-D3C8-496A-856D-9AD438F0EACC}" uniqueName="18" name="Column18" queryTableFieldId="18"/>
    <tableColumn id="19" xr3:uid="{4416AB1A-BC85-4662-9CB3-37814CC9D0A7}" uniqueName="19" name="Column19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CD3E-4B6B-40E0-9A90-A7C696F66B5E}">
  <dimension ref="A1:S949"/>
  <sheetViews>
    <sheetView workbookViewId="0"/>
  </sheetViews>
  <sheetFormatPr defaultRowHeight="11.25" x14ac:dyDescent="0.2"/>
  <cols>
    <col min="1" max="1" width="18.5" bestFit="1" customWidth="1"/>
    <col min="2" max="2" width="77.1640625" bestFit="1" customWidth="1"/>
    <col min="3" max="3" width="19" bestFit="1" customWidth="1"/>
    <col min="4" max="4" width="32.6640625" bestFit="1" customWidth="1"/>
    <col min="5" max="6" width="35.33203125" bestFit="1" customWidth="1"/>
    <col min="7" max="7" width="49.83203125" bestFit="1" customWidth="1"/>
    <col min="8" max="8" width="21.83203125" bestFit="1" customWidth="1"/>
    <col min="9" max="9" width="10.6640625" bestFit="1" customWidth="1"/>
    <col min="10" max="10" width="8.5" bestFit="1" customWidth="1"/>
    <col min="11" max="11" width="19.1640625" bestFit="1" customWidth="1"/>
    <col min="12" max="12" width="21.1640625" bestFit="1" customWidth="1"/>
    <col min="13" max="13" width="55.1640625" bestFit="1" customWidth="1"/>
    <col min="14" max="14" width="73.6640625" bestFit="1" customWidth="1"/>
    <col min="15" max="15" width="67.1640625" bestFit="1" customWidth="1"/>
    <col min="16" max="16" width="81.33203125" bestFit="1" customWidth="1"/>
    <col min="17" max="18" width="41.6640625" bestFit="1" customWidth="1"/>
    <col min="19" max="19" width="41.6640625" customWidth="1"/>
    <col min="20" max="20" width="41.6640625" bestFit="1" customWidth="1"/>
    <col min="21" max="21" width="13" bestFit="1" customWidth="1"/>
    <col min="22" max="22" width="41.1640625" bestFit="1" customWidth="1"/>
  </cols>
  <sheetData>
    <row r="1" spans="1:19" x14ac:dyDescent="0.2">
      <c r="A1" t="s">
        <v>44</v>
      </c>
      <c r="B1" t="s">
        <v>45</v>
      </c>
      <c r="C1" t="s">
        <v>3394</v>
      </c>
      <c r="D1" t="s">
        <v>46</v>
      </c>
      <c r="E1" t="s">
        <v>47</v>
      </c>
      <c r="F1" t="s">
        <v>48</v>
      </c>
      <c r="G1" t="s">
        <v>25</v>
      </c>
      <c r="H1" t="s">
        <v>18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2902</v>
      </c>
      <c r="R1" t="s">
        <v>2903</v>
      </c>
      <c r="S1" t="s">
        <v>2904</v>
      </c>
    </row>
    <row r="2" spans="1:19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H2" t="s">
        <v>63</v>
      </c>
      <c r="J2">
        <v>2016</v>
      </c>
      <c r="K2" t="s">
        <v>64</v>
      </c>
      <c r="L2">
        <v>42845</v>
      </c>
      <c r="N2" t="s">
        <v>65</v>
      </c>
      <c r="O2" t="s">
        <v>66</v>
      </c>
      <c r="P2" t="s">
        <v>67</v>
      </c>
    </row>
    <row r="3" spans="1:19" x14ac:dyDescent="0.2">
      <c r="A3" t="s">
        <v>57</v>
      </c>
      <c r="B3" t="s">
        <v>68</v>
      </c>
      <c r="C3" t="s">
        <v>59</v>
      </c>
      <c r="D3" t="s">
        <v>60</v>
      </c>
      <c r="E3" t="s">
        <v>61</v>
      </c>
      <c r="F3" t="s">
        <v>62</v>
      </c>
      <c r="H3" t="s">
        <v>63</v>
      </c>
      <c r="J3">
        <v>2016</v>
      </c>
      <c r="K3" t="s">
        <v>64</v>
      </c>
      <c r="L3">
        <v>42870</v>
      </c>
      <c r="N3" t="s">
        <v>65</v>
      </c>
      <c r="O3" t="s">
        <v>66</v>
      </c>
      <c r="P3" t="s">
        <v>67</v>
      </c>
    </row>
    <row r="4" spans="1:19" x14ac:dyDescent="0.2">
      <c r="A4" t="s">
        <v>57</v>
      </c>
      <c r="B4" t="s">
        <v>69</v>
      </c>
      <c r="C4" t="s">
        <v>59</v>
      </c>
      <c r="D4" t="s">
        <v>60</v>
      </c>
      <c r="E4" t="s">
        <v>61</v>
      </c>
      <c r="F4" t="s">
        <v>62</v>
      </c>
      <c r="H4" t="s">
        <v>63</v>
      </c>
      <c r="J4">
        <v>2016</v>
      </c>
      <c r="K4" t="s">
        <v>64</v>
      </c>
      <c r="L4">
        <v>42916</v>
      </c>
      <c r="N4" t="s">
        <v>65</v>
      </c>
      <c r="O4" t="s">
        <v>66</v>
      </c>
      <c r="P4" t="s">
        <v>67</v>
      </c>
    </row>
    <row r="5" spans="1:19" x14ac:dyDescent="0.2">
      <c r="A5" t="s">
        <v>57</v>
      </c>
      <c r="B5" t="s">
        <v>70</v>
      </c>
      <c r="C5" t="s">
        <v>59</v>
      </c>
      <c r="D5" t="s">
        <v>60</v>
      </c>
      <c r="E5" t="s">
        <v>61</v>
      </c>
      <c r="F5" t="s">
        <v>62</v>
      </c>
      <c r="H5" t="s">
        <v>63</v>
      </c>
      <c r="J5">
        <v>2016</v>
      </c>
      <c r="K5" t="s">
        <v>64</v>
      </c>
      <c r="L5">
        <v>42958</v>
      </c>
      <c r="N5" t="s">
        <v>71</v>
      </c>
      <c r="O5" t="s">
        <v>66</v>
      </c>
      <c r="P5" t="s">
        <v>67</v>
      </c>
    </row>
    <row r="6" spans="1:19" x14ac:dyDescent="0.2">
      <c r="A6" t="s">
        <v>57</v>
      </c>
      <c r="B6" t="s">
        <v>72</v>
      </c>
      <c r="C6" t="s">
        <v>59</v>
      </c>
      <c r="D6" t="s">
        <v>60</v>
      </c>
      <c r="E6" t="s">
        <v>61</v>
      </c>
      <c r="F6" t="s">
        <v>62</v>
      </c>
      <c r="H6" t="s">
        <v>63</v>
      </c>
      <c r="J6">
        <v>2016</v>
      </c>
      <c r="K6" t="s">
        <v>64</v>
      </c>
      <c r="L6">
        <v>42968</v>
      </c>
      <c r="N6" t="s">
        <v>65</v>
      </c>
      <c r="O6" t="s">
        <v>66</v>
      </c>
      <c r="P6" t="s">
        <v>67</v>
      </c>
    </row>
    <row r="7" spans="1:19" x14ac:dyDescent="0.2">
      <c r="A7" t="s">
        <v>73</v>
      </c>
      <c r="B7" t="s">
        <v>74</v>
      </c>
      <c r="C7" t="s">
        <v>59</v>
      </c>
      <c r="D7" t="s">
        <v>75</v>
      </c>
      <c r="F7" t="s">
        <v>76</v>
      </c>
      <c r="H7" t="s">
        <v>77</v>
      </c>
      <c r="J7">
        <v>2016</v>
      </c>
      <c r="N7" t="s">
        <v>78</v>
      </c>
      <c r="O7" t="s">
        <v>66</v>
      </c>
      <c r="P7" t="s">
        <v>79</v>
      </c>
    </row>
    <row r="8" spans="1:19" x14ac:dyDescent="0.2">
      <c r="A8" t="s">
        <v>80</v>
      </c>
      <c r="B8" t="s">
        <v>81</v>
      </c>
      <c r="C8" t="s">
        <v>59</v>
      </c>
      <c r="D8" t="s">
        <v>82</v>
      </c>
      <c r="F8" t="s">
        <v>83</v>
      </c>
      <c r="H8" t="s">
        <v>84</v>
      </c>
      <c r="J8">
        <v>2016</v>
      </c>
      <c r="N8" t="s">
        <v>78</v>
      </c>
      <c r="O8" t="s">
        <v>66</v>
      </c>
      <c r="P8" t="s">
        <v>85</v>
      </c>
    </row>
    <row r="9" spans="1:19" x14ac:dyDescent="0.2">
      <c r="A9" t="s">
        <v>86</v>
      </c>
      <c r="B9" t="s">
        <v>87</v>
      </c>
      <c r="C9" t="s">
        <v>59</v>
      </c>
      <c r="D9" t="s">
        <v>82</v>
      </c>
      <c r="F9" t="s">
        <v>88</v>
      </c>
      <c r="H9" t="s">
        <v>89</v>
      </c>
      <c r="J9">
        <v>2016</v>
      </c>
      <c r="N9" t="s">
        <v>78</v>
      </c>
      <c r="O9" t="s">
        <v>66</v>
      </c>
      <c r="P9" t="s">
        <v>90</v>
      </c>
    </row>
    <row r="10" spans="1:19" x14ac:dyDescent="0.2">
      <c r="A10" t="s">
        <v>91</v>
      </c>
      <c r="B10" t="s">
        <v>92</v>
      </c>
      <c r="C10" t="s">
        <v>59</v>
      </c>
      <c r="D10" t="s">
        <v>88</v>
      </c>
      <c r="E10" t="s">
        <v>88</v>
      </c>
      <c r="F10" t="s">
        <v>93</v>
      </c>
      <c r="H10" t="s">
        <v>89</v>
      </c>
      <c r="J10">
        <v>2016</v>
      </c>
      <c r="N10" t="s">
        <v>78</v>
      </c>
      <c r="O10" t="s">
        <v>66</v>
      </c>
      <c r="P10" t="s">
        <v>94</v>
      </c>
    </row>
    <row r="11" spans="1:19" x14ac:dyDescent="0.2">
      <c r="A11" t="s">
        <v>95</v>
      </c>
      <c r="B11" t="s">
        <v>96</v>
      </c>
      <c r="C11" t="s">
        <v>59</v>
      </c>
      <c r="D11" t="s">
        <v>97</v>
      </c>
      <c r="F11" t="s">
        <v>98</v>
      </c>
      <c r="H11" t="s">
        <v>84</v>
      </c>
      <c r="J11">
        <v>2016</v>
      </c>
      <c r="N11" t="s">
        <v>78</v>
      </c>
      <c r="O11" t="s">
        <v>66</v>
      </c>
      <c r="P11" t="s">
        <v>99</v>
      </c>
    </row>
    <row r="12" spans="1:19" x14ac:dyDescent="0.2">
      <c r="A12" t="s">
        <v>100</v>
      </c>
      <c r="B12" t="s">
        <v>101</v>
      </c>
      <c r="C12" t="s">
        <v>59</v>
      </c>
      <c r="D12" t="s">
        <v>102</v>
      </c>
      <c r="E12" t="s">
        <v>97</v>
      </c>
      <c r="F12" t="s">
        <v>103</v>
      </c>
      <c r="H12" t="s">
        <v>84</v>
      </c>
      <c r="J12">
        <v>2016</v>
      </c>
      <c r="N12" t="s">
        <v>78</v>
      </c>
      <c r="O12" t="s">
        <v>66</v>
      </c>
      <c r="P12" t="s">
        <v>104</v>
      </c>
    </row>
    <row r="13" spans="1:19" x14ac:dyDescent="0.2">
      <c r="A13" t="s">
        <v>105</v>
      </c>
      <c r="B13" t="s">
        <v>106</v>
      </c>
      <c r="C13" t="s">
        <v>59</v>
      </c>
      <c r="D13" t="s">
        <v>107</v>
      </c>
      <c r="F13" t="s">
        <v>108</v>
      </c>
      <c r="G13" t="s">
        <v>109</v>
      </c>
      <c r="H13" t="s">
        <v>110</v>
      </c>
      <c r="J13">
        <v>2016</v>
      </c>
      <c r="N13" t="s">
        <v>78</v>
      </c>
      <c r="O13" t="s">
        <v>66</v>
      </c>
      <c r="P13" t="s">
        <v>111</v>
      </c>
    </row>
    <row r="14" spans="1:19" x14ac:dyDescent="0.2">
      <c r="A14" t="s">
        <v>112</v>
      </c>
      <c r="B14" t="s">
        <v>113</v>
      </c>
      <c r="C14" t="s">
        <v>59</v>
      </c>
      <c r="D14" t="s">
        <v>114</v>
      </c>
      <c r="E14" t="s">
        <v>115</v>
      </c>
      <c r="F14" t="s">
        <v>116</v>
      </c>
      <c r="H14" t="s">
        <v>117</v>
      </c>
      <c r="J14">
        <v>2016</v>
      </c>
      <c r="N14" t="s">
        <v>78</v>
      </c>
      <c r="O14" t="s">
        <v>66</v>
      </c>
      <c r="P14" t="s">
        <v>118</v>
      </c>
    </row>
    <row r="15" spans="1:19" x14ac:dyDescent="0.2">
      <c r="A15" t="s">
        <v>119</v>
      </c>
      <c r="B15" t="s">
        <v>120</v>
      </c>
      <c r="C15" t="s">
        <v>59</v>
      </c>
      <c r="D15" t="s">
        <v>121</v>
      </c>
      <c r="E15" t="s">
        <v>115</v>
      </c>
      <c r="F15" t="s">
        <v>122</v>
      </c>
      <c r="H15" t="s">
        <v>117</v>
      </c>
      <c r="J15">
        <v>2016</v>
      </c>
      <c r="M15" t="s">
        <v>123</v>
      </c>
      <c r="N15" t="s">
        <v>78</v>
      </c>
      <c r="O15" t="s">
        <v>66</v>
      </c>
      <c r="P15" t="s">
        <v>124</v>
      </c>
    </row>
    <row r="16" spans="1:19" x14ac:dyDescent="0.2">
      <c r="A16" t="s">
        <v>125</v>
      </c>
      <c r="B16" t="s">
        <v>126</v>
      </c>
      <c r="C16" t="s">
        <v>59</v>
      </c>
      <c r="D16" t="s">
        <v>60</v>
      </c>
      <c r="E16" t="s">
        <v>127</v>
      </c>
      <c r="F16" t="s">
        <v>128</v>
      </c>
      <c r="H16" t="s">
        <v>129</v>
      </c>
      <c r="J16">
        <v>2016</v>
      </c>
      <c r="N16" t="s">
        <v>65</v>
      </c>
      <c r="O16" t="s">
        <v>66</v>
      </c>
      <c r="P16" t="s">
        <v>130</v>
      </c>
    </row>
    <row r="17" spans="1:16" x14ac:dyDescent="0.2">
      <c r="A17" t="s">
        <v>131</v>
      </c>
      <c r="B17" t="s">
        <v>132</v>
      </c>
      <c r="C17" t="s">
        <v>59</v>
      </c>
      <c r="D17" t="s">
        <v>115</v>
      </c>
      <c r="F17" t="s">
        <v>133</v>
      </c>
      <c r="H17" t="s">
        <v>134</v>
      </c>
      <c r="J17">
        <v>2016</v>
      </c>
      <c r="N17" t="s">
        <v>78</v>
      </c>
      <c r="O17" t="s">
        <v>66</v>
      </c>
      <c r="P17" t="s">
        <v>135</v>
      </c>
    </row>
    <row r="18" spans="1:16" x14ac:dyDescent="0.2">
      <c r="A18" t="s">
        <v>136</v>
      </c>
      <c r="B18" t="s">
        <v>137</v>
      </c>
      <c r="C18" t="s">
        <v>59</v>
      </c>
      <c r="D18" t="s">
        <v>82</v>
      </c>
      <c r="F18" t="s">
        <v>138</v>
      </c>
      <c r="G18" t="s">
        <v>139</v>
      </c>
      <c r="H18" t="s">
        <v>84</v>
      </c>
      <c r="J18">
        <v>2016</v>
      </c>
      <c r="N18" t="s">
        <v>78</v>
      </c>
      <c r="O18" t="s">
        <v>66</v>
      </c>
      <c r="P18" t="s">
        <v>140</v>
      </c>
    </row>
    <row r="19" spans="1:16" x14ac:dyDescent="0.2">
      <c r="A19" t="s">
        <v>141</v>
      </c>
      <c r="B19" t="s">
        <v>142</v>
      </c>
      <c r="C19" t="s">
        <v>59</v>
      </c>
      <c r="D19" t="s">
        <v>143</v>
      </c>
      <c r="F19" t="s">
        <v>144</v>
      </c>
      <c r="G19" t="s">
        <v>139</v>
      </c>
      <c r="H19" t="s">
        <v>77</v>
      </c>
      <c r="J19">
        <v>2016</v>
      </c>
      <c r="N19" t="s">
        <v>78</v>
      </c>
      <c r="O19" t="s">
        <v>66</v>
      </c>
      <c r="P19" t="s">
        <v>145</v>
      </c>
    </row>
    <row r="20" spans="1:16" x14ac:dyDescent="0.2">
      <c r="A20" t="s">
        <v>146</v>
      </c>
      <c r="B20" t="s">
        <v>147</v>
      </c>
      <c r="C20" t="s">
        <v>59</v>
      </c>
      <c r="D20" t="s">
        <v>60</v>
      </c>
      <c r="E20" t="s">
        <v>115</v>
      </c>
      <c r="F20" t="s">
        <v>148</v>
      </c>
      <c r="H20" t="s">
        <v>149</v>
      </c>
      <c r="J20">
        <v>2016</v>
      </c>
      <c r="M20" t="s">
        <v>150</v>
      </c>
      <c r="N20" t="s">
        <v>78</v>
      </c>
      <c r="O20" t="s">
        <v>66</v>
      </c>
      <c r="P20" t="s">
        <v>151</v>
      </c>
    </row>
    <row r="21" spans="1:16" x14ac:dyDescent="0.2">
      <c r="A21" t="s">
        <v>152</v>
      </c>
      <c r="B21" t="s">
        <v>153</v>
      </c>
      <c r="C21" t="s">
        <v>59</v>
      </c>
      <c r="D21" t="s">
        <v>154</v>
      </c>
      <c r="E21" t="s">
        <v>155</v>
      </c>
      <c r="F21" t="s">
        <v>156</v>
      </c>
      <c r="H21" t="s">
        <v>157</v>
      </c>
      <c r="J21">
        <v>2016</v>
      </c>
      <c r="K21" t="s">
        <v>158</v>
      </c>
      <c r="N21" t="s">
        <v>78</v>
      </c>
      <c r="O21" t="s">
        <v>66</v>
      </c>
      <c r="P21" t="s">
        <v>159</v>
      </c>
    </row>
    <row r="22" spans="1:16" x14ac:dyDescent="0.2">
      <c r="A22" t="s">
        <v>160</v>
      </c>
      <c r="C22" t="s">
        <v>59</v>
      </c>
      <c r="D22" t="s">
        <v>154</v>
      </c>
      <c r="E22" t="s">
        <v>60</v>
      </c>
      <c r="F22" t="s">
        <v>161</v>
      </c>
      <c r="H22" t="s">
        <v>162</v>
      </c>
      <c r="J22">
        <v>2016</v>
      </c>
      <c r="M22" t="s">
        <v>163</v>
      </c>
      <c r="N22" t="s">
        <v>78</v>
      </c>
      <c r="O22" t="s">
        <v>66</v>
      </c>
      <c r="P22" t="s">
        <v>164</v>
      </c>
    </row>
    <row r="23" spans="1:16" x14ac:dyDescent="0.2">
      <c r="A23" t="s">
        <v>165</v>
      </c>
      <c r="B23" t="s">
        <v>166</v>
      </c>
      <c r="C23" t="s">
        <v>59</v>
      </c>
      <c r="D23" t="s">
        <v>167</v>
      </c>
      <c r="E23" t="s">
        <v>155</v>
      </c>
      <c r="F23" t="s">
        <v>93</v>
      </c>
      <c r="G23" t="s">
        <v>168</v>
      </c>
      <c r="H23" t="s">
        <v>157</v>
      </c>
      <c r="J23">
        <v>2016</v>
      </c>
      <c r="L23">
        <v>42689</v>
      </c>
      <c r="N23" t="s">
        <v>78</v>
      </c>
      <c r="O23" t="s">
        <v>66</v>
      </c>
      <c r="P23" t="s">
        <v>169</v>
      </c>
    </row>
    <row r="24" spans="1:16" x14ac:dyDescent="0.2">
      <c r="A24" t="s">
        <v>170</v>
      </c>
      <c r="B24" t="s">
        <v>171</v>
      </c>
      <c r="C24" t="s">
        <v>59</v>
      </c>
      <c r="D24" t="s">
        <v>155</v>
      </c>
      <c r="F24" t="s">
        <v>93</v>
      </c>
      <c r="H24" t="s">
        <v>157</v>
      </c>
      <c r="J24">
        <v>2016</v>
      </c>
      <c r="K24" t="s">
        <v>158</v>
      </c>
      <c r="L24">
        <v>42853</v>
      </c>
      <c r="N24" t="s">
        <v>65</v>
      </c>
      <c r="O24" t="s">
        <v>66</v>
      </c>
      <c r="P24" t="s">
        <v>172</v>
      </c>
    </row>
    <row r="25" spans="1:16" x14ac:dyDescent="0.2">
      <c r="A25" t="s">
        <v>170</v>
      </c>
      <c r="B25" t="s">
        <v>173</v>
      </c>
      <c r="C25" t="s">
        <v>59</v>
      </c>
      <c r="D25" t="s">
        <v>155</v>
      </c>
      <c r="F25" t="s">
        <v>93</v>
      </c>
      <c r="H25" t="s">
        <v>157</v>
      </c>
      <c r="J25">
        <v>2016</v>
      </c>
      <c r="K25" t="s">
        <v>158</v>
      </c>
      <c r="L25">
        <v>43018</v>
      </c>
      <c r="N25" t="s">
        <v>65</v>
      </c>
      <c r="O25" t="s">
        <v>66</v>
      </c>
      <c r="P25" t="s">
        <v>172</v>
      </c>
    </row>
    <row r="26" spans="1:16" x14ac:dyDescent="0.2">
      <c r="A26" t="s">
        <v>170</v>
      </c>
      <c r="B26" t="s">
        <v>174</v>
      </c>
      <c r="C26" t="s">
        <v>59</v>
      </c>
      <c r="D26" t="s">
        <v>155</v>
      </c>
      <c r="F26" t="s">
        <v>93</v>
      </c>
      <c r="H26" t="s">
        <v>157</v>
      </c>
      <c r="J26">
        <v>2016</v>
      </c>
      <c r="K26" t="s">
        <v>158</v>
      </c>
      <c r="L26">
        <v>43089</v>
      </c>
      <c r="N26" t="s">
        <v>71</v>
      </c>
      <c r="O26" t="s">
        <v>66</v>
      </c>
      <c r="P26" t="s">
        <v>172</v>
      </c>
    </row>
    <row r="27" spans="1:16" x14ac:dyDescent="0.2">
      <c r="A27" t="s">
        <v>175</v>
      </c>
      <c r="B27" t="s">
        <v>176</v>
      </c>
      <c r="C27" t="s">
        <v>59</v>
      </c>
      <c r="D27" t="s">
        <v>177</v>
      </c>
      <c r="E27" t="s">
        <v>177</v>
      </c>
      <c r="F27" t="s">
        <v>178</v>
      </c>
      <c r="H27" t="s">
        <v>162</v>
      </c>
      <c r="J27">
        <v>2016</v>
      </c>
      <c r="K27" t="s">
        <v>64</v>
      </c>
      <c r="L27" t="s">
        <v>179</v>
      </c>
      <c r="M27" t="s">
        <v>180</v>
      </c>
      <c r="N27" t="s">
        <v>65</v>
      </c>
      <c r="O27" t="s">
        <v>66</v>
      </c>
      <c r="P27" t="s">
        <v>181</v>
      </c>
    </row>
    <row r="28" spans="1:16" x14ac:dyDescent="0.2">
      <c r="A28" t="s">
        <v>182</v>
      </c>
      <c r="B28" t="s">
        <v>183</v>
      </c>
      <c r="C28" t="s">
        <v>59</v>
      </c>
      <c r="D28" t="s">
        <v>60</v>
      </c>
      <c r="E28" t="s">
        <v>184</v>
      </c>
      <c r="F28" t="s">
        <v>185</v>
      </c>
      <c r="H28" t="s">
        <v>186</v>
      </c>
      <c r="J28">
        <v>2016</v>
      </c>
      <c r="K28" t="s">
        <v>64</v>
      </c>
      <c r="N28" t="s">
        <v>65</v>
      </c>
      <c r="O28" t="s">
        <v>66</v>
      </c>
      <c r="P28" t="s">
        <v>187</v>
      </c>
    </row>
    <row r="29" spans="1:16" x14ac:dyDescent="0.2">
      <c r="A29" t="s">
        <v>188</v>
      </c>
      <c r="B29" t="s">
        <v>183</v>
      </c>
      <c r="C29" t="s">
        <v>59</v>
      </c>
      <c r="D29" t="s">
        <v>60</v>
      </c>
      <c r="E29" t="s">
        <v>184</v>
      </c>
      <c r="F29" t="s">
        <v>185</v>
      </c>
      <c r="G29" t="s">
        <v>189</v>
      </c>
      <c r="H29" t="s">
        <v>186</v>
      </c>
      <c r="J29">
        <v>2016</v>
      </c>
      <c r="K29" t="s">
        <v>64</v>
      </c>
      <c r="N29" t="s">
        <v>65</v>
      </c>
      <c r="O29" t="s">
        <v>66</v>
      </c>
      <c r="P29" t="s">
        <v>190</v>
      </c>
    </row>
    <row r="30" spans="1:16" x14ac:dyDescent="0.2">
      <c r="A30" t="s">
        <v>191</v>
      </c>
      <c r="C30" t="s">
        <v>59</v>
      </c>
      <c r="D30" t="s">
        <v>121</v>
      </c>
      <c r="E30" t="s">
        <v>115</v>
      </c>
      <c r="F30" t="s">
        <v>192</v>
      </c>
      <c r="H30" t="s">
        <v>193</v>
      </c>
      <c r="J30">
        <v>2016</v>
      </c>
      <c r="O30" t="s">
        <v>194</v>
      </c>
      <c r="P30" t="s">
        <v>195</v>
      </c>
    </row>
    <row r="31" spans="1:16" x14ac:dyDescent="0.2">
      <c r="A31" t="s">
        <v>196</v>
      </c>
      <c r="C31" t="s">
        <v>59</v>
      </c>
      <c r="D31" t="s">
        <v>115</v>
      </c>
      <c r="E31" t="s">
        <v>115</v>
      </c>
      <c r="F31" t="s">
        <v>197</v>
      </c>
      <c r="H31" t="s">
        <v>198</v>
      </c>
      <c r="J31">
        <v>2016</v>
      </c>
      <c r="O31" t="s">
        <v>194</v>
      </c>
      <c r="P31" t="s">
        <v>199</v>
      </c>
    </row>
    <row r="32" spans="1:16" x14ac:dyDescent="0.2">
      <c r="A32" t="s">
        <v>200</v>
      </c>
      <c r="B32" t="s">
        <v>201</v>
      </c>
      <c r="C32" t="s">
        <v>59</v>
      </c>
      <c r="D32" t="s">
        <v>82</v>
      </c>
      <c r="E32" t="s">
        <v>184</v>
      </c>
      <c r="F32" t="s">
        <v>185</v>
      </c>
      <c r="H32" t="s">
        <v>186</v>
      </c>
      <c r="J32">
        <v>2016</v>
      </c>
      <c r="K32" t="s">
        <v>202</v>
      </c>
      <c r="L32" t="s">
        <v>203</v>
      </c>
      <c r="M32" t="s">
        <v>204</v>
      </c>
      <c r="N32" t="s">
        <v>65</v>
      </c>
      <c r="O32" t="s">
        <v>66</v>
      </c>
      <c r="P32" t="s">
        <v>205</v>
      </c>
    </row>
    <row r="33" spans="1:16" x14ac:dyDescent="0.2">
      <c r="A33" t="s">
        <v>206</v>
      </c>
      <c r="B33" t="s">
        <v>207</v>
      </c>
      <c r="C33" t="s">
        <v>59</v>
      </c>
      <c r="D33" t="s">
        <v>82</v>
      </c>
      <c r="E33" t="s">
        <v>115</v>
      </c>
      <c r="F33" t="s">
        <v>208</v>
      </c>
      <c r="H33" t="s">
        <v>209</v>
      </c>
      <c r="J33">
        <v>2016</v>
      </c>
      <c r="K33" t="s">
        <v>210</v>
      </c>
      <c r="L33">
        <v>43136</v>
      </c>
      <c r="N33" t="s">
        <v>65</v>
      </c>
      <c r="O33" t="s">
        <v>66</v>
      </c>
      <c r="P33" t="s">
        <v>211</v>
      </c>
    </row>
    <row r="34" spans="1:16" x14ac:dyDescent="0.2">
      <c r="A34" t="s">
        <v>212</v>
      </c>
      <c r="C34" t="s">
        <v>59</v>
      </c>
      <c r="D34" t="s">
        <v>82</v>
      </c>
      <c r="E34" t="s">
        <v>88</v>
      </c>
      <c r="F34" t="s">
        <v>213</v>
      </c>
      <c r="H34" t="s">
        <v>89</v>
      </c>
      <c r="J34">
        <v>2016</v>
      </c>
      <c r="O34" t="s">
        <v>194</v>
      </c>
      <c r="P34" t="s">
        <v>214</v>
      </c>
    </row>
    <row r="35" spans="1:16" x14ac:dyDescent="0.2">
      <c r="A35" t="s">
        <v>215</v>
      </c>
      <c r="B35" t="s">
        <v>216</v>
      </c>
      <c r="C35" t="s">
        <v>59</v>
      </c>
      <c r="D35" t="s">
        <v>75</v>
      </c>
      <c r="F35" t="s">
        <v>75</v>
      </c>
      <c r="H35" t="s">
        <v>77</v>
      </c>
      <c r="J35">
        <v>2016</v>
      </c>
      <c r="L35">
        <v>42724</v>
      </c>
      <c r="N35" t="s">
        <v>65</v>
      </c>
      <c r="O35" t="s">
        <v>66</v>
      </c>
      <c r="P35" t="s">
        <v>217</v>
      </c>
    </row>
    <row r="36" spans="1:16" x14ac:dyDescent="0.2">
      <c r="A36" t="s">
        <v>218</v>
      </c>
      <c r="B36" t="s">
        <v>219</v>
      </c>
      <c r="C36" t="s">
        <v>59</v>
      </c>
      <c r="D36" t="s">
        <v>115</v>
      </c>
      <c r="F36" t="s">
        <v>220</v>
      </c>
      <c r="H36" t="s">
        <v>117</v>
      </c>
      <c r="J36">
        <v>2016</v>
      </c>
      <c r="K36" t="s">
        <v>221</v>
      </c>
      <c r="L36">
        <v>42720</v>
      </c>
      <c r="N36" t="s">
        <v>65</v>
      </c>
      <c r="O36" t="s">
        <v>66</v>
      </c>
      <c r="P36" t="s">
        <v>222</v>
      </c>
    </row>
    <row r="37" spans="1:16" x14ac:dyDescent="0.2">
      <c r="A37" t="s">
        <v>223</v>
      </c>
      <c r="B37" t="s">
        <v>224</v>
      </c>
      <c r="C37" t="s">
        <v>59</v>
      </c>
      <c r="D37" t="s">
        <v>60</v>
      </c>
      <c r="F37" t="s">
        <v>225</v>
      </c>
      <c r="H37" t="s">
        <v>226</v>
      </c>
      <c r="J37">
        <v>2016</v>
      </c>
      <c r="L37">
        <v>42870</v>
      </c>
      <c r="N37" t="s">
        <v>65</v>
      </c>
      <c r="O37" t="s">
        <v>66</v>
      </c>
      <c r="P37" t="s">
        <v>227</v>
      </c>
    </row>
    <row r="38" spans="1:16" x14ac:dyDescent="0.2">
      <c r="A38" t="s">
        <v>228</v>
      </c>
      <c r="B38" t="s">
        <v>229</v>
      </c>
      <c r="C38" t="s">
        <v>59</v>
      </c>
      <c r="D38" t="s">
        <v>177</v>
      </c>
      <c r="E38" t="s">
        <v>177</v>
      </c>
      <c r="F38" t="s">
        <v>230</v>
      </c>
      <c r="H38" t="s">
        <v>162</v>
      </c>
      <c r="J38">
        <v>2016</v>
      </c>
      <c r="K38" t="s">
        <v>64</v>
      </c>
      <c r="N38" t="s">
        <v>65</v>
      </c>
      <c r="O38" t="s">
        <v>66</v>
      </c>
      <c r="P38" t="s">
        <v>231</v>
      </c>
    </row>
    <row r="39" spans="1:16" x14ac:dyDescent="0.2">
      <c r="A39" t="s">
        <v>232</v>
      </c>
      <c r="B39" t="s">
        <v>233</v>
      </c>
      <c r="C39" t="s">
        <v>59</v>
      </c>
      <c r="D39" t="s">
        <v>167</v>
      </c>
      <c r="E39" t="s">
        <v>155</v>
      </c>
      <c r="F39" t="s">
        <v>93</v>
      </c>
      <c r="G39" t="s">
        <v>234</v>
      </c>
      <c r="H39" t="s">
        <v>157</v>
      </c>
      <c r="J39">
        <v>2016</v>
      </c>
      <c r="K39" t="s">
        <v>158</v>
      </c>
      <c r="L39">
        <v>43084</v>
      </c>
      <c r="N39" t="s">
        <v>65</v>
      </c>
      <c r="O39" t="s">
        <v>66</v>
      </c>
      <c r="P39" t="s">
        <v>235</v>
      </c>
    </row>
    <row r="40" spans="1:16" x14ac:dyDescent="0.2">
      <c r="A40" t="s">
        <v>236</v>
      </c>
      <c r="B40" t="s">
        <v>237</v>
      </c>
      <c r="C40" t="s">
        <v>59</v>
      </c>
      <c r="D40" t="s">
        <v>238</v>
      </c>
      <c r="F40" t="s">
        <v>239</v>
      </c>
      <c r="H40" t="s">
        <v>77</v>
      </c>
      <c r="J40">
        <v>2016</v>
      </c>
      <c r="K40" t="s">
        <v>158</v>
      </c>
      <c r="L40">
        <v>42840</v>
      </c>
      <c r="N40" t="s">
        <v>65</v>
      </c>
      <c r="O40" t="s">
        <v>66</v>
      </c>
      <c r="P40" t="s">
        <v>240</v>
      </c>
    </row>
    <row r="41" spans="1:16" x14ac:dyDescent="0.2">
      <c r="A41" t="s">
        <v>236</v>
      </c>
      <c r="B41" t="s">
        <v>241</v>
      </c>
      <c r="C41" t="s">
        <v>59</v>
      </c>
      <c r="D41" t="s">
        <v>238</v>
      </c>
      <c r="F41" t="s">
        <v>239</v>
      </c>
      <c r="G41" t="s">
        <v>242</v>
      </c>
      <c r="H41" t="s">
        <v>77</v>
      </c>
      <c r="J41">
        <v>2018</v>
      </c>
      <c r="K41" t="s">
        <v>221</v>
      </c>
      <c r="L41">
        <v>43266</v>
      </c>
      <c r="M41" t="s">
        <v>243</v>
      </c>
      <c r="N41" t="s">
        <v>71</v>
      </c>
      <c r="O41" t="s">
        <v>66</v>
      </c>
    </row>
    <row r="42" spans="1:16" x14ac:dyDescent="0.2">
      <c r="A42" t="s">
        <v>244</v>
      </c>
      <c r="B42" t="s">
        <v>245</v>
      </c>
      <c r="C42" t="s">
        <v>59</v>
      </c>
      <c r="D42" t="s">
        <v>60</v>
      </c>
      <c r="E42" t="s">
        <v>246</v>
      </c>
      <c r="F42" t="s">
        <v>247</v>
      </c>
      <c r="G42" t="s">
        <v>248</v>
      </c>
      <c r="J42">
        <v>2016</v>
      </c>
      <c r="K42" t="s">
        <v>249</v>
      </c>
      <c r="L42">
        <v>42891</v>
      </c>
      <c r="N42" t="s">
        <v>65</v>
      </c>
      <c r="O42" t="s">
        <v>66</v>
      </c>
      <c r="P42" t="s">
        <v>250</v>
      </c>
    </row>
    <row r="43" spans="1:16" x14ac:dyDescent="0.2">
      <c r="A43" t="s">
        <v>251</v>
      </c>
      <c r="B43" t="s">
        <v>252</v>
      </c>
      <c r="C43" t="s">
        <v>59</v>
      </c>
      <c r="D43" t="s">
        <v>253</v>
      </c>
      <c r="F43" t="s">
        <v>254</v>
      </c>
      <c r="H43" t="s">
        <v>255</v>
      </c>
      <c r="J43">
        <v>2016</v>
      </c>
      <c r="L43">
        <v>42809</v>
      </c>
      <c r="M43" t="s">
        <v>256</v>
      </c>
      <c r="N43" t="s">
        <v>65</v>
      </c>
      <c r="O43" t="s">
        <v>66</v>
      </c>
      <c r="P43" t="s">
        <v>257</v>
      </c>
    </row>
    <row r="44" spans="1:16" x14ac:dyDescent="0.2">
      <c r="A44" t="s">
        <v>258</v>
      </c>
      <c r="B44" t="s">
        <v>259</v>
      </c>
      <c r="C44" t="s">
        <v>59</v>
      </c>
      <c r="D44" t="s">
        <v>114</v>
      </c>
      <c r="F44" t="s">
        <v>260</v>
      </c>
      <c r="H44" t="s">
        <v>198</v>
      </c>
      <c r="J44">
        <v>2016</v>
      </c>
      <c r="K44" t="s">
        <v>202</v>
      </c>
      <c r="L44" t="s">
        <v>261</v>
      </c>
      <c r="N44" t="s">
        <v>65</v>
      </c>
      <c r="O44" t="s">
        <v>66</v>
      </c>
      <c r="P44" t="s">
        <v>262</v>
      </c>
    </row>
    <row r="45" spans="1:16" x14ac:dyDescent="0.2">
      <c r="A45" t="s">
        <v>263</v>
      </c>
      <c r="B45" t="s">
        <v>264</v>
      </c>
      <c r="C45" t="s">
        <v>59</v>
      </c>
      <c r="D45" t="s">
        <v>115</v>
      </c>
      <c r="F45" t="s">
        <v>265</v>
      </c>
      <c r="H45" t="s">
        <v>266</v>
      </c>
      <c r="J45">
        <v>2016</v>
      </c>
      <c r="L45">
        <v>42750</v>
      </c>
      <c r="N45" t="s">
        <v>65</v>
      </c>
      <c r="O45" t="s">
        <v>66</v>
      </c>
      <c r="P45" t="s">
        <v>267</v>
      </c>
    </row>
    <row r="46" spans="1:16" x14ac:dyDescent="0.2">
      <c r="A46" t="s">
        <v>268</v>
      </c>
      <c r="B46" t="s">
        <v>269</v>
      </c>
      <c r="C46" t="s">
        <v>59</v>
      </c>
      <c r="D46" t="s">
        <v>114</v>
      </c>
      <c r="E46" t="s">
        <v>270</v>
      </c>
      <c r="F46" t="s">
        <v>271</v>
      </c>
      <c r="H46" t="s">
        <v>272</v>
      </c>
      <c r="J46">
        <v>2017</v>
      </c>
      <c r="K46" t="s">
        <v>221</v>
      </c>
      <c r="L46">
        <v>42835</v>
      </c>
      <c r="N46" t="s">
        <v>65</v>
      </c>
      <c r="O46" t="s">
        <v>66</v>
      </c>
      <c r="P46" t="s">
        <v>273</v>
      </c>
    </row>
    <row r="47" spans="1:16" x14ac:dyDescent="0.2">
      <c r="A47" t="s">
        <v>274</v>
      </c>
      <c r="B47" t="s">
        <v>275</v>
      </c>
      <c r="C47" t="s">
        <v>59</v>
      </c>
      <c r="D47" t="s">
        <v>102</v>
      </c>
      <c r="F47" t="s">
        <v>276</v>
      </c>
      <c r="K47" t="s">
        <v>249</v>
      </c>
      <c r="L47">
        <v>42825</v>
      </c>
      <c r="N47" t="s">
        <v>65</v>
      </c>
      <c r="O47" t="s">
        <v>66</v>
      </c>
      <c r="P47" t="s">
        <v>277</v>
      </c>
    </row>
    <row r="48" spans="1:16" x14ac:dyDescent="0.2">
      <c r="A48" t="s">
        <v>278</v>
      </c>
      <c r="B48" t="s">
        <v>279</v>
      </c>
      <c r="C48" t="s">
        <v>59</v>
      </c>
      <c r="D48" t="s">
        <v>167</v>
      </c>
      <c r="F48" t="s">
        <v>280</v>
      </c>
      <c r="H48" t="s">
        <v>117</v>
      </c>
      <c r="K48" t="s">
        <v>221</v>
      </c>
      <c r="L48">
        <v>42926</v>
      </c>
      <c r="N48" t="s">
        <v>65</v>
      </c>
      <c r="O48" t="s">
        <v>66</v>
      </c>
      <c r="P48" t="s">
        <v>281</v>
      </c>
    </row>
    <row r="49" spans="1:16" x14ac:dyDescent="0.2">
      <c r="A49" t="s">
        <v>282</v>
      </c>
      <c r="B49" t="s">
        <v>283</v>
      </c>
      <c r="C49" t="s">
        <v>59</v>
      </c>
      <c r="D49" t="s">
        <v>284</v>
      </c>
      <c r="E49" t="s">
        <v>115</v>
      </c>
      <c r="F49" t="s">
        <v>285</v>
      </c>
      <c r="G49" t="s">
        <v>286</v>
      </c>
      <c r="H49" t="s">
        <v>117</v>
      </c>
      <c r="J49">
        <v>2017</v>
      </c>
      <c r="L49">
        <v>42846</v>
      </c>
      <c r="N49" t="s">
        <v>65</v>
      </c>
      <c r="O49" t="s">
        <v>66</v>
      </c>
      <c r="P49" t="s">
        <v>287</v>
      </c>
    </row>
    <row r="50" spans="1:16" x14ac:dyDescent="0.2">
      <c r="A50" t="s">
        <v>282</v>
      </c>
      <c r="B50" t="s">
        <v>288</v>
      </c>
      <c r="C50" t="s">
        <v>59</v>
      </c>
      <c r="D50" t="s">
        <v>284</v>
      </c>
      <c r="E50" t="s">
        <v>115</v>
      </c>
      <c r="F50" t="s">
        <v>285</v>
      </c>
      <c r="G50" t="s">
        <v>289</v>
      </c>
      <c r="H50" t="s">
        <v>117</v>
      </c>
      <c r="J50">
        <v>2017</v>
      </c>
      <c r="K50" t="s">
        <v>64</v>
      </c>
      <c r="L50">
        <v>42852</v>
      </c>
      <c r="N50" t="s">
        <v>65</v>
      </c>
      <c r="O50" t="s">
        <v>66</v>
      </c>
      <c r="P50" t="s">
        <v>287</v>
      </c>
    </row>
    <row r="51" spans="1:16" x14ac:dyDescent="0.2">
      <c r="A51" t="s">
        <v>282</v>
      </c>
      <c r="B51" t="s">
        <v>290</v>
      </c>
      <c r="C51" t="s">
        <v>59</v>
      </c>
      <c r="D51" t="s">
        <v>284</v>
      </c>
      <c r="E51" t="s">
        <v>115</v>
      </c>
      <c r="F51" t="s">
        <v>285</v>
      </c>
      <c r="G51" t="s">
        <v>291</v>
      </c>
      <c r="H51" t="s">
        <v>117</v>
      </c>
      <c r="J51">
        <v>2017</v>
      </c>
      <c r="L51">
        <v>42901</v>
      </c>
      <c r="N51" t="s">
        <v>65</v>
      </c>
      <c r="O51" t="s">
        <v>66</v>
      </c>
      <c r="P51" t="s">
        <v>287</v>
      </c>
    </row>
    <row r="52" spans="1:16" x14ac:dyDescent="0.2">
      <c r="A52" t="s">
        <v>282</v>
      </c>
      <c r="B52" t="s">
        <v>292</v>
      </c>
      <c r="C52" t="s">
        <v>59</v>
      </c>
      <c r="D52" t="s">
        <v>284</v>
      </c>
      <c r="E52" t="s">
        <v>115</v>
      </c>
      <c r="F52" t="s">
        <v>285</v>
      </c>
      <c r="G52" t="s">
        <v>293</v>
      </c>
      <c r="H52" t="s">
        <v>117</v>
      </c>
      <c r="J52">
        <v>2017</v>
      </c>
      <c r="L52">
        <v>42943</v>
      </c>
      <c r="N52" t="s">
        <v>65</v>
      </c>
      <c r="O52" t="s">
        <v>66</v>
      </c>
      <c r="P52" t="s">
        <v>287</v>
      </c>
    </row>
    <row r="53" spans="1:16" x14ac:dyDescent="0.2">
      <c r="A53" t="s">
        <v>282</v>
      </c>
      <c r="B53" t="s">
        <v>294</v>
      </c>
      <c r="C53" t="s">
        <v>59</v>
      </c>
      <c r="D53" t="s">
        <v>284</v>
      </c>
      <c r="E53" t="s">
        <v>115</v>
      </c>
      <c r="F53" t="s">
        <v>285</v>
      </c>
      <c r="G53" t="s">
        <v>139</v>
      </c>
      <c r="H53" t="s">
        <v>117</v>
      </c>
      <c r="J53">
        <v>2017</v>
      </c>
      <c r="K53" t="s">
        <v>64</v>
      </c>
      <c r="L53" t="s">
        <v>295</v>
      </c>
      <c r="N53" t="s">
        <v>65</v>
      </c>
      <c r="O53" t="s">
        <v>66</v>
      </c>
      <c r="P53" t="s">
        <v>287</v>
      </c>
    </row>
    <row r="54" spans="1:16" x14ac:dyDescent="0.2">
      <c r="A54" t="s">
        <v>282</v>
      </c>
      <c r="B54" t="s">
        <v>296</v>
      </c>
      <c r="C54" t="s">
        <v>59</v>
      </c>
      <c r="D54" t="s">
        <v>284</v>
      </c>
      <c r="E54" t="s">
        <v>115</v>
      </c>
      <c r="F54" t="s">
        <v>285</v>
      </c>
      <c r="G54" t="s">
        <v>139</v>
      </c>
      <c r="H54" t="s">
        <v>117</v>
      </c>
      <c r="J54">
        <v>2018</v>
      </c>
      <c r="K54" t="s">
        <v>297</v>
      </c>
      <c r="L54">
        <v>43214</v>
      </c>
      <c r="N54" t="s">
        <v>71</v>
      </c>
      <c r="O54" t="s">
        <v>66</v>
      </c>
      <c r="P54" t="s">
        <v>287</v>
      </c>
    </row>
    <row r="55" spans="1:16" x14ac:dyDescent="0.2">
      <c r="A55" t="s">
        <v>298</v>
      </c>
      <c r="B55" t="s">
        <v>299</v>
      </c>
      <c r="C55" t="s">
        <v>59</v>
      </c>
      <c r="D55" t="s">
        <v>300</v>
      </c>
      <c r="E55" t="s">
        <v>301</v>
      </c>
      <c r="F55" t="s">
        <v>302</v>
      </c>
      <c r="G55" t="s">
        <v>139</v>
      </c>
      <c r="H55" t="s">
        <v>117</v>
      </c>
      <c r="J55">
        <v>2017</v>
      </c>
      <c r="K55" t="s">
        <v>64</v>
      </c>
      <c r="L55">
        <v>42885</v>
      </c>
      <c r="N55" t="s">
        <v>65</v>
      </c>
      <c r="O55" t="s">
        <v>66</v>
      </c>
      <c r="P55" t="s">
        <v>303</v>
      </c>
    </row>
    <row r="56" spans="1:16" x14ac:dyDescent="0.2">
      <c r="A56" t="s">
        <v>304</v>
      </c>
      <c r="B56" t="s">
        <v>305</v>
      </c>
      <c r="C56" t="s">
        <v>59</v>
      </c>
      <c r="D56" t="s">
        <v>306</v>
      </c>
      <c r="F56" t="s">
        <v>307</v>
      </c>
      <c r="H56" t="s">
        <v>110</v>
      </c>
      <c r="J56">
        <v>2017</v>
      </c>
      <c r="K56" t="s">
        <v>158</v>
      </c>
      <c r="L56">
        <v>42885</v>
      </c>
      <c r="M56" t="s">
        <v>308</v>
      </c>
      <c r="N56" t="s">
        <v>65</v>
      </c>
      <c r="O56" t="s">
        <v>66</v>
      </c>
      <c r="P56" t="s">
        <v>309</v>
      </c>
    </row>
    <row r="57" spans="1:16" x14ac:dyDescent="0.2">
      <c r="A57" t="s">
        <v>310</v>
      </c>
      <c r="B57" t="s">
        <v>311</v>
      </c>
      <c r="C57" t="s">
        <v>59</v>
      </c>
      <c r="D57" t="s">
        <v>300</v>
      </c>
      <c r="E57" t="s">
        <v>301</v>
      </c>
      <c r="F57" t="s">
        <v>312</v>
      </c>
      <c r="G57" t="s">
        <v>313</v>
      </c>
      <c r="H57" t="s">
        <v>117</v>
      </c>
      <c r="J57">
        <v>2018</v>
      </c>
      <c r="K57" t="s">
        <v>64</v>
      </c>
      <c r="L57">
        <v>43315</v>
      </c>
      <c r="N57" t="s">
        <v>65</v>
      </c>
      <c r="O57" t="s">
        <v>66</v>
      </c>
      <c r="P57" t="s">
        <v>314</v>
      </c>
    </row>
    <row r="58" spans="1:16" x14ac:dyDescent="0.2">
      <c r="A58" t="s">
        <v>310</v>
      </c>
      <c r="B58" t="s">
        <v>315</v>
      </c>
      <c r="C58" t="s">
        <v>59</v>
      </c>
      <c r="D58" t="s">
        <v>300</v>
      </c>
      <c r="E58" t="s">
        <v>301</v>
      </c>
      <c r="F58" t="s">
        <v>312</v>
      </c>
      <c r="H58" t="s">
        <v>117</v>
      </c>
      <c r="J58">
        <v>2018</v>
      </c>
      <c r="K58" t="s">
        <v>64</v>
      </c>
      <c r="L58">
        <v>43434</v>
      </c>
      <c r="N58" t="s">
        <v>65</v>
      </c>
      <c r="O58" t="s">
        <v>66</v>
      </c>
      <c r="P58" t="s">
        <v>314</v>
      </c>
    </row>
    <row r="59" spans="1:16" x14ac:dyDescent="0.2">
      <c r="A59" t="s">
        <v>316</v>
      </c>
      <c r="B59" t="s">
        <v>317</v>
      </c>
      <c r="C59" t="s">
        <v>59</v>
      </c>
      <c r="D59" t="s">
        <v>60</v>
      </c>
      <c r="F59" t="s">
        <v>318</v>
      </c>
      <c r="H59" t="s">
        <v>134</v>
      </c>
      <c r="J59">
        <v>2017</v>
      </c>
      <c r="K59" t="s">
        <v>64</v>
      </c>
      <c r="L59">
        <v>42853</v>
      </c>
      <c r="N59" t="s">
        <v>65</v>
      </c>
      <c r="O59" t="s">
        <v>66</v>
      </c>
      <c r="P59" t="s">
        <v>319</v>
      </c>
    </row>
    <row r="60" spans="1:16" x14ac:dyDescent="0.2">
      <c r="A60" t="s">
        <v>320</v>
      </c>
      <c r="B60" t="s">
        <v>321</v>
      </c>
      <c r="C60" t="s">
        <v>59</v>
      </c>
      <c r="D60" t="s">
        <v>88</v>
      </c>
      <c r="E60" t="s">
        <v>88</v>
      </c>
      <c r="H60" t="s">
        <v>89</v>
      </c>
      <c r="J60">
        <v>2017</v>
      </c>
      <c r="K60" t="s">
        <v>297</v>
      </c>
      <c r="N60" t="s">
        <v>65</v>
      </c>
      <c r="O60" t="s">
        <v>66</v>
      </c>
      <c r="P60" t="s">
        <v>322</v>
      </c>
    </row>
    <row r="61" spans="1:16" x14ac:dyDescent="0.2">
      <c r="A61" t="s">
        <v>323</v>
      </c>
      <c r="B61" t="s">
        <v>324</v>
      </c>
      <c r="C61" t="s">
        <v>59</v>
      </c>
      <c r="D61" t="s">
        <v>306</v>
      </c>
      <c r="E61" t="s">
        <v>301</v>
      </c>
      <c r="F61" t="s">
        <v>325</v>
      </c>
      <c r="G61" t="s">
        <v>326</v>
      </c>
      <c r="H61" t="s">
        <v>117</v>
      </c>
      <c r="J61">
        <v>2017</v>
      </c>
      <c r="K61" t="s">
        <v>64</v>
      </c>
      <c r="N61" t="s">
        <v>65</v>
      </c>
      <c r="O61" t="s">
        <v>327</v>
      </c>
      <c r="P61" t="s">
        <v>328</v>
      </c>
    </row>
    <row r="62" spans="1:16" x14ac:dyDescent="0.2">
      <c r="A62" t="s">
        <v>329</v>
      </c>
      <c r="B62" t="s">
        <v>330</v>
      </c>
      <c r="C62" t="s">
        <v>59</v>
      </c>
      <c r="D62" t="s">
        <v>167</v>
      </c>
      <c r="F62" t="s">
        <v>331</v>
      </c>
      <c r="H62" t="s">
        <v>255</v>
      </c>
      <c r="J62">
        <v>2017</v>
      </c>
      <c r="K62" t="s">
        <v>202</v>
      </c>
      <c r="L62" t="s">
        <v>332</v>
      </c>
      <c r="M62" t="s">
        <v>333</v>
      </c>
      <c r="N62" t="s">
        <v>65</v>
      </c>
      <c r="O62" t="s">
        <v>66</v>
      </c>
      <c r="P62" t="s">
        <v>334</v>
      </c>
    </row>
    <row r="63" spans="1:16" x14ac:dyDescent="0.2">
      <c r="A63" t="s">
        <v>335</v>
      </c>
      <c r="B63" t="s">
        <v>336</v>
      </c>
      <c r="C63" t="s">
        <v>59</v>
      </c>
      <c r="D63" t="s">
        <v>114</v>
      </c>
      <c r="E63" t="s">
        <v>115</v>
      </c>
      <c r="F63" t="s">
        <v>337</v>
      </c>
      <c r="H63" t="s">
        <v>338</v>
      </c>
      <c r="J63">
        <v>2017</v>
      </c>
      <c r="K63" t="s">
        <v>64</v>
      </c>
      <c r="L63">
        <v>42913</v>
      </c>
      <c r="M63" t="s">
        <v>339</v>
      </c>
      <c r="N63" t="s">
        <v>65</v>
      </c>
      <c r="O63" t="s">
        <v>66</v>
      </c>
      <c r="P63" t="s">
        <v>340</v>
      </c>
    </row>
    <row r="64" spans="1:16" x14ac:dyDescent="0.2">
      <c r="A64" t="s">
        <v>341</v>
      </c>
      <c r="B64" t="s">
        <v>342</v>
      </c>
      <c r="C64" t="s">
        <v>59</v>
      </c>
      <c r="D64" t="s">
        <v>343</v>
      </c>
      <c r="F64" t="s">
        <v>344</v>
      </c>
      <c r="G64" t="s">
        <v>345</v>
      </c>
      <c r="H64" t="s">
        <v>77</v>
      </c>
      <c r="J64">
        <v>2017</v>
      </c>
      <c r="K64" t="s">
        <v>346</v>
      </c>
      <c r="L64">
        <v>42948</v>
      </c>
      <c r="N64" t="s">
        <v>65</v>
      </c>
      <c r="O64" t="s">
        <v>66</v>
      </c>
      <c r="P64" t="s">
        <v>347</v>
      </c>
    </row>
    <row r="65" spans="1:16" x14ac:dyDescent="0.2">
      <c r="A65" t="s">
        <v>348</v>
      </c>
      <c r="B65" t="s">
        <v>349</v>
      </c>
      <c r="C65" t="s">
        <v>59</v>
      </c>
      <c r="D65" t="s">
        <v>82</v>
      </c>
      <c r="F65" t="s">
        <v>350</v>
      </c>
      <c r="H65" t="s">
        <v>255</v>
      </c>
      <c r="J65">
        <v>2017</v>
      </c>
      <c r="K65" t="s">
        <v>202</v>
      </c>
      <c r="L65">
        <v>43281</v>
      </c>
      <c r="N65" t="s">
        <v>65</v>
      </c>
      <c r="O65" t="s">
        <v>66</v>
      </c>
      <c r="P65" t="s">
        <v>351</v>
      </c>
    </row>
    <row r="66" spans="1:16" x14ac:dyDescent="0.2">
      <c r="A66" t="s">
        <v>352</v>
      </c>
      <c r="B66" t="s">
        <v>353</v>
      </c>
      <c r="C66" t="s">
        <v>59</v>
      </c>
      <c r="D66" t="s">
        <v>354</v>
      </c>
      <c r="H66" t="s">
        <v>77</v>
      </c>
      <c r="J66">
        <v>2017</v>
      </c>
      <c r="K66" t="s">
        <v>346</v>
      </c>
      <c r="L66">
        <v>42929</v>
      </c>
      <c r="N66" t="s">
        <v>71</v>
      </c>
      <c r="O66" t="s">
        <v>66</v>
      </c>
      <c r="P66" t="s">
        <v>355</v>
      </c>
    </row>
    <row r="67" spans="1:16" x14ac:dyDescent="0.2">
      <c r="A67" t="s">
        <v>356</v>
      </c>
      <c r="B67" t="s">
        <v>357</v>
      </c>
      <c r="C67" t="s">
        <v>59</v>
      </c>
      <c r="D67" t="s">
        <v>358</v>
      </c>
      <c r="F67" t="s">
        <v>359</v>
      </c>
      <c r="G67" t="s">
        <v>360</v>
      </c>
      <c r="H67" t="s">
        <v>77</v>
      </c>
      <c r="J67">
        <v>2017</v>
      </c>
      <c r="K67" t="s">
        <v>346</v>
      </c>
      <c r="L67">
        <v>43089</v>
      </c>
      <c r="N67" t="s">
        <v>361</v>
      </c>
      <c r="O67" t="s">
        <v>361</v>
      </c>
      <c r="P67" t="s">
        <v>362</v>
      </c>
    </row>
    <row r="68" spans="1:16" x14ac:dyDescent="0.2">
      <c r="A68" t="s">
        <v>356</v>
      </c>
      <c r="B68" t="s">
        <v>363</v>
      </c>
      <c r="C68" t="s">
        <v>59</v>
      </c>
      <c r="D68" t="s">
        <v>358</v>
      </c>
      <c r="F68" t="s">
        <v>359</v>
      </c>
      <c r="G68" t="s">
        <v>139</v>
      </c>
      <c r="H68" t="s">
        <v>77</v>
      </c>
      <c r="J68">
        <v>2017</v>
      </c>
      <c r="K68" t="s">
        <v>297</v>
      </c>
      <c r="L68">
        <v>42957</v>
      </c>
      <c r="N68" t="s">
        <v>71</v>
      </c>
      <c r="O68" t="s">
        <v>66</v>
      </c>
      <c r="P68" t="s">
        <v>362</v>
      </c>
    </row>
    <row r="69" spans="1:16" x14ac:dyDescent="0.2">
      <c r="A69" t="s">
        <v>364</v>
      </c>
      <c r="B69" t="s">
        <v>365</v>
      </c>
      <c r="C69" t="s">
        <v>59</v>
      </c>
      <c r="D69" t="s">
        <v>60</v>
      </c>
      <c r="F69" t="s">
        <v>366</v>
      </c>
      <c r="H69" t="s">
        <v>367</v>
      </c>
      <c r="J69">
        <v>2017</v>
      </c>
      <c r="K69" t="s">
        <v>202</v>
      </c>
      <c r="L69">
        <v>43012</v>
      </c>
      <c r="N69" t="s">
        <v>65</v>
      </c>
      <c r="O69" t="s">
        <v>66</v>
      </c>
      <c r="P69" t="s">
        <v>368</v>
      </c>
    </row>
    <row r="70" spans="1:16" x14ac:dyDescent="0.2">
      <c r="A70" t="s">
        <v>364</v>
      </c>
      <c r="B70" t="s">
        <v>369</v>
      </c>
      <c r="C70" t="s">
        <v>59</v>
      </c>
      <c r="D70" t="s">
        <v>60</v>
      </c>
      <c r="F70" t="s">
        <v>366</v>
      </c>
      <c r="G70" t="s">
        <v>370</v>
      </c>
      <c r="H70" t="s">
        <v>367</v>
      </c>
      <c r="J70">
        <v>2017</v>
      </c>
      <c r="L70">
        <v>43031</v>
      </c>
      <c r="N70" t="s">
        <v>71</v>
      </c>
      <c r="O70" t="s">
        <v>66</v>
      </c>
      <c r="P70" t="s">
        <v>368</v>
      </c>
    </row>
    <row r="71" spans="1:16" x14ac:dyDescent="0.2">
      <c r="A71" t="s">
        <v>371</v>
      </c>
      <c r="B71" t="s">
        <v>372</v>
      </c>
      <c r="C71" t="s">
        <v>59</v>
      </c>
      <c r="D71" t="s">
        <v>97</v>
      </c>
      <c r="F71" t="s">
        <v>97</v>
      </c>
      <c r="H71" t="s">
        <v>84</v>
      </c>
      <c r="J71">
        <v>2017</v>
      </c>
      <c r="K71" t="s">
        <v>158</v>
      </c>
      <c r="L71">
        <v>42947</v>
      </c>
      <c r="N71" t="s">
        <v>65</v>
      </c>
      <c r="O71" t="s">
        <v>66</v>
      </c>
      <c r="P71" t="s">
        <v>373</v>
      </c>
    </row>
    <row r="72" spans="1:16" x14ac:dyDescent="0.2">
      <c r="A72" t="s">
        <v>374</v>
      </c>
      <c r="B72" t="s">
        <v>375</v>
      </c>
      <c r="C72" t="s">
        <v>59</v>
      </c>
      <c r="D72" t="s">
        <v>167</v>
      </c>
      <c r="F72" t="s">
        <v>376</v>
      </c>
      <c r="G72" t="s">
        <v>377</v>
      </c>
      <c r="H72" t="s">
        <v>193</v>
      </c>
      <c r="J72">
        <v>2017</v>
      </c>
      <c r="K72" t="s">
        <v>64</v>
      </c>
      <c r="L72">
        <v>43140</v>
      </c>
      <c r="N72" t="s">
        <v>65</v>
      </c>
      <c r="O72" t="s">
        <v>66</v>
      </c>
      <c r="P72" t="s">
        <v>378</v>
      </c>
    </row>
    <row r="73" spans="1:16" x14ac:dyDescent="0.2">
      <c r="A73" t="s">
        <v>374</v>
      </c>
      <c r="B73" t="s">
        <v>379</v>
      </c>
      <c r="C73" t="s">
        <v>59</v>
      </c>
      <c r="D73" t="s">
        <v>167</v>
      </c>
      <c r="F73" t="s">
        <v>376</v>
      </c>
      <c r="G73" t="s">
        <v>380</v>
      </c>
      <c r="H73" t="s">
        <v>193</v>
      </c>
      <c r="J73">
        <v>2017</v>
      </c>
      <c r="K73" t="s">
        <v>202</v>
      </c>
      <c r="L73">
        <v>43403</v>
      </c>
      <c r="N73" t="s">
        <v>65</v>
      </c>
      <c r="O73" t="s">
        <v>66</v>
      </c>
      <c r="P73" t="s">
        <v>378</v>
      </c>
    </row>
    <row r="74" spans="1:16" x14ac:dyDescent="0.2">
      <c r="A74" t="s">
        <v>381</v>
      </c>
      <c r="B74" t="s">
        <v>382</v>
      </c>
      <c r="C74" t="s">
        <v>59</v>
      </c>
      <c r="D74" t="s">
        <v>102</v>
      </c>
      <c r="F74" t="s">
        <v>97</v>
      </c>
      <c r="H74" t="s">
        <v>84</v>
      </c>
      <c r="J74">
        <v>2017</v>
      </c>
      <c r="K74" t="s">
        <v>158</v>
      </c>
      <c r="L74">
        <v>42947</v>
      </c>
      <c r="N74" t="s">
        <v>65</v>
      </c>
      <c r="O74" t="s">
        <v>66</v>
      </c>
      <c r="P74" t="s">
        <v>383</v>
      </c>
    </row>
    <row r="75" spans="1:16" x14ac:dyDescent="0.2">
      <c r="A75" t="s">
        <v>384</v>
      </c>
      <c r="B75" t="s">
        <v>385</v>
      </c>
      <c r="C75" t="s">
        <v>59</v>
      </c>
      <c r="D75" t="s">
        <v>154</v>
      </c>
      <c r="E75" t="s">
        <v>386</v>
      </c>
      <c r="F75" t="s">
        <v>387</v>
      </c>
      <c r="H75" t="s">
        <v>388</v>
      </c>
      <c r="J75">
        <v>2017</v>
      </c>
      <c r="K75" t="s">
        <v>158</v>
      </c>
      <c r="L75">
        <v>43126</v>
      </c>
      <c r="M75" t="s">
        <v>389</v>
      </c>
      <c r="N75" t="s">
        <v>390</v>
      </c>
      <c r="O75" t="s">
        <v>66</v>
      </c>
      <c r="P75" t="s">
        <v>391</v>
      </c>
    </row>
    <row r="76" spans="1:16" x14ac:dyDescent="0.2">
      <c r="A76" t="s">
        <v>392</v>
      </c>
      <c r="B76" t="s">
        <v>393</v>
      </c>
      <c r="C76" t="s">
        <v>59</v>
      </c>
      <c r="D76" t="s">
        <v>115</v>
      </c>
      <c r="F76" t="s">
        <v>394</v>
      </c>
      <c r="H76" t="s">
        <v>255</v>
      </c>
      <c r="J76">
        <v>2017</v>
      </c>
      <c r="K76" t="s">
        <v>297</v>
      </c>
      <c r="L76">
        <v>42977</v>
      </c>
      <c r="N76" t="s">
        <v>65</v>
      </c>
      <c r="O76" t="s">
        <v>66</v>
      </c>
      <c r="P76" t="s">
        <v>395</v>
      </c>
    </row>
    <row r="77" spans="1:16" x14ac:dyDescent="0.2">
      <c r="A77" t="s">
        <v>396</v>
      </c>
      <c r="B77" t="s">
        <v>397</v>
      </c>
      <c r="C77" t="s">
        <v>59</v>
      </c>
      <c r="D77" t="s">
        <v>398</v>
      </c>
      <c r="F77" t="s">
        <v>399</v>
      </c>
      <c r="H77" t="s">
        <v>338</v>
      </c>
      <c r="J77">
        <v>2017</v>
      </c>
      <c r="K77" t="s">
        <v>158</v>
      </c>
      <c r="L77">
        <v>43190</v>
      </c>
      <c r="N77" t="s">
        <v>65</v>
      </c>
      <c r="O77" t="s">
        <v>66</v>
      </c>
      <c r="P77" t="s">
        <v>400</v>
      </c>
    </row>
    <row r="78" spans="1:16" x14ac:dyDescent="0.2">
      <c r="A78" t="s">
        <v>401</v>
      </c>
      <c r="B78" t="s">
        <v>402</v>
      </c>
      <c r="C78" t="s">
        <v>59</v>
      </c>
      <c r="D78" t="s">
        <v>343</v>
      </c>
      <c r="F78" t="s">
        <v>344</v>
      </c>
      <c r="G78" t="s">
        <v>403</v>
      </c>
      <c r="H78" t="s">
        <v>77</v>
      </c>
      <c r="J78">
        <v>2017</v>
      </c>
      <c r="K78" t="s">
        <v>346</v>
      </c>
      <c r="L78">
        <v>42996</v>
      </c>
      <c r="N78" t="s">
        <v>65</v>
      </c>
      <c r="O78" t="s">
        <v>66</v>
      </c>
      <c r="P78" t="s">
        <v>404</v>
      </c>
    </row>
    <row r="79" spans="1:16" x14ac:dyDescent="0.2">
      <c r="A79" t="s">
        <v>405</v>
      </c>
      <c r="B79" t="s">
        <v>406</v>
      </c>
      <c r="C79" t="s">
        <v>59</v>
      </c>
      <c r="D79" t="s">
        <v>115</v>
      </c>
      <c r="F79" t="s">
        <v>407</v>
      </c>
      <c r="G79" t="s">
        <v>408</v>
      </c>
      <c r="H79" t="s">
        <v>409</v>
      </c>
      <c r="J79">
        <v>2017</v>
      </c>
      <c r="K79" t="s">
        <v>64</v>
      </c>
      <c r="L79">
        <v>42958</v>
      </c>
      <c r="N79" t="s">
        <v>65</v>
      </c>
      <c r="O79" t="s">
        <v>66</v>
      </c>
      <c r="P79" t="s">
        <v>410</v>
      </c>
    </row>
    <row r="80" spans="1:16" x14ac:dyDescent="0.2">
      <c r="A80" t="s">
        <v>405</v>
      </c>
      <c r="B80" t="s">
        <v>411</v>
      </c>
      <c r="C80" t="s">
        <v>59</v>
      </c>
      <c r="D80" t="s">
        <v>115</v>
      </c>
      <c r="F80" t="s">
        <v>407</v>
      </c>
      <c r="G80" t="s">
        <v>412</v>
      </c>
      <c r="H80" t="s">
        <v>409</v>
      </c>
      <c r="J80">
        <v>2017</v>
      </c>
      <c r="K80" t="s">
        <v>64</v>
      </c>
      <c r="L80" t="s">
        <v>413</v>
      </c>
      <c r="N80" t="s">
        <v>65</v>
      </c>
      <c r="O80" t="s">
        <v>66</v>
      </c>
      <c r="P80" t="s">
        <v>410</v>
      </c>
    </row>
    <row r="81" spans="1:16" x14ac:dyDescent="0.2">
      <c r="A81" t="s">
        <v>414</v>
      </c>
      <c r="B81" t="s">
        <v>415</v>
      </c>
      <c r="C81" t="s">
        <v>59</v>
      </c>
      <c r="D81" t="s">
        <v>416</v>
      </c>
      <c r="F81" t="s">
        <v>417</v>
      </c>
      <c r="H81" t="s">
        <v>418</v>
      </c>
      <c r="J81">
        <v>2017</v>
      </c>
      <c r="K81" t="s">
        <v>202</v>
      </c>
      <c r="L81">
        <v>43026</v>
      </c>
      <c r="N81" t="s">
        <v>65</v>
      </c>
      <c r="O81" t="s">
        <v>66</v>
      </c>
      <c r="P81" t="s">
        <v>419</v>
      </c>
    </row>
    <row r="82" spans="1:16" x14ac:dyDescent="0.2">
      <c r="A82" t="s">
        <v>420</v>
      </c>
      <c r="B82" t="s">
        <v>390</v>
      </c>
      <c r="C82" t="s">
        <v>59</v>
      </c>
      <c r="D82" t="s">
        <v>154</v>
      </c>
      <c r="E82" t="s">
        <v>421</v>
      </c>
      <c r="F82" t="s">
        <v>422</v>
      </c>
      <c r="H82" t="s">
        <v>423</v>
      </c>
      <c r="J82">
        <v>2017</v>
      </c>
      <c r="K82" t="s">
        <v>158</v>
      </c>
      <c r="L82">
        <v>43040</v>
      </c>
      <c r="N82" t="s">
        <v>390</v>
      </c>
      <c r="O82" t="s">
        <v>66</v>
      </c>
      <c r="P82" t="s">
        <v>424</v>
      </c>
    </row>
    <row r="83" spans="1:16" x14ac:dyDescent="0.2">
      <c r="A83" t="s">
        <v>425</v>
      </c>
      <c r="B83" t="s">
        <v>426</v>
      </c>
      <c r="C83" t="s">
        <v>59</v>
      </c>
      <c r="D83" t="s">
        <v>60</v>
      </c>
      <c r="E83" t="s">
        <v>115</v>
      </c>
      <c r="F83" t="s">
        <v>208</v>
      </c>
      <c r="H83" t="s">
        <v>209</v>
      </c>
      <c r="J83">
        <v>2017</v>
      </c>
      <c r="K83" t="s">
        <v>210</v>
      </c>
      <c r="L83" t="s">
        <v>427</v>
      </c>
      <c r="N83" t="s">
        <v>65</v>
      </c>
      <c r="O83" t="s">
        <v>66</v>
      </c>
      <c r="P83" t="s">
        <v>428</v>
      </c>
    </row>
    <row r="84" spans="1:16" x14ac:dyDescent="0.2">
      <c r="A84" t="s">
        <v>425</v>
      </c>
      <c r="B84" t="s">
        <v>429</v>
      </c>
      <c r="C84" t="s">
        <v>59</v>
      </c>
      <c r="D84" t="s">
        <v>60</v>
      </c>
      <c r="E84" t="s">
        <v>115</v>
      </c>
      <c r="F84" t="s">
        <v>208</v>
      </c>
      <c r="H84" t="s">
        <v>209</v>
      </c>
      <c r="J84">
        <v>2018</v>
      </c>
      <c r="K84" t="s">
        <v>202</v>
      </c>
      <c r="L84">
        <v>43381</v>
      </c>
      <c r="N84" t="s">
        <v>65</v>
      </c>
      <c r="O84" t="s">
        <v>66</v>
      </c>
      <c r="P84" t="s">
        <v>430</v>
      </c>
    </row>
    <row r="85" spans="1:16" x14ac:dyDescent="0.2">
      <c r="A85" t="s">
        <v>431</v>
      </c>
      <c r="C85" t="s">
        <v>59</v>
      </c>
      <c r="D85" t="s">
        <v>432</v>
      </c>
      <c r="F85" t="s">
        <v>433</v>
      </c>
      <c r="H85" t="s">
        <v>162</v>
      </c>
      <c r="J85">
        <v>2017</v>
      </c>
      <c r="K85" t="s">
        <v>202</v>
      </c>
      <c r="M85" t="s">
        <v>434</v>
      </c>
      <c r="N85" t="s">
        <v>71</v>
      </c>
      <c r="O85" t="s">
        <v>361</v>
      </c>
      <c r="P85" t="s">
        <v>435</v>
      </c>
    </row>
    <row r="86" spans="1:16" x14ac:dyDescent="0.2">
      <c r="A86" t="s">
        <v>436</v>
      </c>
      <c r="B86" t="s">
        <v>437</v>
      </c>
      <c r="C86" t="s">
        <v>59</v>
      </c>
      <c r="D86" t="s">
        <v>82</v>
      </c>
      <c r="F86" t="s">
        <v>438</v>
      </c>
      <c r="J86">
        <v>2017</v>
      </c>
      <c r="K86" t="s">
        <v>439</v>
      </c>
      <c r="L86">
        <v>43035</v>
      </c>
      <c r="N86" t="s">
        <v>65</v>
      </c>
      <c r="O86" t="s">
        <v>66</v>
      </c>
      <c r="P86" t="s">
        <v>440</v>
      </c>
    </row>
    <row r="87" spans="1:16" x14ac:dyDescent="0.2">
      <c r="A87" t="s">
        <v>441</v>
      </c>
      <c r="B87" t="s">
        <v>442</v>
      </c>
      <c r="C87" t="s">
        <v>59</v>
      </c>
      <c r="D87" t="s">
        <v>443</v>
      </c>
      <c r="E87" t="s">
        <v>444</v>
      </c>
      <c r="F87" t="s">
        <v>445</v>
      </c>
      <c r="H87" t="s">
        <v>266</v>
      </c>
      <c r="J87">
        <v>2017</v>
      </c>
      <c r="K87" t="s">
        <v>249</v>
      </c>
      <c r="L87">
        <v>42916</v>
      </c>
      <c r="N87" t="s">
        <v>65</v>
      </c>
      <c r="O87" t="s">
        <v>66</v>
      </c>
      <c r="P87" t="s">
        <v>446</v>
      </c>
    </row>
    <row r="88" spans="1:16" x14ac:dyDescent="0.2">
      <c r="A88" t="s">
        <v>447</v>
      </c>
      <c r="B88" t="s">
        <v>448</v>
      </c>
      <c r="C88" t="s">
        <v>59</v>
      </c>
      <c r="D88" t="s">
        <v>61</v>
      </c>
      <c r="F88" t="s">
        <v>226</v>
      </c>
      <c r="H88" t="s">
        <v>226</v>
      </c>
      <c r="J88">
        <v>2017</v>
      </c>
      <c r="K88" t="s">
        <v>297</v>
      </c>
      <c r="L88">
        <v>43017</v>
      </c>
      <c r="N88" t="s">
        <v>65</v>
      </c>
      <c r="O88" t="s">
        <v>66</v>
      </c>
      <c r="P88" t="s">
        <v>449</v>
      </c>
    </row>
    <row r="89" spans="1:16" x14ac:dyDescent="0.2">
      <c r="A89" t="s">
        <v>450</v>
      </c>
      <c r="B89" t="s">
        <v>451</v>
      </c>
      <c r="C89" t="s">
        <v>59</v>
      </c>
      <c r="D89" t="s">
        <v>270</v>
      </c>
      <c r="F89" t="s">
        <v>452</v>
      </c>
      <c r="G89" t="s">
        <v>453</v>
      </c>
      <c r="H89" t="s">
        <v>77</v>
      </c>
      <c r="J89">
        <v>2017</v>
      </c>
      <c r="K89" t="s">
        <v>221</v>
      </c>
      <c r="L89">
        <v>43008</v>
      </c>
      <c r="M89" t="s">
        <v>243</v>
      </c>
      <c r="N89" t="s">
        <v>65</v>
      </c>
      <c r="O89" t="s">
        <v>66</v>
      </c>
      <c r="P89" t="s">
        <v>454</v>
      </c>
    </row>
    <row r="90" spans="1:16" x14ac:dyDescent="0.2">
      <c r="A90" t="s">
        <v>450</v>
      </c>
      <c r="B90" t="s">
        <v>455</v>
      </c>
      <c r="C90" t="s">
        <v>59</v>
      </c>
      <c r="D90" t="s">
        <v>270</v>
      </c>
      <c r="F90" t="s">
        <v>452</v>
      </c>
      <c r="H90" t="s">
        <v>77</v>
      </c>
      <c r="J90">
        <v>2017</v>
      </c>
      <c r="K90" t="s">
        <v>202</v>
      </c>
      <c r="L90">
        <v>43038</v>
      </c>
      <c r="M90" t="s">
        <v>456</v>
      </c>
      <c r="N90" t="s">
        <v>65</v>
      </c>
      <c r="O90" t="s">
        <v>66</v>
      </c>
      <c r="P90" t="s">
        <v>454</v>
      </c>
    </row>
    <row r="91" spans="1:16" x14ac:dyDescent="0.2">
      <c r="A91" t="s">
        <v>450</v>
      </c>
      <c r="B91" t="s">
        <v>457</v>
      </c>
      <c r="C91" t="s">
        <v>59</v>
      </c>
      <c r="D91" t="s">
        <v>270</v>
      </c>
      <c r="F91" t="s">
        <v>452</v>
      </c>
      <c r="G91" t="s">
        <v>453</v>
      </c>
      <c r="H91" t="s">
        <v>77</v>
      </c>
      <c r="J91">
        <v>2017</v>
      </c>
      <c r="K91" t="s">
        <v>202</v>
      </c>
      <c r="L91">
        <v>43069</v>
      </c>
      <c r="N91" t="s">
        <v>71</v>
      </c>
      <c r="O91" t="s">
        <v>66</v>
      </c>
      <c r="P91" t="s">
        <v>454</v>
      </c>
    </row>
    <row r="92" spans="1:16" x14ac:dyDescent="0.2">
      <c r="A92" t="s">
        <v>450</v>
      </c>
      <c r="B92" t="s">
        <v>458</v>
      </c>
      <c r="C92" t="s">
        <v>59</v>
      </c>
      <c r="D92" t="s">
        <v>270</v>
      </c>
      <c r="F92" t="s">
        <v>452</v>
      </c>
      <c r="G92" t="s">
        <v>459</v>
      </c>
      <c r="H92" t="s">
        <v>77</v>
      </c>
      <c r="J92">
        <v>2017</v>
      </c>
      <c r="L92">
        <v>43115</v>
      </c>
      <c r="M92" t="s">
        <v>460</v>
      </c>
      <c r="N92" t="s">
        <v>71</v>
      </c>
      <c r="O92" t="s">
        <v>66</v>
      </c>
      <c r="P92" t="s">
        <v>454</v>
      </c>
    </row>
    <row r="93" spans="1:16" x14ac:dyDescent="0.2">
      <c r="A93" t="s">
        <v>450</v>
      </c>
      <c r="B93" t="s">
        <v>461</v>
      </c>
      <c r="C93" t="s">
        <v>59</v>
      </c>
      <c r="D93" t="s">
        <v>270</v>
      </c>
      <c r="F93" t="s">
        <v>452</v>
      </c>
      <c r="G93" t="s">
        <v>462</v>
      </c>
      <c r="H93" t="s">
        <v>77</v>
      </c>
      <c r="J93">
        <v>2017</v>
      </c>
      <c r="L93">
        <v>43119</v>
      </c>
      <c r="N93" t="s">
        <v>71</v>
      </c>
      <c r="O93" t="s">
        <v>66</v>
      </c>
      <c r="P93" t="s">
        <v>454</v>
      </c>
    </row>
    <row r="94" spans="1:16" x14ac:dyDescent="0.2">
      <c r="A94" t="s">
        <v>450</v>
      </c>
      <c r="B94" t="s">
        <v>463</v>
      </c>
      <c r="C94" t="s">
        <v>59</v>
      </c>
      <c r="D94" t="s">
        <v>270</v>
      </c>
      <c r="F94" t="s">
        <v>452</v>
      </c>
      <c r="H94" t="s">
        <v>77</v>
      </c>
      <c r="J94">
        <v>2017</v>
      </c>
      <c r="K94" t="s">
        <v>64</v>
      </c>
      <c r="L94">
        <v>43205</v>
      </c>
      <c r="M94" t="s">
        <v>456</v>
      </c>
      <c r="N94" t="s">
        <v>65</v>
      </c>
      <c r="O94" t="s">
        <v>66</v>
      </c>
      <c r="P94" t="s">
        <v>454</v>
      </c>
    </row>
    <row r="95" spans="1:16" x14ac:dyDescent="0.2">
      <c r="A95" t="s">
        <v>450</v>
      </c>
      <c r="B95" t="s">
        <v>464</v>
      </c>
      <c r="C95" t="s">
        <v>59</v>
      </c>
      <c r="D95" t="s">
        <v>270</v>
      </c>
      <c r="F95" t="s">
        <v>452</v>
      </c>
      <c r="G95" t="s">
        <v>465</v>
      </c>
      <c r="H95" t="s">
        <v>77</v>
      </c>
      <c r="J95">
        <v>2018</v>
      </c>
      <c r="K95" t="s">
        <v>64</v>
      </c>
      <c r="L95">
        <v>43238</v>
      </c>
      <c r="N95" t="s">
        <v>71</v>
      </c>
      <c r="O95" t="s">
        <v>66</v>
      </c>
      <c r="P95" t="s">
        <v>466</v>
      </c>
    </row>
    <row r="96" spans="1:16" x14ac:dyDescent="0.2">
      <c r="A96" t="s">
        <v>450</v>
      </c>
      <c r="B96" t="s">
        <v>467</v>
      </c>
      <c r="C96" t="s">
        <v>59</v>
      </c>
      <c r="D96" t="s">
        <v>270</v>
      </c>
      <c r="F96" t="s">
        <v>452</v>
      </c>
      <c r="G96" t="s">
        <v>468</v>
      </c>
      <c r="H96" t="s">
        <v>77</v>
      </c>
      <c r="J96">
        <v>2018</v>
      </c>
      <c r="L96">
        <v>43238</v>
      </c>
      <c r="N96" t="s">
        <v>71</v>
      </c>
      <c r="O96" t="s">
        <v>66</v>
      </c>
      <c r="P96" t="s">
        <v>466</v>
      </c>
    </row>
    <row r="97" spans="1:16" x14ac:dyDescent="0.2">
      <c r="A97" t="s">
        <v>450</v>
      </c>
      <c r="B97" t="s">
        <v>469</v>
      </c>
      <c r="C97" t="s">
        <v>59</v>
      </c>
      <c r="D97" t="s">
        <v>270</v>
      </c>
      <c r="F97" t="s">
        <v>452</v>
      </c>
      <c r="G97" t="s">
        <v>470</v>
      </c>
      <c r="H97" t="s">
        <v>77</v>
      </c>
      <c r="J97">
        <v>2018</v>
      </c>
      <c r="K97" t="s">
        <v>471</v>
      </c>
      <c r="L97">
        <v>43423</v>
      </c>
      <c r="M97" t="s">
        <v>456</v>
      </c>
      <c r="N97" t="s">
        <v>65</v>
      </c>
      <c r="P97" t="s">
        <v>466</v>
      </c>
    </row>
    <row r="98" spans="1:16" x14ac:dyDescent="0.2">
      <c r="A98" t="s">
        <v>450</v>
      </c>
      <c r="B98" t="s">
        <v>472</v>
      </c>
      <c r="C98" t="s">
        <v>59</v>
      </c>
      <c r="D98" t="s">
        <v>270</v>
      </c>
      <c r="F98" t="s">
        <v>452</v>
      </c>
      <c r="G98" t="s">
        <v>473</v>
      </c>
      <c r="H98" t="s">
        <v>77</v>
      </c>
      <c r="J98">
        <v>2018</v>
      </c>
      <c r="K98" t="s">
        <v>471</v>
      </c>
      <c r="L98">
        <v>43605</v>
      </c>
      <c r="N98" t="s">
        <v>65</v>
      </c>
      <c r="P98" t="s">
        <v>466</v>
      </c>
    </row>
    <row r="99" spans="1:16" x14ac:dyDescent="0.2">
      <c r="A99" t="s">
        <v>450</v>
      </c>
      <c r="B99" t="s">
        <v>472</v>
      </c>
      <c r="C99" t="s">
        <v>59</v>
      </c>
      <c r="D99" t="s">
        <v>270</v>
      </c>
      <c r="F99" t="s">
        <v>452</v>
      </c>
      <c r="G99" t="s">
        <v>473</v>
      </c>
      <c r="H99" t="s">
        <v>77</v>
      </c>
      <c r="J99">
        <v>2018</v>
      </c>
      <c r="K99" t="s">
        <v>471</v>
      </c>
      <c r="L99">
        <v>43605</v>
      </c>
      <c r="N99" t="s">
        <v>65</v>
      </c>
      <c r="P99" t="s">
        <v>466</v>
      </c>
    </row>
    <row r="100" spans="1:16" x14ac:dyDescent="0.2">
      <c r="A100" t="s">
        <v>474</v>
      </c>
      <c r="B100" t="s">
        <v>475</v>
      </c>
      <c r="C100" t="s">
        <v>59</v>
      </c>
      <c r="D100" t="s">
        <v>253</v>
      </c>
      <c r="F100" t="s">
        <v>476</v>
      </c>
      <c r="H100" t="s">
        <v>409</v>
      </c>
      <c r="J100">
        <v>2017</v>
      </c>
      <c r="K100" t="s">
        <v>249</v>
      </c>
      <c r="L100">
        <v>43028</v>
      </c>
      <c r="N100" t="s">
        <v>65</v>
      </c>
      <c r="O100" t="s">
        <v>66</v>
      </c>
      <c r="P100" t="s">
        <v>477</v>
      </c>
    </row>
    <row r="101" spans="1:16" x14ac:dyDescent="0.2">
      <c r="A101" t="s">
        <v>478</v>
      </c>
      <c r="B101" t="s">
        <v>479</v>
      </c>
      <c r="C101" t="s">
        <v>59</v>
      </c>
      <c r="D101" t="s">
        <v>102</v>
      </c>
      <c r="F101" t="s">
        <v>480</v>
      </c>
      <c r="H101" t="s">
        <v>134</v>
      </c>
      <c r="J101">
        <v>2017</v>
      </c>
      <c r="K101" t="s">
        <v>297</v>
      </c>
      <c r="L101">
        <v>43051</v>
      </c>
      <c r="N101" t="s">
        <v>65</v>
      </c>
      <c r="O101" t="s">
        <v>66</v>
      </c>
      <c r="P101" t="s">
        <v>481</v>
      </c>
    </row>
    <row r="102" spans="1:16" x14ac:dyDescent="0.2">
      <c r="A102" t="s">
        <v>482</v>
      </c>
      <c r="B102" t="s">
        <v>390</v>
      </c>
      <c r="C102" t="s">
        <v>59</v>
      </c>
      <c r="D102" t="s">
        <v>154</v>
      </c>
      <c r="E102" t="s">
        <v>483</v>
      </c>
      <c r="F102" t="s">
        <v>484</v>
      </c>
      <c r="H102" t="s">
        <v>162</v>
      </c>
      <c r="J102">
        <v>2017</v>
      </c>
      <c r="K102" t="s">
        <v>158</v>
      </c>
      <c r="L102">
        <v>43008</v>
      </c>
      <c r="N102" t="s">
        <v>65</v>
      </c>
      <c r="O102" t="s">
        <v>66</v>
      </c>
      <c r="P102" t="s">
        <v>485</v>
      </c>
    </row>
    <row r="103" spans="1:16" x14ac:dyDescent="0.2">
      <c r="A103" t="s">
        <v>486</v>
      </c>
      <c r="B103" t="s">
        <v>487</v>
      </c>
      <c r="C103" t="s">
        <v>59</v>
      </c>
      <c r="D103" t="s">
        <v>167</v>
      </c>
      <c r="F103" t="s">
        <v>488</v>
      </c>
      <c r="H103" t="s">
        <v>489</v>
      </c>
      <c r="J103">
        <v>2017</v>
      </c>
      <c r="K103" t="s">
        <v>297</v>
      </c>
      <c r="L103">
        <v>43046</v>
      </c>
      <c r="N103" t="s">
        <v>65</v>
      </c>
      <c r="O103" t="s">
        <v>66</v>
      </c>
      <c r="P103" t="s">
        <v>490</v>
      </c>
    </row>
    <row r="104" spans="1:16" x14ac:dyDescent="0.2">
      <c r="A104" t="s">
        <v>491</v>
      </c>
      <c r="B104" t="s">
        <v>492</v>
      </c>
      <c r="C104" t="s">
        <v>59</v>
      </c>
      <c r="D104" t="s">
        <v>115</v>
      </c>
      <c r="F104" t="s">
        <v>493</v>
      </c>
      <c r="G104" t="s">
        <v>93</v>
      </c>
      <c r="H104" t="s">
        <v>494</v>
      </c>
      <c r="J104">
        <v>2017</v>
      </c>
      <c r="K104" t="s">
        <v>64</v>
      </c>
      <c r="L104">
        <v>43230</v>
      </c>
      <c r="N104" t="s">
        <v>65</v>
      </c>
      <c r="O104" t="s">
        <v>66</v>
      </c>
      <c r="P104" t="s">
        <v>495</v>
      </c>
    </row>
    <row r="105" spans="1:16" x14ac:dyDescent="0.2">
      <c r="A105" t="s">
        <v>496</v>
      </c>
      <c r="B105" t="s">
        <v>497</v>
      </c>
      <c r="C105" t="s">
        <v>59</v>
      </c>
      <c r="D105" t="s">
        <v>498</v>
      </c>
      <c r="F105" t="s">
        <v>499</v>
      </c>
      <c r="G105" t="s">
        <v>500</v>
      </c>
      <c r="H105" t="s">
        <v>134</v>
      </c>
      <c r="J105">
        <v>2017</v>
      </c>
      <c r="K105" t="s">
        <v>158</v>
      </c>
      <c r="L105">
        <v>43091</v>
      </c>
      <c r="N105" t="s">
        <v>65</v>
      </c>
      <c r="O105" t="s">
        <v>66</v>
      </c>
      <c r="P105" t="s">
        <v>501</v>
      </c>
    </row>
    <row r="106" spans="1:16" x14ac:dyDescent="0.2">
      <c r="A106" t="s">
        <v>502</v>
      </c>
      <c r="B106" t="s">
        <v>503</v>
      </c>
      <c r="C106" t="s">
        <v>59</v>
      </c>
      <c r="D106" t="s">
        <v>504</v>
      </c>
      <c r="E106" t="s">
        <v>253</v>
      </c>
      <c r="F106" t="s">
        <v>505</v>
      </c>
      <c r="H106" t="s">
        <v>134</v>
      </c>
      <c r="J106">
        <v>2017</v>
      </c>
      <c r="K106" t="s">
        <v>221</v>
      </c>
      <c r="L106">
        <v>43159</v>
      </c>
      <c r="N106" t="s">
        <v>65</v>
      </c>
      <c r="O106" t="s">
        <v>66</v>
      </c>
      <c r="P106" t="s">
        <v>506</v>
      </c>
    </row>
    <row r="107" spans="1:16" x14ac:dyDescent="0.2">
      <c r="A107" t="s">
        <v>502</v>
      </c>
      <c r="B107" t="s">
        <v>507</v>
      </c>
      <c r="C107" t="s">
        <v>59</v>
      </c>
      <c r="D107" t="s">
        <v>504</v>
      </c>
      <c r="E107" t="s">
        <v>253</v>
      </c>
      <c r="F107" t="s">
        <v>505</v>
      </c>
      <c r="G107" t="s">
        <v>508</v>
      </c>
      <c r="H107" t="s">
        <v>134</v>
      </c>
      <c r="J107">
        <v>2017</v>
      </c>
      <c r="K107" t="s">
        <v>158</v>
      </c>
      <c r="L107">
        <v>43159</v>
      </c>
      <c r="N107" t="s">
        <v>65</v>
      </c>
      <c r="O107" t="s">
        <v>66</v>
      </c>
      <c r="P107" t="s">
        <v>506</v>
      </c>
    </row>
    <row r="108" spans="1:16" x14ac:dyDescent="0.2">
      <c r="A108" t="s">
        <v>502</v>
      </c>
      <c r="B108" t="s">
        <v>509</v>
      </c>
      <c r="C108" t="s">
        <v>59</v>
      </c>
      <c r="D108" t="s">
        <v>504</v>
      </c>
      <c r="E108" t="s">
        <v>253</v>
      </c>
      <c r="F108" t="s">
        <v>505</v>
      </c>
      <c r="G108" t="s">
        <v>510</v>
      </c>
      <c r="H108" t="s">
        <v>134</v>
      </c>
      <c r="J108">
        <v>2018</v>
      </c>
      <c r="K108" t="s">
        <v>221</v>
      </c>
      <c r="L108">
        <v>43294</v>
      </c>
      <c r="N108" t="s">
        <v>71</v>
      </c>
      <c r="O108" t="s">
        <v>66</v>
      </c>
      <c r="P108" t="s">
        <v>511</v>
      </c>
    </row>
    <row r="109" spans="1:16" x14ac:dyDescent="0.2">
      <c r="A109" t="s">
        <v>512</v>
      </c>
      <c r="B109" t="s">
        <v>513</v>
      </c>
      <c r="C109" t="s">
        <v>59</v>
      </c>
      <c r="D109" t="s">
        <v>167</v>
      </c>
      <c r="F109" t="s">
        <v>514</v>
      </c>
      <c r="H109" t="s">
        <v>117</v>
      </c>
      <c r="J109">
        <v>2017</v>
      </c>
      <c r="K109" t="s">
        <v>158</v>
      </c>
      <c r="L109">
        <v>43089</v>
      </c>
      <c r="M109" t="s">
        <v>515</v>
      </c>
      <c r="N109" t="s">
        <v>65</v>
      </c>
      <c r="O109" t="s">
        <v>66</v>
      </c>
      <c r="P109" t="s">
        <v>516</v>
      </c>
    </row>
    <row r="110" spans="1:16" x14ac:dyDescent="0.2">
      <c r="A110" t="s">
        <v>517</v>
      </c>
      <c r="B110" t="s">
        <v>518</v>
      </c>
      <c r="C110" t="s">
        <v>59</v>
      </c>
      <c r="D110" t="s">
        <v>121</v>
      </c>
      <c r="E110" t="s">
        <v>115</v>
      </c>
      <c r="F110" t="s">
        <v>519</v>
      </c>
      <c r="G110" t="s">
        <v>500</v>
      </c>
      <c r="H110" t="s">
        <v>134</v>
      </c>
      <c r="J110">
        <v>2017</v>
      </c>
      <c r="K110" t="s">
        <v>158</v>
      </c>
      <c r="L110">
        <v>43091</v>
      </c>
      <c r="M110" t="s">
        <v>520</v>
      </c>
      <c r="N110" t="s">
        <v>65</v>
      </c>
      <c r="O110" t="s">
        <v>66</v>
      </c>
      <c r="P110" t="s">
        <v>521</v>
      </c>
    </row>
    <row r="111" spans="1:16" x14ac:dyDescent="0.2">
      <c r="A111" t="s">
        <v>517</v>
      </c>
      <c r="B111" t="s">
        <v>522</v>
      </c>
      <c r="C111" t="s">
        <v>59</v>
      </c>
      <c r="D111" t="s">
        <v>121</v>
      </c>
      <c r="E111" t="s">
        <v>115</v>
      </c>
      <c r="F111" t="s">
        <v>519</v>
      </c>
      <c r="G111" t="s">
        <v>500</v>
      </c>
      <c r="H111" t="s">
        <v>134</v>
      </c>
      <c r="J111">
        <v>2017</v>
      </c>
      <c r="K111" t="s">
        <v>158</v>
      </c>
      <c r="L111">
        <v>43091</v>
      </c>
      <c r="M111" t="s">
        <v>523</v>
      </c>
      <c r="N111" t="s">
        <v>65</v>
      </c>
      <c r="O111" t="s">
        <v>66</v>
      </c>
      <c r="P111" t="s">
        <v>521</v>
      </c>
    </row>
    <row r="112" spans="1:16" x14ac:dyDescent="0.2">
      <c r="A112" t="s">
        <v>517</v>
      </c>
      <c r="B112" t="s">
        <v>524</v>
      </c>
      <c r="C112" t="s">
        <v>59</v>
      </c>
      <c r="D112" t="s">
        <v>121</v>
      </c>
      <c r="E112" t="s">
        <v>115</v>
      </c>
      <c r="F112" t="s">
        <v>519</v>
      </c>
      <c r="G112" t="s">
        <v>525</v>
      </c>
      <c r="H112" t="s">
        <v>134</v>
      </c>
      <c r="J112">
        <v>2018</v>
      </c>
      <c r="K112" t="s">
        <v>297</v>
      </c>
      <c r="L112">
        <v>43189</v>
      </c>
      <c r="N112" t="s">
        <v>65</v>
      </c>
      <c r="O112" t="s">
        <v>66</v>
      </c>
      <c r="P112" t="s">
        <v>526</v>
      </c>
    </row>
    <row r="113" spans="1:16" x14ac:dyDescent="0.2">
      <c r="A113" t="s">
        <v>527</v>
      </c>
      <c r="B113" t="s">
        <v>528</v>
      </c>
      <c r="C113" t="s">
        <v>59</v>
      </c>
      <c r="D113" t="s">
        <v>529</v>
      </c>
      <c r="F113" t="s">
        <v>530</v>
      </c>
      <c r="G113" t="s">
        <v>531</v>
      </c>
      <c r="H113" t="s">
        <v>110</v>
      </c>
      <c r="J113">
        <v>2017</v>
      </c>
      <c r="K113" t="s">
        <v>158</v>
      </c>
      <c r="L113">
        <v>43133</v>
      </c>
      <c r="N113" t="s">
        <v>65</v>
      </c>
      <c r="O113" t="s">
        <v>66</v>
      </c>
      <c r="P113" t="s">
        <v>532</v>
      </c>
    </row>
    <row r="114" spans="1:16" x14ac:dyDescent="0.2">
      <c r="A114" t="s">
        <v>533</v>
      </c>
      <c r="B114" t="s">
        <v>534</v>
      </c>
      <c r="C114" t="s">
        <v>59</v>
      </c>
      <c r="D114" t="s">
        <v>82</v>
      </c>
      <c r="F114" t="s">
        <v>535</v>
      </c>
      <c r="H114" t="s">
        <v>423</v>
      </c>
      <c r="J114">
        <v>2017</v>
      </c>
      <c r="K114" t="s">
        <v>64</v>
      </c>
      <c r="L114">
        <v>43160</v>
      </c>
      <c r="N114" t="s">
        <v>65</v>
      </c>
      <c r="O114" t="s">
        <v>66</v>
      </c>
      <c r="P114" t="s">
        <v>536</v>
      </c>
    </row>
    <row r="115" spans="1:16" x14ac:dyDescent="0.2">
      <c r="A115" t="s">
        <v>537</v>
      </c>
      <c r="B115" t="s">
        <v>538</v>
      </c>
      <c r="C115" t="s">
        <v>59</v>
      </c>
      <c r="D115" t="s">
        <v>167</v>
      </c>
      <c r="E115" t="s">
        <v>253</v>
      </c>
      <c r="F115" t="s">
        <v>539</v>
      </c>
      <c r="H115" t="s">
        <v>367</v>
      </c>
      <c r="J115">
        <v>2017</v>
      </c>
      <c r="K115" t="s">
        <v>158</v>
      </c>
      <c r="L115">
        <v>43137</v>
      </c>
      <c r="N115" t="s">
        <v>65</v>
      </c>
      <c r="O115" t="s">
        <v>66</v>
      </c>
      <c r="P115" t="s">
        <v>540</v>
      </c>
    </row>
    <row r="116" spans="1:16" x14ac:dyDescent="0.2">
      <c r="A116" t="s">
        <v>541</v>
      </c>
      <c r="B116" t="s">
        <v>542</v>
      </c>
      <c r="C116" t="s">
        <v>59</v>
      </c>
      <c r="D116" t="s">
        <v>60</v>
      </c>
      <c r="F116" t="s">
        <v>543</v>
      </c>
      <c r="H116" t="s">
        <v>423</v>
      </c>
      <c r="J116">
        <v>2017</v>
      </c>
      <c r="K116" t="s">
        <v>202</v>
      </c>
      <c r="L116">
        <v>43301</v>
      </c>
      <c r="M116" t="s">
        <v>544</v>
      </c>
      <c r="N116" t="s">
        <v>71</v>
      </c>
      <c r="O116" t="s">
        <v>361</v>
      </c>
      <c r="P116" t="s">
        <v>546</v>
      </c>
    </row>
    <row r="117" spans="1:16" x14ac:dyDescent="0.2">
      <c r="A117" t="s">
        <v>547</v>
      </c>
      <c r="B117" t="s">
        <v>548</v>
      </c>
      <c r="C117" t="s">
        <v>59</v>
      </c>
      <c r="D117" t="s">
        <v>358</v>
      </c>
      <c r="F117" t="s">
        <v>359</v>
      </c>
      <c r="G117" t="s">
        <v>139</v>
      </c>
      <c r="H117" t="s">
        <v>77</v>
      </c>
      <c r="J117">
        <v>2018</v>
      </c>
      <c r="K117" t="s">
        <v>158</v>
      </c>
      <c r="L117">
        <v>43250</v>
      </c>
      <c r="N117" t="s">
        <v>65</v>
      </c>
      <c r="O117" t="s">
        <v>66</v>
      </c>
      <c r="P117" t="s">
        <v>549</v>
      </c>
    </row>
    <row r="118" spans="1:16" x14ac:dyDescent="0.2">
      <c r="A118" t="s">
        <v>550</v>
      </c>
      <c r="B118" t="s">
        <v>551</v>
      </c>
      <c r="C118" t="s">
        <v>59</v>
      </c>
      <c r="D118" t="s">
        <v>552</v>
      </c>
      <c r="E118" t="s">
        <v>270</v>
      </c>
      <c r="F118" t="s">
        <v>553</v>
      </c>
      <c r="H118" t="s">
        <v>554</v>
      </c>
      <c r="J118">
        <v>2017</v>
      </c>
      <c r="K118" t="s">
        <v>202</v>
      </c>
      <c r="L118">
        <v>43373</v>
      </c>
      <c r="N118" t="s">
        <v>65</v>
      </c>
      <c r="O118" t="s">
        <v>66</v>
      </c>
      <c r="P118" t="s">
        <v>555</v>
      </c>
    </row>
    <row r="119" spans="1:16" x14ac:dyDescent="0.2">
      <c r="A119" t="s">
        <v>556</v>
      </c>
      <c r="B119" t="s">
        <v>557</v>
      </c>
      <c r="C119" t="s">
        <v>59</v>
      </c>
      <c r="D119" t="s">
        <v>60</v>
      </c>
      <c r="E119" t="s">
        <v>270</v>
      </c>
      <c r="F119" t="s">
        <v>558</v>
      </c>
      <c r="H119" t="s">
        <v>554</v>
      </c>
      <c r="J119">
        <v>2017</v>
      </c>
      <c r="K119" t="s">
        <v>221</v>
      </c>
      <c r="L119">
        <v>43223</v>
      </c>
      <c r="N119" t="s">
        <v>65</v>
      </c>
      <c r="O119" t="s">
        <v>66</v>
      </c>
      <c r="P119" t="s">
        <v>559</v>
      </c>
    </row>
    <row r="120" spans="1:16" x14ac:dyDescent="0.2">
      <c r="A120" t="s">
        <v>560</v>
      </c>
      <c r="C120" t="s">
        <v>59</v>
      </c>
      <c r="D120" t="s">
        <v>167</v>
      </c>
      <c r="E120" t="s">
        <v>561</v>
      </c>
      <c r="F120" t="s">
        <v>108</v>
      </c>
      <c r="H120" t="s">
        <v>110</v>
      </c>
      <c r="J120">
        <v>2017</v>
      </c>
      <c r="K120" t="s">
        <v>202</v>
      </c>
      <c r="M120" t="s">
        <v>562</v>
      </c>
      <c r="N120" t="s">
        <v>65</v>
      </c>
      <c r="O120" t="s">
        <v>66</v>
      </c>
      <c r="P120" t="s">
        <v>563</v>
      </c>
    </row>
    <row r="121" spans="1:16" x14ac:dyDescent="0.2">
      <c r="A121" t="s">
        <v>564</v>
      </c>
      <c r="B121" t="s">
        <v>390</v>
      </c>
      <c r="C121" t="s">
        <v>59</v>
      </c>
      <c r="D121" t="s">
        <v>154</v>
      </c>
      <c r="E121" t="s">
        <v>565</v>
      </c>
      <c r="F121" t="s">
        <v>484</v>
      </c>
      <c r="H121" t="s">
        <v>162</v>
      </c>
      <c r="J121">
        <v>2017</v>
      </c>
      <c r="K121" t="s">
        <v>158</v>
      </c>
      <c r="L121">
        <v>43084</v>
      </c>
      <c r="N121" t="s">
        <v>65</v>
      </c>
      <c r="O121" t="s">
        <v>66</v>
      </c>
      <c r="P121" t="s">
        <v>566</v>
      </c>
    </row>
    <row r="122" spans="1:16" x14ac:dyDescent="0.2">
      <c r="A122" t="s">
        <v>567</v>
      </c>
      <c r="B122" t="s">
        <v>568</v>
      </c>
      <c r="C122" t="s">
        <v>59</v>
      </c>
      <c r="D122" t="s">
        <v>343</v>
      </c>
      <c r="F122" t="s">
        <v>344</v>
      </c>
      <c r="G122" t="s">
        <v>569</v>
      </c>
      <c r="H122" t="s">
        <v>77</v>
      </c>
      <c r="J122">
        <v>2017</v>
      </c>
      <c r="K122" t="s">
        <v>346</v>
      </c>
      <c r="L122">
        <v>43172</v>
      </c>
      <c r="M122" t="s">
        <v>570</v>
      </c>
      <c r="N122" t="s">
        <v>71</v>
      </c>
      <c r="O122" t="s">
        <v>66</v>
      </c>
      <c r="P122" t="s">
        <v>571</v>
      </c>
    </row>
    <row r="123" spans="1:16" x14ac:dyDescent="0.2">
      <c r="A123" t="s">
        <v>572</v>
      </c>
      <c r="B123" t="s">
        <v>390</v>
      </c>
      <c r="C123" t="s">
        <v>59</v>
      </c>
      <c r="D123" t="s">
        <v>154</v>
      </c>
      <c r="E123" t="s">
        <v>573</v>
      </c>
      <c r="F123" t="s">
        <v>574</v>
      </c>
      <c r="H123" t="s">
        <v>423</v>
      </c>
      <c r="J123">
        <v>2017</v>
      </c>
      <c r="K123" t="s">
        <v>158</v>
      </c>
      <c r="L123">
        <v>43054</v>
      </c>
      <c r="N123" t="s">
        <v>390</v>
      </c>
      <c r="O123" t="s">
        <v>66</v>
      </c>
      <c r="P123" t="s">
        <v>575</v>
      </c>
    </row>
    <row r="124" spans="1:16" x14ac:dyDescent="0.2">
      <c r="A124" t="s">
        <v>576</v>
      </c>
      <c r="B124" t="s">
        <v>577</v>
      </c>
      <c r="C124" t="s">
        <v>59</v>
      </c>
      <c r="D124" t="s">
        <v>107</v>
      </c>
      <c r="F124" t="s">
        <v>108</v>
      </c>
      <c r="G124" t="s">
        <v>578</v>
      </c>
      <c r="H124" t="s">
        <v>110</v>
      </c>
      <c r="J124">
        <v>2018</v>
      </c>
      <c r="K124" t="s">
        <v>221</v>
      </c>
      <c r="L124">
        <v>43168</v>
      </c>
      <c r="M124" t="s">
        <v>579</v>
      </c>
      <c r="N124" t="s">
        <v>65</v>
      </c>
      <c r="O124" t="s">
        <v>66</v>
      </c>
      <c r="P124" t="s">
        <v>580</v>
      </c>
    </row>
    <row r="125" spans="1:16" x14ac:dyDescent="0.2">
      <c r="A125" t="s">
        <v>581</v>
      </c>
      <c r="B125" t="s">
        <v>582</v>
      </c>
      <c r="C125" t="s">
        <v>59</v>
      </c>
      <c r="D125" t="s">
        <v>115</v>
      </c>
      <c r="F125" t="s">
        <v>583</v>
      </c>
      <c r="G125" t="s">
        <v>584</v>
      </c>
      <c r="H125" t="s">
        <v>209</v>
      </c>
      <c r="J125">
        <v>2018</v>
      </c>
      <c r="K125" t="s">
        <v>64</v>
      </c>
      <c r="L125" t="s">
        <v>585</v>
      </c>
      <c r="M125" t="s">
        <v>586</v>
      </c>
      <c r="N125" t="s">
        <v>65</v>
      </c>
      <c r="O125" t="s">
        <v>66</v>
      </c>
      <c r="P125" t="s">
        <v>587</v>
      </c>
    </row>
    <row r="126" spans="1:16" x14ac:dyDescent="0.2">
      <c r="A126" t="s">
        <v>588</v>
      </c>
      <c r="B126" t="s">
        <v>589</v>
      </c>
      <c r="C126" t="s">
        <v>59</v>
      </c>
      <c r="D126" t="s">
        <v>590</v>
      </c>
      <c r="F126" t="s">
        <v>591</v>
      </c>
      <c r="G126" t="s">
        <v>592</v>
      </c>
      <c r="H126" t="s">
        <v>134</v>
      </c>
      <c r="J126">
        <v>2018</v>
      </c>
      <c r="K126" t="s">
        <v>158</v>
      </c>
      <c r="L126" t="s">
        <v>593</v>
      </c>
      <c r="N126" t="s">
        <v>65</v>
      </c>
      <c r="O126" t="s">
        <v>66</v>
      </c>
      <c r="P126" t="s">
        <v>594</v>
      </c>
    </row>
    <row r="127" spans="1:16" x14ac:dyDescent="0.2">
      <c r="A127" t="s">
        <v>595</v>
      </c>
      <c r="B127" t="s">
        <v>596</v>
      </c>
      <c r="C127" t="s">
        <v>59</v>
      </c>
      <c r="D127" t="s">
        <v>590</v>
      </c>
      <c r="F127" t="s">
        <v>597</v>
      </c>
      <c r="G127" t="s">
        <v>592</v>
      </c>
      <c r="H127" t="s">
        <v>598</v>
      </c>
      <c r="J127">
        <v>2018</v>
      </c>
      <c r="K127" t="s">
        <v>158</v>
      </c>
      <c r="L127">
        <v>43265</v>
      </c>
      <c r="N127" t="s">
        <v>65</v>
      </c>
      <c r="O127" t="s">
        <v>66</v>
      </c>
      <c r="P127" t="s">
        <v>599</v>
      </c>
    </row>
    <row r="128" spans="1:16" x14ac:dyDescent="0.2">
      <c r="A128" t="s">
        <v>600</v>
      </c>
      <c r="B128" t="s">
        <v>601</v>
      </c>
      <c r="C128" t="s">
        <v>59</v>
      </c>
      <c r="D128" t="s">
        <v>602</v>
      </c>
      <c r="E128" t="s">
        <v>115</v>
      </c>
      <c r="F128" t="s">
        <v>603</v>
      </c>
      <c r="H128" t="s">
        <v>604</v>
      </c>
      <c r="J128">
        <v>2018</v>
      </c>
      <c r="K128" t="s">
        <v>202</v>
      </c>
      <c r="L128">
        <v>43411</v>
      </c>
      <c r="N128" t="s">
        <v>65</v>
      </c>
      <c r="O128" t="s">
        <v>66</v>
      </c>
      <c r="P128" t="s">
        <v>605</v>
      </c>
    </row>
    <row r="129" spans="1:16" x14ac:dyDescent="0.2">
      <c r="A129" t="s">
        <v>600</v>
      </c>
      <c r="B129" t="s">
        <v>606</v>
      </c>
      <c r="C129" t="s">
        <v>59</v>
      </c>
      <c r="D129" t="s">
        <v>602</v>
      </c>
      <c r="E129" t="s">
        <v>115</v>
      </c>
      <c r="F129" t="s">
        <v>603</v>
      </c>
      <c r="H129" t="s">
        <v>604</v>
      </c>
      <c r="J129">
        <v>2018</v>
      </c>
      <c r="K129" t="s">
        <v>202</v>
      </c>
      <c r="L129">
        <v>43399</v>
      </c>
      <c r="N129" t="s">
        <v>65</v>
      </c>
      <c r="O129" t="s">
        <v>66</v>
      </c>
      <c r="P129" t="s">
        <v>605</v>
      </c>
    </row>
    <row r="130" spans="1:16" x14ac:dyDescent="0.2">
      <c r="A130" t="s">
        <v>607</v>
      </c>
      <c r="B130" t="s">
        <v>608</v>
      </c>
      <c r="C130" t="s">
        <v>59</v>
      </c>
      <c r="D130" t="s">
        <v>82</v>
      </c>
      <c r="E130" t="s">
        <v>609</v>
      </c>
      <c r="G130" t="s">
        <v>610</v>
      </c>
      <c r="H130" t="s">
        <v>110</v>
      </c>
      <c r="J130">
        <v>2018</v>
      </c>
      <c r="K130" t="s">
        <v>297</v>
      </c>
      <c r="L130">
        <v>43131</v>
      </c>
      <c r="N130" t="s">
        <v>71</v>
      </c>
      <c r="O130" t="s">
        <v>66</v>
      </c>
      <c r="P130" t="s">
        <v>611</v>
      </c>
    </row>
    <row r="131" spans="1:16" x14ac:dyDescent="0.2">
      <c r="A131" t="s">
        <v>612</v>
      </c>
      <c r="B131" t="s">
        <v>613</v>
      </c>
      <c r="C131" t="s">
        <v>59</v>
      </c>
      <c r="D131" t="s">
        <v>386</v>
      </c>
      <c r="E131" t="s">
        <v>270</v>
      </c>
      <c r="F131" t="s">
        <v>452</v>
      </c>
      <c r="G131" t="s">
        <v>614</v>
      </c>
      <c r="H131" t="s">
        <v>77</v>
      </c>
      <c r="J131">
        <v>2018</v>
      </c>
      <c r="K131" t="s">
        <v>158</v>
      </c>
      <c r="L131">
        <v>43221</v>
      </c>
      <c r="M131" t="s">
        <v>389</v>
      </c>
      <c r="N131" t="s">
        <v>71</v>
      </c>
      <c r="O131" t="s">
        <v>66</v>
      </c>
      <c r="P131" t="s">
        <v>615</v>
      </c>
    </row>
    <row r="132" spans="1:16" x14ac:dyDescent="0.2">
      <c r="A132" t="s">
        <v>616</v>
      </c>
      <c r="B132" t="s">
        <v>390</v>
      </c>
      <c r="C132" t="s">
        <v>59</v>
      </c>
      <c r="D132" t="s">
        <v>154</v>
      </c>
      <c r="E132" t="s">
        <v>386</v>
      </c>
      <c r="F132" t="s">
        <v>617</v>
      </c>
      <c r="H132" t="s">
        <v>77</v>
      </c>
      <c r="J132">
        <v>2018</v>
      </c>
      <c r="K132" t="s">
        <v>158</v>
      </c>
      <c r="L132">
        <v>43190</v>
      </c>
      <c r="N132" t="s">
        <v>390</v>
      </c>
      <c r="O132" t="s">
        <v>66</v>
      </c>
      <c r="P132" t="s">
        <v>618</v>
      </c>
    </row>
    <row r="133" spans="1:16" x14ac:dyDescent="0.2">
      <c r="A133" t="s">
        <v>619</v>
      </c>
      <c r="B133" t="s">
        <v>620</v>
      </c>
      <c r="C133" t="s">
        <v>59</v>
      </c>
      <c r="D133" t="s">
        <v>121</v>
      </c>
      <c r="E133" t="s">
        <v>115</v>
      </c>
      <c r="F133" t="s">
        <v>591</v>
      </c>
      <c r="G133" t="s">
        <v>621</v>
      </c>
      <c r="H133" t="s">
        <v>134</v>
      </c>
      <c r="J133">
        <v>2018</v>
      </c>
      <c r="K133" t="s">
        <v>158</v>
      </c>
      <c r="L133">
        <v>43250</v>
      </c>
      <c r="N133" t="s">
        <v>65</v>
      </c>
      <c r="O133" t="s">
        <v>66</v>
      </c>
      <c r="P133" t="s">
        <v>622</v>
      </c>
    </row>
    <row r="134" spans="1:16" x14ac:dyDescent="0.2">
      <c r="A134" t="s">
        <v>623</v>
      </c>
      <c r="B134" t="s">
        <v>624</v>
      </c>
      <c r="C134" t="s">
        <v>59</v>
      </c>
      <c r="D134" t="s">
        <v>121</v>
      </c>
      <c r="E134" t="s">
        <v>115</v>
      </c>
      <c r="F134" t="s">
        <v>597</v>
      </c>
      <c r="G134" t="s">
        <v>621</v>
      </c>
      <c r="H134" t="s">
        <v>598</v>
      </c>
      <c r="J134">
        <v>2018</v>
      </c>
      <c r="K134" t="s">
        <v>158</v>
      </c>
      <c r="L134">
        <v>43281</v>
      </c>
      <c r="N134" t="s">
        <v>65</v>
      </c>
      <c r="O134" t="s">
        <v>66</v>
      </c>
      <c r="P134" t="s">
        <v>625</v>
      </c>
    </row>
    <row r="135" spans="1:16" x14ac:dyDescent="0.2">
      <c r="A135" t="s">
        <v>626</v>
      </c>
      <c r="B135" t="s">
        <v>627</v>
      </c>
      <c r="C135" t="s">
        <v>59</v>
      </c>
      <c r="D135" t="s">
        <v>628</v>
      </c>
      <c r="E135" t="s">
        <v>366</v>
      </c>
      <c r="F135" t="s">
        <v>629</v>
      </c>
      <c r="H135" t="s">
        <v>367</v>
      </c>
      <c r="J135">
        <v>2018</v>
      </c>
      <c r="K135" t="s">
        <v>297</v>
      </c>
      <c r="L135">
        <v>43313</v>
      </c>
      <c r="N135" t="s">
        <v>65</v>
      </c>
      <c r="O135" t="s">
        <v>66</v>
      </c>
      <c r="P135" t="s">
        <v>630</v>
      </c>
    </row>
    <row r="136" spans="1:16" x14ac:dyDescent="0.2">
      <c r="A136" t="s">
        <v>631</v>
      </c>
      <c r="B136" t="s">
        <v>632</v>
      </c>
      <c r="C136" t="s">
        <v>59</v>
      </c>
      <c r="D136" t="s">
        <v>167</v>
      </c>
      <c r="E136" t="s">
        <v>633</v>
      </c>
      <c r="F136" t="s">
        <v>633</v>
      </c>
      <c r="G136" t="s">
        <v>634</v>
      </c>
      <c r="H136" t="s">
        <v>633</v>
      </c>
      <c r="J136">
        <v>2018</v>
      </c>
      <c r="K136" t="s">
        <v>297</v>
      </c>
      <c r="L136">
        <v>43231</v>
      </c>
      <c r="N136" t="s">
        <v>65</v>
      </c>
      <c r="O136" t="s">
        <v>66</v>
      </c>
      <c r="P136" t="s">
        <v>635</v>
      </c>
    </row>
    <row r="137" spans="1:16" x14ac:dyDescent="0.2">
      <c r="A137" t="s">
        <v>636</v>
      </c>
      <c r="B137" t="s">
        <v>637</v>
      </c>
      <c r="C137" t="s">
        <v>59</v>
      </c>
      <c r="D137" t="s">
        <v>638</v>
      </c>
      <c r="F137" t="s">
        <v>639</v>
      </c>
      <c r="H137" t="s">
        <v>489</v>
      </c>
      <c r="J137">
        <v>2018</v>
      </c>
      <c r="K137" t="s">
        <v>64</v>
      </c>
      <c r="L137" t="s">
        <v>640</v>
      </c>
      <c r="M137" t="s">
        <v>641</v>
      </c>
      <c r="N137" t="s">
        <v>65</v>
      </c>
      <c r="P137" t="s">
        <v>642</v>
      </c>
    </row>
    <row r="138" spans="1:16" x14ac:dyDescent="0.2">
      <c r="A138" t="s">
        <v>636</v>
      </c>
      <c r="B138" t="s">
        <v>643</v>
      </c>
      <c r="C138" t="s">
        <v>59</v>
      </c>
      <c r="D138" t="s">
        <v>638</v>
      </c>
      <c r="F138" t="s">
        <v>639</v>
      </c>
      <c r="H138" t="s">
        <v>489</v>
      </c>
      <c r="J138">
        <v>2018</v>
      </c>
      <c r="K138" t="s">
        <v>64</v>
      </c>
      <c r="L138">
        <v>43371</v>
      </c>
      <c r="N138" t="s">
        <v>65</v>
      </c>
      <c r="O138" t="s">
        <v>66</v>
      </c>
      <c r="P138" t="s">
        <v>642</v>
      </c>
    </row>
    <row r="139" spans="1:16" x14ac:dyDescent="0.2">
      <c r="A139" t="s">
        <v>644</v>
      </c>
      <c r="B139" t="s">
        <v>645</v>
      </c>
      <c r="C139" t="s">
        <v>59</v>
      </c>
      <c r="D139" t="s">
        <v>306</v>
      </c>
      <c r="E139" t="s">
        <v>300</v>
      </c>
      <c r="F139" t="s">
        <v>646</v>
      </c>
      <c r="G139" t="s">
        <v>647</v>
      </c>
      <c r="H139" t="s">
        <v>117</v>
      </c>
      <c r="J139">
        <v>2018</v>
      </c>
      <c r="K139" t="s">
        <v>471</v>
      </c>
      <c r="L139">
        <v>43185</v>
      </c>
      <c r="N139" t="s">
        <v>65</v>
      </c>
      <c r="O139" t="s">
        <v>66</v>
      </c>
      <c r="P139" t="s">
        <v>648</v>
      </c>
    </row>
    <row r="140" spans="1:16" x14ac:dyDescent="0.2">
      <c r="A140" t="s">
        <v>649</v>
      </c>
      <c r="B140" t="s">
        <v>650</v>
      </c>
      <c r="C140" t="s">
        <v>59</v>
      </c>
      <c r="D140" t="s">
        <v>651</v>
      </c>
      <c r="E140" t="s">
        <v>652</v>
      </c>
      <c r="F140" t="s">
        <v>653</v>
      </c>
      <c r="G140" t="s">
        <v>654</v>
      </c>
      <c r="H140" t="s">
        <v>77</v>
      </c>
      <c r="J140">
        <v>2018</v>
      </c>
      <c r="K140" t="s">
        <v>471</v>
      </c>
      <c r="L140">
        <v>43291</v>
      </c>
      <c r="N140" t="s">
        <v>65</v>
      </c>
      <c r="O140" t="s">
        <v>66</v>
      </c>
      <c r="P140" t="s">
        <v>655</v>
      </c>
    </row>
    <row r="141" spans="1:16" x14ac:dyDescent="0.2">
      <c r="A141" t="s">
        <v>649</v>
      </c>
      <c r="B141" t="s">
        <v>656</v>
      </c>
      <c r="C141" t="s">
        <v>59</v>
      </c>
      <c r="D141" t="s">
        <v>651</v>
      </c>
      <c r="E141" t="s">
        <v>652</v>
      </c>
      <c r="F141" t="s">
        <v>653</v>
      </c>
      <c r="H141" t="s">
        <v>77</v>
      </c>
      <c r="J141">
        <v>2018</v>
      </c>
      <c r="K141" t="s">
        <v>471</v>
      </c>
      <c r="L141">
        <v>43434</v>
      </c>
      <c r="M141" t="s">
        <v>657</v>
      </c>
      <c r="N141" t="s">
        <v>65</v>
      </c>
      <c r="P141" t="s">
        <v>655</v>
      </c>
    </row>
    <row r="142" spans="1:16" x14ac:dyDescent="0.2">
      <c r="A142" t="s">
        <v>658</v>
      </c>
      <c r="B142" t="s">
        <v>659</v>
      </c>
      <c r="C142" t="s">
        <v>59</v>
      </c>
      <c r="D142" t="s">
        <v>660</v>
      </c>
      <c r="E142" t="s">
        <v>343</v>
      </c>
      <c r="F142" t="s">
        <v>661</v>
      </c>
      <c r="G142" t="s">
        <v>662</v>
      </c>
      <c r="H142" t="s">
        <v>77</v>
      </c>
      <c r="J142">
        <v>2018</v>
      </c>
      <c r="K142" t="s">
        <v>471</v>
      </c>
      <c r="L142">
        <v>43283</v>
      </c>
      <c r="M142" t="s">
        <v>657</v>
      </c>
      <c r="N142" t="s">
        <v>65</v>
      </c>
      <c r="O142" t="s">
        <v>66</v>
      </c>
      <c r="P142" t="s">
        <v>663</v>
      </c>
    </row>
    <row r="143" spans="1:16" x14ac:dyDescent="0.2">
      <c r="A143" t="s">
        <v>658</v>
      </c>
      <c r="B143" t="s">
        <v>664</v>
      </c>
      <c r="C143" t="s">
        <v>59</v>
      </c>
      <c r="D143" t="s">
        <v>660</v>
      </c>
      <c r="E143" t="s">
        <v>343</v>
      </c>
      <c r="F143" t="s">
        <v>661</v>
      </c>
      <c r="G143" t="s">
        <v>662</v>
      </c>
      <c r="H143" t="s">
        <v>77</v>
      </c>
      <c r="J143">
        <v>2018</v>
      </c>
      <c r="K143" t="s">
        <v>471</v>
      </c>
      <c r="L143">
        <v>43322</v>
      </c>
      <c r="N143" t="s">
        <v>65</v>
      </c>
      <c r="O143" t="s">
        <v>66</v>
      </c>
      <c r="P143" t="s">
        <v>663</v>
      </c>
    </row>
    <row r="144" spans="1:16" x14ac:dyDescent="0.2">
      <c r="A144" t="s">
        <v>665</v>
      </c>
      <c r="B144" t="s">
        <v>666</v>
      </c>
      <c r="C144" t="s">
        <v>59</v>
      </c>
      <c r="D144" t="s">
        <v>667</v>
      </c>
      <c r="F144" t="s">
        <v>668</v>
      </c>
      <c r="H144" t="s">
        <v>162</v>
      </c>
      <c r="J144">
        <v>2018</v>
      </c>
      <c r="K144" t="s">
        <v>221</v>
      </c>
      <c r="L144">
        <v>43240</v>
      </c>
      <c r="N144" t="s">
        <v>71</v>
      </c>
      <c r="O144" t="s">
        <v>66</v>
      </c>
      <c r="P144" t="s">
        <v>669</v>
      </c>
    </row>
    <row r="145" spans="1:16" x14ac:dyDescent="0.2">
      <c r="A145" t="s">
        <v>670</v>
      </c>
      <c r="B145" t="s">
        <v>671</v>
      </c>
      <c r="C145" t="s">
        <v>59</v>
      </c>
      <c r="D145" t="s">
        <v>386</v>
      </c>
      <c r="F145" t="s">
        <v>672</v>
      </c>
      <c r="H145" t="s">
        <v>489</v>
      </c>
      <c r="J145">
        <v>2018</v>
      </c>
      <c r="K145" t="s">
        <v>158</v>
      </c>
      <c r="L145">
        <v>43245</v>
      </c>
      <c r="N145" t="s">
        <v>390</v>
      </c>
      <c r="O145" t="s">
        <v>66</v>
      </c>
      <c r="P145" t="s">
        <v>673</v>
      </c>
    </row>
    <row r="146" spans="1:16" x14ac:dyDescent="0.2">
      <c r="A146" t="s">
        <v>674</v>
      </c>
      <c r="B146" t="s">
        <v>390</v>
      </c>
      <c r="C146" t="s">
        <v>59</v>
      </c>
      <c r="D146" t="s">
        <v>154</v>
      </c>
      <c r="F146" t="s">
        <v>675</v>
      </c>
      <c r="H146" t="s">
        <v>676</v>
      </c>
      <c r="J146">
        <v>2018</v>
      </c>
      <c r="K146" t="s">
        <v>158</v>
      </c>
      <c r="L146">
        <v>43373</v>
      </c>
      <c r="N146" t="s">
        <v>390</v>
      </c>
      <c r="O146" t="s">
        <v>66</v>
      </c>
      <c r="P146" t="s">
        <v>677</v>
      </c>
    </row>
    <row r="147" spans="1:16" x14ac:dyDescent="0.2">
      <c r="A147" t="s">
        <v>678</v>
      </c>
      <c r="B147" t="s">
        <v>679</v>
      </c>
      <c r="C147" t="s">
        <v>59</v>
      </c>
      <c r="D147" t="s">
        <v>253</v>
      </c>
      <c r="F147" t="s">
        <v>453</v>
      </c>
      <c r="H147" t="s">
        <v>193</v>
      </c>
      <c r="J147">
        <v>2018</v>
      </c>
      <c r="K147" t="s">
        <v>221</v>
      </c>
      <c r="L147">
        <v>43249</v>
      </c>
      <c r="N147" t="s">
        <v>71</v>
      </c>
      <c r="O147" t="s">
        <v>66</v>
      </c>
      <c r="P147" t="s">
        <v>680</v>
      </c>
    </row>
    <row r="148" spans="1:16" x14ac:dyDescent="0.2">
      <c r="A148" t="s">
        <v>681</v>
      </c>
      <c r="B148" t="s">
        <v>390</v>
      </c>
      <c r="C148" t="s">
        <v>59</v>
      </c>
      <c r="D148" t="s">
        <v>154</v>
      </c>
      <c r="E148" t="s">
        <v>682</v>
      </c>
      <c r="F148" t="s">
        <v>574</v>
      </c>
      <c r="H148" t="s">
        <v>423</v>
      </c>
      <c r="J148">
        <v>2018</v>
      </c>
      <c r="K148" t="s">
        <v>158</v>
      </c>
      <c r="L148">
        <v>43205</v>
      </c>
      <c r="N148" t="s">
        <v>390</v>
      </c>
      <c r="O148" t="s">
        <v>66</v>
      </c>
      <c r="P148" t="s">
        <v>683</v>
      </c>
    </row>
    <row r="149" spans="1:16" x14ac:dyDescent="0.2">
      <c r="A149" t="s">
        <v>684</v>
      </c>
      <c r="B149" t="s">
        <v>671</v>
      </c>
      <c r="C149" t="s">
        <v>59</v>
      </c>
      <c r="D149" t="s">
        <v>154</v>
      </c>
      <c r="E149" t="s">
        <v>386</v>
      </c>
      <c r="F149" t="s">
        <v>672</v>
      </c>
      <c r="H149" t="s">
        <v>489</v>
      </c>
      <c r="J149">
        <v>2018</v>
      </c>
      <c r="K149" t="s">
        <v>158</v>
      </c>
      <c r="L149">
        <v>43190</v>
      </c>
      <c r="N149" t="s">
        <v>390</v>
      </c>
      <c r="O149" t="s">
        <v>66</v>
      </c>
      <c r="P149" t="s">
        <v>685</v>
      </c>
    </row>
    <row r="150" spans="1:16" x14ac:dyDescent="0.2">
      <c r="A150" t="s">
        <v>686</v>
      </c>
      <c r="B150" t="s">
        <v>687</v>
      </c>
      <c r="C150" t="s">
        <v>59</v>
      </c>
      <c r="D150" t="s">
        <v>386</v>
      </c>
      <c r="E150" t="s">
        <v>366</v>
      </c>
      <c r="F150" t="s">
        <v>629</v>
      </c>
      <c r="H150" t="s">
        <v>367</v>
      </c>
      <c r="J150">
        <v>2018</v>
      </c>
      <c r="K150" t="s">
        <v>158</v>
      </c>
      <c r="L150">
        <v>43259</v>
      </c>
      <c r="N150" t="s">
        <v>390</v>
      </c>
      <c r="O150" t="s">
        <v>66</v>
      </c>
      <c r="P150" t="s">
        <v>688</v>
      </c>
    </row>
    <row r="151" spans="1:16" x14ac:dyDescent="0.2">
      <c r="A151" t="s">
        <v>689</v>
      </c>
      <c r="B151" t="s">
        <v>690</v>
      </c>
      <c r="C151" t="s">
        <v>59</v>
      </c>
      <c r="D151" t="s">
        <v>121</v>
      </c>
      <c r="E151" t="s">
        <v>366</v>
      </c>
      <c r="F151" t="s">
        <v>691</v>
      </c>
      <c r="H151" t="s">
        <v>134</v>
      </c>
      <c r="J151">
        <v>2018</v>
      </c>
      <c r="K151" t="s">
        <v>471</v>
      </c>
      <c r="L151">
        <v>43350</v>
      </c>
      <c r="N151" t="s">
        <v>65</v>
      </c>
      <c r="O151" t="s">
        <v>66</v>
      </c>
      <c r="P151" t="s">
        <v>692</v>
      </c>
    </row>
    <row r="152" spans="1:16" x14ac:dyDescent="0.2">
      <c r="A152" t="s">
        <v>693</v>
      </c>
      <c r="B152" t="s">
        <v>694</v>
      </c>
      <c r="C152" t="s">
        <v>59</v>
      </c>
      <c r="D152" t="s">
        <v>121</v>
      </c>
      <c r="E152" t="s">
        <v>115</v>
      </c>
      <c r="F152" t="s">
        <v>493</v>
      </c>
      <c r="G152" t="s">
        <v>621</v>
      </c>
      <c r="H152" t="s">
        <v>494</v>
      </c>
      <c r="J152">
        <v>2018</v>
      </c>
      <c r="K152" t="s">
        <v>158</v>
      </c>
      <c r="L152">
        <v>43311</v>
      </c>
      <c r="N152" t="s">
        <v>65</v>
      </c>
      <c r="O152" t="s">
        <v>66</v>
      </c>
      <c r="P152" t="s">
        <v>695</v>
      </c>
    </row>
    <row r="153" spans="1:16" x14ac:dyDescent="0.2">
      <c r="A153" t="s">
        <v>693</v>
      </c>
      <c r="B153" t="s">
        <v>696</v>
      </c>
      <c r="C153" t="s">
        <v>59</v>
      </c>
      <c r="D153" t="s">
        <v>121</v>
      </c>
      <c r="E153" t="s">
        <v>115</v>
      </c>
      <c r="F153" t="s">
        <v>493</v>
      </c>
      <c r="G153" t="s">
        <v>697</v>
      </c>
      <c r="H153" t="s">
        <v>494</v>
      </c>
      <c r="J153">
        <v>2018</v>
      </c>
      <c r="K153" t="s">
        <v>297</v>
      </c>
      <c r="L153">
        <v>43340</v>
      </c>
      <c r="N153" t="s">
        <v>65</v>
      </c>
      <c r="O153" t="s">
        <v>66</v>
      </c>
      <c r="P153" t="s">
        <v>695</v>
      </c>
    </row>
    <row r="154" spans="1:16" x14ac:dyDescent="0.2">
      <c r="A154" t="s">
        <v>698</v>
      </c>
      <c r="B154" t="s">
        <v>699</v>
      </c>
      <c r="C154" t="s">
        <v>59</v>
      </c>
      <c r="D154" t="s">
        <v>60</v>
      </c>
      <c r="E154" t="s">
        <v>488</v>
      </c>
      <c r="F154" t="s">
        <v>700</v>
      </c>
      <c r="G154" t="s">
        <v>701</v>
      </c>
      <c r="H154" t="s">
        <v>489</v>
      </c>
      <c r="J154">
        <v>2018</v>
      </c>
      <c r="K154" t="s">
        <v>471</v>
      </c>
      <c r="L154">
        <v>43354</v>
      </c>
      <c r="M154" t="s">
        <v>657</v>
      </c>
      <c r="N154" t="s">
        <v>65</v>
      </c>
      <c r="P154" t="s">
        <v>702</v>
      </c>
    </row>
    <row r="155" spans="1:16" x14ac:dyDescent="0.2">
      <c r="A155" t="s">
        <v>703</v>
      </c>
      <c r="B155" t="s">
        <v>704</v>
      </c>
      <c r="C155" t="s">
        <v>59</v>
      </c>
      <c r="D155" t="s">
        <v>705</v>
      </c>
      <c r="E155" t="s">
        <v>705</v>
      </c>
      <c r="F155" t="s">
        <v>705</v>
      </c>
      <c r="G155" t="s">
        <v>706</v>
      </c>
      <c r="H155" t="s">
        <v>255</v>
      </c>
      <c r="J155">
        <v>2018</v>
      </c>
      <c r="K155" t="s">
        <v>707</v>
      </c>
      <c r="L155">
        <v>43256</v>
      </c>
      <c r="N155" t="s">
        <v>65</v>
      </c>
      <c r="O155" t="s">
        <v>66</v>
      </c>
      <c r="P155" t="s">
        <v>708</v>
      </c>
    </row>
    <row r="156" spans="1:16" x14ac:dyDescent="0.2">
      <c r="A156" t="s">
        <v>709</v>
      </c>
      <c r="B156" t="s">
        <v>710</v>
      </c>
      <c r="C156" t="s">
        <v>59</v>
      </c>
      <c r="D156" t="s">
        <v>60</v>
      </c>
      <c r="F156" t="s">
        <v>711</v>
      </c>
      <c r="H156" t="s">
        <v>117</v>
      </c>
      <c r="J156">
        <v>2018</v>
      </c>
      <c r="K156" t="s">
        <v>471</v>
      </c>
      <c r="L156">
        <v>43446</v>
      </c>
      <c r="N156" t="s">
        <v>65</v>
      </c>
      <c r="P156" t="s">
        <v>712</v>
      </c>
    </row>
    <row r="157" spans="1:16" x14ac:dyDescent="0.2">
      <c r="A157" t="s">
        <v>713</v>
      </c>
      <c r="B157" t="s">
        <v>714</v>
      </c>
      <c r="C157" t="s">
        <v>59</v>
      </c>
      <c r="D157" t="s">
        <v>121</v>
      </c>
      <c r="E157" t="s">
        <v>115</v>
      </c>
      <c r="F157" t="s">
        <v>715</v>
      </c>
      <c r="H157" t="s">
        <v>716</v>
      </c>
      <c r="J157">
        <v>2018</v>
      </c>
      <c r="K157" t="s">
        <v>221</v>
      </c>
      <c r="L157">
        <v>43271</v>
      </c>
      <c r="M157" t="s">
        <v>717</v>
      </c>
      <c r="N157" t="s">
        <v>71</v>
      </c>
      <c r="O157" t="s">
        <v>66</v>
      </c>
      <c r="P157" t="s">
        <v>718</v>
      </c>
    </row>
    <row r="158" spans="1:16" x14ac:dyDescent="0.2">
      <c r="A158" t="s">
        <v>719</v>
      </c>
      <c r="B158" t="s">
        <v>720</v>
      </c>
      <c r="C158" t="s">
        <v>59</v>
      </c>
      <c r="D158" t="s">
        <v>354</v>
      </c>
      <c r="H158" t="s">
        <v>77</v>
      </c>
      <c r="J158">
        <v>2018</v>
      </c>
      <c r="K158" t="s">
        <v>221</v>
      </c>
      <c r="L158">
        <v>43355</v>
      </c>
      <c r="M158" t="s">
        <v>721</v>
      </c>
      <c r="N158" t="s">
        <v>71</v>
      </c>
      <c r="O158" t="s">
        <v>66</v>
      </c>
      <c r="P158" t="s">
        <v>722</v>
      </c>
    </row>
    <row r="159" spans="1:16" x14ac:dyDescent="0.2">
      <c r="A159" t="s">
        <v>719</v>
      </c>
      <c r="B159" t="s">
        <v>723</v>
      </c>
      <c r="C159" t="s">
        <v>59</v>
      </c>
      <c r="D159" t="s">
        <v>354</v>
      </c>
      <c r="G159" t="s">
        <v>724</v>
      </c>
      <c r="H159" t="s">
        <v>77</v>
      </c>
      <c r="J159">
        <v>2018</v>
      </c>
      <c r="K159" t="s">
        <v>221</v>
      </c>
      <c r="L159">
        <v>43335</v>
      </c>
      <c r="N159" t="s">
        <v>65</v>
      </c>
      <c r="O159" t="s">
        <v>66</v>
      </c>
      <c r="P159" t="s">
        <v>722</v>
      </c>
    </row>
    <row r="160" spans="1:16" x14ac:dyDescent="0.2">
      <c r="A160" t="s">
        <v>725</v>
      </c>
      <c r="B160" t="s">
        <v>726</v>
      </c>
      <c r="C160" t="s">
        <v>59</v>
      </c>
      <c r="D160" t="s">
        <v>253</v>
      </c>
      <c r="F160" t="s">
        <v>254</v>
      </c>
      <c r="H160" t="s">
        <v>255</v>
      </c>
      <c r="J160">
        <v>2018</v>
      </c>
      <c r="K160" t="s">
        <v>202</v>
      </c>
      <c r="L160">
        <v>43320</v>
      </c>
      <c r="M160" t="s">
        <v>727</v>
      </c>
      <c r="N160" t="s">
        <v>65</v>
      </c>
      <c r="O160" t="s">
        <v>66</v>
      </c>
      <c r="P160" t="s">
        <v>728</v>
      </c>
    </row>
    <row r="161" spans="1:16" x14ac:dyDescent="0.2">
      <c r="A161" t="s">
        <v>729</v>
      </c>
      <c r="B161" t="s">
        <v>730</v>
      </c>
      <c r="C161" t="s">
        <v>59</v>
      </c>
      <c r="D161" t="s">
        <v>590</v>
      </c>
      <c r="E161" t="s">
        <v>115</v>
      </c>
      <c r="F161" t="s">
        <v>731</v>
      </c>
      <c r="G161" t="s">
        <v>592</v>
      </c>
      <c r="H161" t="s">
        <v>732</v>
      </c>
      <c r="J161">
        <v>2018</v>
      </c>
      <c r="K161" t="s">
        <v>158</v>
      </c>
      <c r="L161">
        <v>43496</v>
      </c>
      <c r="N161" t="s">
        <v>65</v>
      </c>
      <c r="O161" t="s">
        <v>66</v>
      </c>
      <c r="P161" t="s">
        <v>733</v>
      </c>
    </row>
    <row r="162" spans="1:16" x14ac:dyDescent="0.2">
      <c r="A162" t="s">
        <v>734</v>
      </c>
      <c r="B162" t="s">
        <v>735</v>
      </c>
      <c r="C162" t="s">
        <v>59</v>
      </c>
      <c r="D162" t="s">
        <v>115</v>
      </c>
      <c r="E162" t="s">
        <v>115</v>
      </c>
      <c r="F162" t="s">
        <v>285</v>
      </c>
      <c r="G162" t="s">
        <v>736</v>
      </c>
      <c r="H162" t="s">
        <v>117</v>
      </c>
      <c r="J162">
        <v>2018</v>
      </c>
      <c r="K162" t="s">
        <v>64</v>
      </c>
      <c r="L162">
        <v>43311</v>
      </c>
      <c r="N162" t="s">
        <v>65</v>
      </c>
      <c r="O162" t="s">
        <v>66</v>
      </c>
      <c r="P162" t="s">
        <v>737</v>
      </c>
    </row>
    <row r="163" spans="1:16" x14ac:dyDescent="0.2">
      <c r="A163" t="s">
        <v>734</v>
      </c>
      <c r="B163" t="s">
        <v>738</v>
      </c>
      <c r="C163" t="s">
        <v>59</v>
      </c>
      <c r="D163" t="s">
        <v>115</v>
      </c>
      <c r="E163" t="s">
        <v>115</v>
      </c>
      <c r="F163" t="s">
        <v>285</v>
      </c>
      <c r="G163" t="s">
        <v>739</v>
      </c>
      <c r="H163" t="s">
        <v>117</v>
      </c>
      <c r="J163">
        <v>2018</v>
      </c>
      <c r="K163" t="s">
        <v>64</v>
      </c>
      <c r="L163">
        <v>43318</v>
      </c>
      <c r="N163" t="s">
        <v>65</v>
      </c>
      <c r="O163" t="s">
        <v>740</v>
      </c>
      <c r="P163" t="s">
        <v>737</v>
      </c>
    </row>
    <row r="164" spans="1:16" x14ac:dyDescent="0.2">
      <c r="A164" t="s">
        <v>734</v>
      </c>
      <c r="B164" t="s">
        <v>741</v>
      </c>
      <c r="C164" t="s">
        <v>59</v>
      </c>
      <c r="D164" t="s">
        <v>115</v>
      </c>
      <c r="E164" t="s">
        <v>115</v>
      </c>
      <c r="F164" t="s">
        <v>285</v>
      </c>
      <c r="G164" t="s">
        <v>742</v>
      </c>
      <c r="H164" t="s">
        <v>117</v>
      </c>
      <c r="J164">
        <v>2018</v>
      </c>
      <c r="K164" t="s">
        <v>64</v>
      </c>
      <c r="L164">
        <v>43287</v>
      </c>
      <c r="N164" t="s">
        <v>71</v>
      </c>
      <c r="O164" t="s">
        <v>743</v>
      </c>
      <c r="P164" t="s">
        <v>737</v>
      </c>
    </row>
    <row r="165" spans="1:16" x14ac:dyDescent="0.2">
      <c r="A165" t="s">
        <v>744</v>
      </c>
      <c r="B165" t="s">
        <v>745</v>
      </c>
      <c r="C165" t="s">
        <v>59</v>
      </c>
      <c r="D165" t="s">
        <v>253</v>
      </c>
      <c r="F165" t="s">
        <v>505</v>
      </c>
      <c r="G165" t="s">
        <v>746</v>
      </c>
      <c r="H165" t="s">
        <v>134</v>
      </c>
      <c r="J165">
        <v>2018</v>
      </c>
      <c r="K165" t="s">
        <v>221</v>
      </c>
      <c r="L165">
        <v>43357</v>
      </c>
      <c r="N165" t="s">
        <v>65</v>
      </c>
      <c r="O165" t="s">
        <v>66</v>
      </c>
      <c r="P165" t="s">
        <v>747</v>
      </c>
    </row>
    <row r="166" spans="1:16" x14ac:dyDescent="0.2">
      <c r="A166" t="s">
        <v>748</v>
      </c>
      <c r="B166" t="s">
        <v>390</v>
      </c>
      <c r="C166" t="s">
        <v>59</v>
      </c>
      <c r="D166" t="s">
        <v>154</v>
      </c>
      <c r="E166" t="s">
        <v>386</v>
      </c>
      <c r="F166" t="s">
        <v>749</v>
      </c>
      <c r="H166" t="s">
        <v>134</v>
      </c>
      <c r="J166">
        <v>2018</v>
      </c>
      <c r="K166" t="s">
        <v>158</v>
      </c>
      <c r="L166">
        <v>43190</v>
      </c>
      <c r="N166" t="s">
        <v>390</v>
      </c>
      <c r="O166" t="s">
        <v>66</v>
      </c>
      <c r="P166" t="s">
        <v>750</v>
      </c>
    </row>
    <row r="167" spans="1:16" x14ac:dyDescent="0.2">
      <c r="A167" t="s">
        <v>751</v>
      </c>
      <c r="B167" t="s">
        <v>752</v>
      </c>
      <c r="C167" t="s">
        <v>59</v>
      </c>
      <c r="D167" t="s">
        <v>253</v>
      </c>
      <c r="F167" t="s">
        <v>753</v>
      </c>
      <c r="H167" t="s">
        <v>63</v>
      </c>
      <c r="J167">
        <v>2018</v>
      </c>
      <c r="K167" t="s">
        <v>221</v>
      </c>
      <c r="L167" t="s">
        <v>754</v>
      </c>
      <c r="N167" t="s">
        <v>65</v>
      </c>
      <c r="P167" t="s">
        <v>755</v>
      </c>
    </row>
    <row r="168" spans="1:16" x14ac:dyDescent="0.2">
      <c r="A168" t="s">
        <v>756</v>
      </c>
      <c r="B168" t="s">
        <v>757</v>
      </c>
      <c r="C168" t="s">
        <v>59</v>
      </c>
      <c r="D168" t="s">
        <v>82</v>
      </c>
      <c r="E168" t="s">
        <v>561</v>
      </c>
      <c r="F168" t="s">
        <v>758</v>
      </c>
      <c r="H168" t="s">
        <v>367</v>
      </c>
      <c r="J168">
        <v>2018</v>
      </c>
      <c r="K168" t="s">
        <v>202</v>
      </c>
      <c r="L168">
        <v>43570</v>
      </c>
      <c r="N168" t="s">
        <v>65</v>
      </c>
      <c r="O168" t="s">
        <v>66</v>
      </c>
      <c r="P168" t="s">
        <v>759</v>
      </c>
    </row>
    <row r="169" spans="1:16" x14ac:dyDescent="0.2">
      <c r="A169" t="s">
        <v>760</v>
      </c>
      <c r="B169" t="s">
        <v>390</v>
      </c>
      <c r="C169" t="s">
        <v>59</v>
      </c>
      <c r="D169" t="s">
        <v>154</v>
      </c>
      <c r="E169" t="s">
        <v>483</v>
      </c>
      <c r="F169" t="s">
        <v>761</v>
      </c>
      <c r="H169" t="s">
        <v>162</v>
      </c>
      <c r="J169">
        <v>2018</v>
      </c>
      <c r="K169" t="s">
        <v>158</v>
      </c>
      <c r="L169">
        <v>43466</v>
      </c>
      <c r="N169" t="s">
        <v>65</v>
      </c>
      <c r="O169" t="s">
        <v>66</v>
      </c>
      <c r="P169" t="s">
        <v>762</v>
      </c>
    </row>
    <row r="170" spans="1:16" x14ac:dyDescent="0.2">
      <c r="A170" t="s">
        <v>763</v>
      </c>
      <c r="B170" t="s">
        <v>764</v>
      </c>
      <c r="C170" t="s">
        <v>59</v>
      </c>
      <c r="D170" t="s">
        <v>306</v>
      </c>
      <c r="E170" t="s">
        <v>301</v>
      </c>
      <c r="F170" t="s">
        <v>312</v>
      </c>
      <c r="G170" t="s">
        <v>765</v>
      </c>
      <c r="H170" t="s">
        <v>117</v>
      </c>
      <c r="J170">
        <v>2018</v>
      </c>
      <c r="K170" t="s">
        <v>202</v>
      </c>
      <c r="L170">
        <v>43480</v>
      </c>
      <c r="N170" t="s">
        <v>65</v>
      </c>
      <c r="O170" t="s">
        <v>66</v>
      </c>
      <c r="P170" t="s">
        <v>766</v>
      </c>
    </row>
    <row r="171" spans="1:16" x14ac:dyDescent="0.2">
      <c r="A171" t="s">
        <v>767</v>
      </c>
      <c r="B171" t="s">
        <v>768</v>
      </c>
      <c r="C171" t="s">
        <v>59</v>
      </c>
      <c r="D171" t="s">
        <v>711</v>
      </c>
      <c r="F171" t="s">
        <v>711</v>
      </c>
      <c r="G171" t="s">
        <v>769</v>
      </c>
      <c r="H171" t="s">
        <v>117</v>
      </c>
      <c r="J171">
        <v>2018</v>
      </c>
      <c r="K171" t="s">
        <v>471</v>
      </c>
      <c r="L171">
        <v>43495</v>
      </c>
      <c r="N171" t="s">
        <v>65</v>
      </c>
      <c r="P171" t="s">
        <v>770</v>
      </c>
    </row>
    <row r="172" spans="1:16" x14ac:dyDescent="0.2">
      <c r="A172" t="s">
        <v>771</v>
      </c>
      <c r="B172" t="s">
        <v>772</v>
      </c>
      <c r="C172" t="s">
        <v>59</v>
      </c>
      <c r="D172" t="s">
        <v>773</v>
      </c>
      <c r="F172" t="s">
        <v>774</v>
      </c>
      <c r="G172" t="s">
        <v>775</v>
      </c>
      <c r="H172" t="s">
        <v>489</v>
      </c>
      <c r="J172">
        <v>2018</v>
      </c>
      <c r="K172" t="s">
        <v>64</v>
      </c>
      <c r="L172">
        <v>43524</v>
      </c>
      <c r="N172" t="s">
        <v>65</v>
      </c>
      <c r="P172" t="s">
        <v>776</v>
      </c>
    </row>
    <row r="173" spans="1:16" x14ac:dyDescent="0.2">
      <c r="A173" t="s">
        <v>777</v>
      </c>
      <c r="B173" t="s">
        <v>778</v>
      </c>
      <c r="C173" t="s">
        <v>59</v>
      </c>
      <c r="D173" t="s">
        <v>386</v>
      </c>
      <c r="F173" t="s">
        <v>779</v>
      </c>
      <c r="G173" t="s">
        <v>780</v>
      </c>
      <c r="H173" t="s">
        <v>84</v>
      </c>
      <c r="J173">
        <v>2018</v>
      </c>
      <c r="K173" t="s">
        <v>158</v>
      </c>
      <c r="L173">
        <v>43378</v>
      </c>
      <c r="N173" t="s">
        <v>71</v>
      </c>
      <c r="O173" t="s">
        <v>66</v>
      </c>
      <c r="P173" t="s">
        <v>781</v>
      </c>
    </row>
    <row r="174" spans="1:16" x14ac:dyDescent="0.2">
      <c r="A174" t="s">
        <v>782</v>
      </c>
      <c r="B174" t="s">
        <v>783</v>
      </c>
      <c r="C174" t="s">
        <v>59</v>
      </c>
      <c r="D174" t="s">
        <v>784</v>
      </c>
      <c r="E174" t="s">
        <v>785</v>
      </c>
      <c r="F174" t="s">
        <v>786</v>
      </c>
      <c r="H174" t="s">
        <v>272</v>
      </c>
      <c r="J174">
        <v>2018</v>
      </c>
      <c r="K174" t="s">
        <v>471</v>
      </c>
      <c r="L174">
        <v>43447</v>
      </c>
      <c r="N174" t="s">
        <v>65</v>
      </c>
      <c r="P174" t="s">
        <v>787</v>
      </c>
    </row>
    <row r="175" spans="1:16" x14ac:dyDescent="0.2">
      <c r="A175" t="s">
        <v>782</v>
      </c>
      <c r="B175" t="s">
        <v>788</v>
      </c>
      <c r="C175" t="s">
        <v>59</v>
      </c>
      <c r="D175" t="s">
        <v>784</v>
      </c>
      <c r="E175" t="s">
        <v>785</v>
      </c>
      <c r="F175" t="s">
        <v>786</v>
      </c>
      <c r="H175" t="s">
        <v>272</v>
      </c>
      <c r="J175">
        <v>2018</v>
      </c>
      <c r="K175" t="s">
        <v>471</v>
      </c>
      <c r="L175">
        <v>43137</v>
      </c>
      <c r="N175" t="s">
        <v>65</v>
      </c>
      <c r="P175" t="s">
        <v>787</v>
      </c>
    </row>
    <row r="176" spans="1:16" x14ac:dyDescent="0.2">
      <c r="A176" t="s">
        <v>789</v>
      </c>
      <c r="B176" t="s">
        <v>790</v>
      </c>
      <c r="C176" t="s">
        <v>59</v>
      </c>
      <c r="D176" t="s">
        <v>791</v>
      </c>
      <c r="F176" t="s">
        <v>792</v>
      </c>
      <c r="G176" t="s">
        <v>793</v>
      </c>
      <c r="H176" t="s">
        <v>338</v>
      </c>
      <c r="J176">
        <v>2018</v>
      </c>
      <c r="K176" t="s">
        <v>221</v>
      </c>
      <c r="L176">
        <v>43402</v>
      </c>
      <c r="N176" t="s">
        <v>65</v>
      </c>
      <c r="P176" t="s">
        <v>794</v>
      </c>
    </row>
    <row r="177" spans="1:16" x14ac:dyDescent="0.2">
      <c r="A177" t="s">
        <v>795</v>
      </c>
      <c r="B177" t="s">
        <v>796</v>
      </c>
      <c r="C177" t="s">
        <v>59</v>
      </c>
      <c r="D177" t="s">
        <v>60</v>
      </c>
      <c r="E177" t="s">
        <v>561</v>
      </c>
      <c r="F177" t="s">
        <v>758</v>
      </c>
      <c r="H177" t="s">
        <v>367</v>
      </c>
      <c r="J177">
        <v>2018</v>
      </c>
      <c r="K177" t="s">
        <v>471</v>
      </c>
      <c r="L177">
        <v>43565</v>
      </c>
      <c r="N177" t="s">
        <v>65</v>
      </c>
      <c r="P177" t="s">
        <v>797</v>
      </c>
    </row>
    <row r="178" spans="1:16" x14ac:dyDescent="0.2">
      <c r="A178" t="s">
        <v>798</v>
      </c>
      <c r="B178" t="s">
        <v>799</v>
      </c>
      <c r="C178" t="s">
        <v>59</v>
      </c>
      <c r="D178" t="s">
        <v>60</v>
      </c>
      <c r="E178" t="s">
        <v>115</v>
      </c>
      <c r="F178" t="s">
        <v>800</v>
      </c>
      <c r="G178" t="s">
        <v>801</v>
      </c>
      <c r="H178" t="s">
        <v>418</v>
      </c>
      <c r="J178">
        <v>2018</v>
      </c>
      <c r="K178" t="s">
        <v>802</v>
      </c>
      <c r="L178">
        <v>43538</v>
      </c>
      <c r="N178" t="s">
        <v>65</v>
      </c>
      <c r="O178" t="s">
        <v>66</v>
      </c>
      <c r="P178" t="s">
        <v>803</v>
      </c>
    </row>
    <row r="179" spans="1:16" x14ac:dyDescent="0.2">
      <c r="A179" t="s">
        <v>798</v>
      </c>
      <c r="B179" t="s">
        <v>804</v>
      </c>
      <c r="C179" t="s">
        <v>59</v>
      </c>
      <c r="D179" t="s">
        <v>60</v>
      </c>
      <c r="E179" t="s">
        <v>115</v>
      </c>
      <c r="F179" t="s">
        <v>800</v>
      </c>
      <c r="G179" t="s">
        <v>805</v>
      </c>
      <c r="H179" t="s">
        <v>418</v>
      </c>
      <c r="J179">
        <v>2018</v>
      </c>
      <c r="K179" t="s">
        <v>64</v>
      </c>
      <c r="L179">
        <v>43591</v>
      </c>
      <c r="N179" t="s">
        <v>65</v>
      </c>
      <c r="P179" t="s">
        <v>803</v>
      </c>
    </row>
    <row r="180" spans="1:16" x14ac:dyDescent="0.2">
      <c r="A180" t="s">
        <v>798</v>
      </c>
      <c r="B180" t="s">
        <v>806</v>
      </c>
      <c r="C180" t="s">
        <v>59</v>
      </c>
      <c r="D180" t="s">
        <v>60</v>
      </c>
      <c r="E180" t="s">
        <v>115</v>
      </c>
      <c r="F180" t="s">
        <v>800</v>
      </c>
      <c r="H180" t="s">
        <v>418</v>
      </c>
      <c r="J180">
        <v>2019</v>
      </c>
      <c r="K180" t="s">
        <v>64</v>
      </c>
      <c r="L180">
        <v>43644</v>
      </c>
      <c r="N180" t="s">
        <v>65</v>
      </c>
      <c r="P180" t="s">
        <v>807</v>
      </c>
    </row>
    <row r="181" spans="1:16" x14ac:dyDescent="0.2">
      <c r="A181" t="s">
        <v>798</v>
      </c>
      <c r="B181" t="s">
        <v>808</v>
      </c>
      <c r="C181" t="s">
        <v>59</v>
      </c>
      <c r="D181" t="s">
        <v>60</v>
      </c>
      <c r="E181" t="s">
        <v>115</v>
      </c>
      <c r="F181" t="s">
        <v>800</v>
      </c>
      <c r="H181" t="s">
        <v>418</v>
      </c>
      <c r="J181">
        <v>2019</v>
      </c>
      <c r="K181" t="s">
        <v>297</v>
      </c>
      <c r="L181">
        <v>43725</v>
      </c>
      <c r="N181" t="s">
        <v>65</v>
      </c>
      <c r="P181" t="s">
        <v>807</v>
      </c>
    </row>
    <row r="182" spans="1:16" x14ac:dyDescent="0.2">
      <c r="A182" t="s">
        <v>809</v>
      </c>
      <c r="B182" t="s">
        <v>810</v>
      </c>
      <c r="C182" t="s">
        <v>59</v>
      </c>
      <c r="D182" t="s">
        <v>82</v>
      </c>
      <c r="E182" t="s">
        <v>811</v>
      </c>
      <c r="F182" t="s">
        <v>812</v>
      </c>
      <c r="H182" t="s">
        <v>110</v>
      </c>
      <c r="J182">
        <v>2018</v>
      </c>
      <c r="K182" t="s">
        <v>158</v>
      </c>
      <c r="L182">
        <v>43524</v>
      </c>
      <c r="N182" t="s">
        <v>65</v>
      </c>
      <c r="O182" t="s">
        <v>66</v>
      </c>
      <c r="P182" t="s">
        <v>813</v>
      </c>
    </row>
    <row r="183" spans="1:16" x14ac:dyDescent="0.2">
      <c r="A183" t="s">
        <v>814</v>
      </c>
      <c r="B183" t="s">
        <v>815</v>
      </c>
      <c r="C183" t="s">
        <v>59</v>
      </c>
      <c r="D183" t="s">
        <v>816</v>
      </c>
      <c r="F183" t="s">
        <v>318</v>
      </c>
      <c r="H183" t="s">
        <v>134</v>
      </c>
      <c r="J183">
        <v>2018</v>
      </c>
      <c r="K183" t="s">
        <v>64</v>
      </c>
      <c r="L183">
        <v>43448</v>
      </c>
      <c r="N183" t="s">
        <v>817</v>
      </c>
      <c r="P183" t="s">
        <v>818</v>
      </c>
    </row>
    <row r="184" spans="1:16" x14ac:dyDescent="0.2">
      <c r="A184" t="s">
        <v>814</v>
      </c>
      <c r="B184" t="s">
        <v>819</v>
      </c>
      <c r="C184" t="s">
        <v>59</v>
      </c>
      <c r="D184" t="s">
        <v>820</v>
      </c>
      <c r="E184" t="s">
        <v>816</v>
      </c>
      <c r="F184" t="s">
        <v>318</v>
      </c>
      <c r="G184" t="s">
        <v>821</v>
      </c>
      <c r="H184" t="s">
        <v>134</v>
      </c>
      <c r="J184">
        <v>2019</v>
      </c>
      <c r="K184" t="s">
        <v>221</v>
      </c>
      <c r="L184">
        <v>43707</v>
      </c>
      <c r="N184" t="s">
        <v>65</v>
      </c>
      <c r="O184" t="s">
        <v>822</v>
      </c>
      <c r="P184" t="s">
        <v>823</v>
      </c>
    </row>
    <row r="185" spans="1:16" x14ac:dyDescent="0.2">
      <c r="A185" t="s">
        <v>814</v>
      </c>
      <c r="B185" t="s">
        <v>824</v>
      </c>
      <c r="C185" t="s">
        <v>59</v>
      </c>
      <c r="D185" t="s">
        <v>820</v>
      </c>
      <c r="E185" t="s">
        <v>816</v>
      </c>
      <c r="F185" t="s">
        <v>318</v>
      </c>
      <c r="G185" t="s">
        <v>825</v>
      </c>
      <c r="H185" t="s">
        <v>134</v>
      </c>
      <c r="J185">
        <v>2019</v>
      </c>
      <c r="K185" t="s">
        <v>221</v>
      </c>
      <c r="L185">
        <v>43710</v>
      </c>
      <c r="N185" t="s">
        <v>65</v>
      </c>
      <c r="P185" t="s">
        <v>823</v>
      </c>
    </row>
    <row r="186" spans="1:16" x14ac:dyDescent="0.2">
      <c r="A186" t="s">
        <v>826</v>
      </c>
      <c r="B186" t="s">
        <v>827</v>
      </c>
      <c r="C186" t="s">
        <v>59</v>
      </c>
      <c r="D186" t="s">
        <v>828</v>
      </c>
      <c r="F186" t="s">
        <v>829</v>
      </c>
      <c r="H186" t="s">
        <v>255</v>
      </c>
      <c r="J186">
        <v>2018</v>
      </c>
      <c r="K186" t="s">
        <v>202</v>
      </c>
      <c r="L186">
        <v>43542</v>
      </c>
      <c r="N186" t="s">
        <v>65</v>
      </c>
      <c r="O186" t="s">
        <v>66</v>
      </c>
      <c r="P186" t="s">
        <v>830</v>
      </c>
    </row>
    <row r="187" spans="1:16" x14ac:dyDescent="0.2">
      <c r="A187" t="s">
        <v>831</v>
      </c>
      <c r="B187" t="s">
        <v>832</v>
      </c>
      <c r="C187" t="s">
        <v>59</v>
      </c>
      <c r="D187" t="s">
        <v>121</v>
      </c>
      <c r="E187" t="s">
        <v>115</v>
      </c>
      <c r="F187" t="s">
        <v>192</v>
      </c>
      <c r="G187" t="s">
        <v>833</v>
      </c>
      <c r="H187" t="s">
        <v>193</v>
      </c>
      <c r="J187">
        <v>2018</v>
      </c>
      <c r="K187" t="s">
        <v>297</v>
      </c>
      <c r="L187">
        <v>43396</v>
      </c>
      <c r="N187" t="s">
        <v>65</v>
      </c>
      <c r="P187" t="s">
        <v>834</v>
      </c>
    </row>
    <row r="188" spans="1:16" x14ac:dyDescent="0.2">
      <c r="A188" t="s">
        <v>835</v>
      </c>
      <c r="B188" t="s">
        <v>390</v>
      </c>
      <c r="C188" t="s">
        <v>59</v>
      </c>
      <c r="D188" t="s">
        <v>154</v>
      </c>
      <c r="E188" t="s">
        <v>483</v>
      </c>
      <c r="F188" t="s">
        <v>761</v>
      </c>
      <c r="G188" t="s">
        <v>836</v>
      </c>
      <c r="H188" t="s">
        <v>162</v>
      </c>
      <c r="J188">
        <v>2018</v>
      </c>
      <c r="K188" t="s">
        <v>158</v>
      </c>
      <c r="L188">
        <v>43496</v>
      </c>
      <c r="N188" t="s">
        <v>390</v>
      </c>
      <c r="O188" t="s">
        <v>66</v>
      </c>
      <c r="P188" t="s">
        <v>837</v>
      </c>
    </row>
    <row r="189" spans="1:16" x14ac:dyDescent="0.2">
      <c r="A189" t="s">
        <v>838</v>
      </c>
      <c r="B189" t="s">
        <v>839</v>
      </c>
      <c r="C189" t="s">
        <v>59</v>
      </c>
      <c r="D189" t="s">
        <v>155</v>
      </c>
      <c r="F189" t="s">
        <v>93</v>
      </c>
      <c r="G189" t="s">
        <v>840</v>
      </c>
      <c r="H189" t="s">
        <v>157</v>
      </c>
      <c r="J189">
        <v>2018</v>
      </c>
      <c r="K189" t="s">
        <v>158</v>
      </c>
      <c r="L189">
        <v>43437</v>
      </c>
      <c r="N189" t="s">
        <v>65</v>
      </c>
      <c r="O189" t="s">
        <v>66</v>
      </c>
      <c r="P189" t="s">
        <v>841</v>
      </c>
    </row>
    <row r="190" spans="1:16" x14ac:dyDescent="0.2">
      <c r="A190" t="s">
        <v>842</v>
      </c>
      <c r="B190" t="s">
        <v>843</v>
      </c>
      <c r="C190" t="s">
        <v>59</v>
      </c>
      <c r="D190" t="s">
        <v>386</v>
      </c>
      <c r="E190" t="s">
        <v>107</v>
      </c>
      <c r="F190" t="s">
        <v>844</v>
      </c>
      <c r="G190" t="s">
        <v>845</v>
      </c>
      <c r="J190">
        <v>2018</v>
      </c>
      <c r="K190" t="s">
        <v>202</v>
      </c>
      <c r="L190">
        <v>43585</v>
      </c>
      <c r="N190" t="s">
        <v>65</v>
      </c>
      <c r="O190" t="s">
        <v>66</v>
      </c>
      <c r="P190" t="s">
        <v>846</v>
      </c>
    </row>
    <row r="191" spans="1:16" x14ac:dyDescent="0.2">
      <c r="A191" t="s">
        <v>842</v>
      </c>
      <c r="B191" t="s">
        <v>847</v>
      </c>
      <c r="C191" t="s">
        <v>59</v>
      </c>
      <c r="D191" t="s">
        <v>386</v>
      </c>
      <c r="E191" t="s">
        <v>107</v>
      </c>
      <c r="F191" t="s">
        <v>844</v>
      </c>
      <c r="G191" t="s">
        <v>848</v>
      </c>
      <c r="J191">
        <v>2018</v>
      </c>
      <c r="K191" t="s">
        <v>202</v>
      </c>
      <c r="L191">
        <v>43444</v>
      </c>
      <c r="N191" t="s">
        <v>71</v>
      </c>
      <c r="O191" t="s">
        <v>66</v>
      </c>
      <c r="P191" t="s">
        <v>846</v>
      </c>
    </row>
    <row r="192" spans="1:16" x14ac:dyDescent="0.2">
      <c r="A192" t="s">
        <v>849</v>
      </c>
      <c r="B192" t="s">
        <v>788</v>
      </c>
      <c r="C192" t="s">
        <v>59</v>
      </c>
      <c r="D192" t="s">
        <v>552</v>
      </c>
      <c r="E192" t="s">
        <v>850</v>
      </c>
      <c r="F192" t="s">
        <v>851</v>
      </c>
      <c r="G192" t="s">
        <v>851</v>
      </c>
      <c r="H192" t="s">
        <v>272</v>
      </c>
      <c r="J192">
        <v>2018</v>
      </c>
      <c r="K192" t="s">
        <v>202</v>
      </c>
      <c r="L192">
        <v>43539</v>
      </c>
      <c r="N192" t="s">
        <v>65</v>
      </c>
      <c r="O192" t="s">
        <v>66</v>
      </c>
      <c r="P192" t="s">
        <v>852</v>
      </c>
    </row>
    <row r="193" spans="1:16" x14ac:dyDescent="0.2">
      <c r="A193" t="s">
        <v>853</v>
      </c>
      <c r="B193" t="s">
        <v>854</v>
      </c>
      <c r="C193" t="s">
        <v>59</v>
      </c>
      <c r="D193" t="s">
        <v>167</v>
      </c>
      <c r="F193" t="s">
        <v>855</v>
      </c>
      <c r="H193" t="s">
        <v>186</v>
      </c>
      <c r="J193">
        <v>2018</v>
      </c>
      <c r="K193" t="s">
        <v>158</v>
      </c>
      <c r="L193">
        <v>43508</v>
      </c>
      <c r="N193" t="s">
        <v>65</v>
      </c>
      <c r="O193" t="s">
        <v>66</v>
      </c>
      <c r="P193" t="s">
        <v>856</v>
      </c>
    </row>
    <row r="194" spans="1:16" x14ac:dyDescent="0.2">
      <c r="A194" t="s">
        <v>853</v>
      </c>
      <c r="B194" t="s">
        <v>857</v>
      </c>
      <c r="C194" t="s">
        <v>59</v>
      </c>
      <c r="D194" t="s">
        <v>167</v>
      </c>
      <c r="F194" t="s">
        <v>855</v>
      </c>
      <c r="H194" t="s">
        <v>186</v>
      </c>
      <c r="J194">
        <v>2018</v>
      </c>
      <c r="K194" t="s">
        <v>158</v>
      </c>
      <c r="L194">
        <v>43636</v>
      </c>
      <c r="N194" t="s">
        <v>65</v>
      </c>
      <c r="O194" t="s">
        <v>66</v>
      </c>
      <c r="P194" t="s">
        <v>856</v>
      </c>
    </row>
    <row r="195" spans="1:16" x14ac:dyDescent="0.2">
      <c r="A195" t="s">
        <v>853</v>
      </c>
      <c r="B195" t="s">
        <v>858</v>
      </c>
      <c r="C195" t="s">
        <v>59</v>
      </c>
      <c r="D195" t="s">
        <v>167</v>
      </c>
      <c r="F195" t="s">
        <v>855</v>
      </c>
      <c r="H195" t="s">
        <v>186</v>
      </c>
      <c r="J195">
        <v>2019</v>
      </c>
      <c r="K195" t="s">
        <v>158</v>
      </c>
      <c r="L195">
        <v>43668</v>
      </c>
      <c r="N195" t="s">
        <v>65</v>
      </c>
      <c r="O195" t="s">
        <v>66</v>
      </c>
      <c r="P195" t="s">
        <v>859</v>
      </c>
    </row>
    <row r="196" spans="1:16" x14ac:dyDescent="0.2">
      <c r="A196" t="s">
        <v>860</v>
      </c>
      <c r="B196" t="s">
        <v>861</v>
      </c>
      <c r="C196" t="s">
        <v>59</v>
      </c>
      <c r="D196" t="s">
        <v>82</v>
      </c>
      <c r="F196" t="s">
        <v>862</v>
      </c>
      <c r="G196" t="s">
        <v>863</v>
      </c>
      <c r="H196" t="s">
        <v>255</v>
      </c>
      <c r="J196">
        <v>2018</v>
      </c>
      <c r="K196" t="s">
        <v>158</v>
      </c>
      <c r="L196">
        <v>43524</v>
      </c>
      <c r="N196" t="s">
        <v>65</v>
      </c>
      <c r="O196" t="s">
        <v>66</v>
      </c>
      <c r="P196" t="s">
        <v>864</v>
      </c>
    </row>
    <row r="197" spans="1:16" x14ac:dyDescent="0.2">
      <c r="A197" t="s">
        <v>860</v>
      </c>
      <c r="B197" t="s">
        <v>865</v>
      </c>
      <c r="C197" t="s">
        <v>59</v>
      </c>
      <c r="D197" t="s">
        <v>82</v>
      </c>
      <c r="F197" t="s">
        <v>866</v>
      </c>
      <c r="G197" t="s">
        <v>867</v>
      </c>
      <c r="H197" t="s">
        <v>255</v>
      </c>
      <c r="J197">
        <v>2018</v>
      </c>
      <c r="K197" t="s">
        <v>158</v>
      </c>
      <c r="L197">
        <v>43524</v>
      </c>
      <c r="N197" t="s">
        <v>65</v>
      </c>
      <c r="O197" t="s">
        <v>66</v>
      </c>
      <c r="P197" t="s">
        <v>868</v>
      </c>
    </row>
    <row r="198" spans="1:16" x14ac:dyDescent="0.2">
      <c r="A198" t="s">
        <v>869</v>
      </c>
      <c r="B198" t="s">
        <v>870</v>
      </c>
      <c r="C198" t="s">
        <v>59</v>
      </c>
      <c r="D198" t="s">
        <v>358</v>
      </c>
      <c r="F198" t="s">
        <v>871</v>
      </c>
      <c r="H198" t="s">
        <v>77</v>
      </c>
      <c r="J198">
        <v>2018</v>
      </c>
      <c r="K198" t="s">
        <v>158</v>
      </c>
      <c r="L198" t="s">
        <v>872</v>
      </c>
      <c r="N198" t="s">
        <v>65</v>
      </c>
      <c r="O198" t="s">
        <v>66</v>
      </c>
      <c r="P198" t="s">
        <v>873</v>
      </c>
    </row>
    <row r="199" spans="1:16" x14ac:dyDescent="0.2">
      <c r="A199" t="s">
        <v>874</v>
      </c>
      <c r="B199" t="s">
        <v>875</v>
      </c>
      <c r="C199" t="s">
        <v>59</v>
      </c>
      <c r="D199" t="s">
        <v>60</v>
      </c>
      <c r="F199" t="s">
        <v>876</v>
      </c>
      <c r="H199" t="s">
        <v>877</v>
      </c>
      <c r="J199">
        <v>2018</v>
      </c>
      <c r="K199" t="s">
        <v>202</v>
      </c>
      <c r="L199">
        <v>43524</v>
      </c>
      <c r="N199" t="s">
        <v>65</v>
      </c>
      <c r="O199" t="s">
        <v>66</v>
      </c>
      <c r="P199" t="s">
        <v>878</v>
      </c>
    </row>
    <row r="200" spans="1:16" x14ac:dyDescent="0.2">
      <c r="A200" t="s">
        <v>879</v>
      </c>
      <c r="B200" t="s">
        <v>880</v>
      </c>
      <c r="C200" t="s">
        <v>59</v>
      </c>
      <c r="D200" t="s">
        <v>121</v>
      </c>
      <c r="E200" t="s">
        <v>115</v>
      </c>
      <c r="F200" t="s">
        <v>731</v>
      </c>
      <c r="G200" t="s">
        <v>621</v>
      </c>
      <c r="H200" t="s">
        <v>732</v>
      </c>
      <c r="J200">
        <v>2018</v>
      </c>
      <c r="K200" t="s">
        <v>158</v>
      </c>
      <c r="L200">
        <v>43495</v>
      </c>
      <c r="N200" t="s">
        <v>65</v>
      </c>
      <c r="O200" t="s">
        <v>66</v>
      </c>
      <c r="P200" t="s">
        <v>881</v>
      </c>
    </row>
    <row r="201" spans="1:16" x14ac:dyDescent="0.2">
      <c r="A201" t="s">
        <v>882</v>
      </c>
      <c r="B201" t="s">
        <v>883</v>
      </c>
      <c r="C201" t="s">
        <v>59</v>
      </c>
      <c r="D201" t="s">
        <v>358</v>
      </c>
      <c r="F201" t="s">
        <v>359</v>
      </c>
      <c r="H201" t="s">
        <v>77</v>
      </c>
      <c r="J201">
        <v>2018</v>
      </c>
      <c r="K201" t="s">
        <v>158</v>
      </c>
      <c r="L201" t="s">
        <v>884</v>
      </c>
      <c r="N201" t="s">
        <v>65</v>
      </c>
      <c r="O201" t="s">
        <v>66</v>
      </c>
      <c r="P201" t="s">
        <v>885</v>
      </c>
    </row>
    <row r="202" spans="1:16" x14ac:dyDescent="0.2">
      <c r="A202" t="s">
        <v>882</v>
      </c>
      <c r="B202" t="s">
        <v>886</v>
      </c>
      <c r="C202" t="s">
        <v>59</v>
      </c>
      <c r="D202" t="s">
        <v>358</v>
      </c>
      <c r="F202" t="s">
        <v>359</v>
      </c>
      <c r="H202" t="s">
        <v>77</v>
      </c>
      <c r="J202">
        <v>2018</v>
      </c>
      <c r="K202" t="s">
        <v>297</v>
      </c>
      <c r="L202">
        <v>43455</v>
      </c>
      <c r="N202" t="s">
        <v>71</v>
      </c>
      <c r="P202" t="s">
        <v>885</v>
      </c>
    </row>
    <row r="203" spans="1:16" x14ac:dyDescent="0.2">
      <c r="A203" t="s">
        <v>887</v>
      </c>
      <c r="B203" t="s">
        <v>888</v>
      </c>
      <c r="C203" t="s">
        <v>59</v>
      </c>
      <c r="D203" t="s">
        <v>889</v>
      </c>
      <c r="F203" t="s">
        <v>715</v>
      </c>
      <c r="H203" t="s">
        <v>716</v>
      </c>
      <c r="J203">
        <v>2018</v>
      </c>
      <c r="K203" t="s">
        <v>158</v>
      </c>
      <c r="L203">
        <v>43524</v>
      </c>
      <c r="N203" t="s">
        <v>65</v>
      </c>
      <c r="O203" t="s">
        <v>66</v>
      </c>
      <c r="P203" t="s">
        <v>890</v>
      </c>
    </row>
    <row r="204" spans="1:16" x14ac:dyDescent="0.2">
      <c r="A204" t="s">
        <v>891</v>
      </c>
      <c r="B204" t="s">
        <v>892</v>
      </c>
      <c r="C204" t="s">
        <v>59</v>
      </c>
      <c r="D204" t="s">
        <v>60</v>
      </c>
      <c r="F204" t="s">
        <v>893</v>
      </c>
      <c r="G204" t="s">
        <v>894</v>
      </c>
      <c r="H204" t="s">
        <v>877</v>
      </c>
      <c r="J204">
        <v>2018</v>
      </c>
      <c r="K204" t="s">
        <v>202</v>
      </c>
      <c r="L204">
        <v>43570</v>
      </c>
      <c r="N204" t="s">
        <v>65</v>
      </c>
      <c r="O204" t="s">
        <v>66</v>
      </c>
      <c r="P204" t="s">
        <v>895</v>
      </c>
    </row>
    <row r="205" spans="1:16" x14ac:dyDescent="0.2">
      <c r="A205" t="s">
        <v>891</v>
      </c>
      <c r="B205" t="s">
        <v>896</v>
      </c>
      <c r="C205" t="s">
        <v>59</v>
      </c>
      <c r="D205" t="s">
        <v>60</v>
      </c>
      <c r="F205" t="s">
        <v>893</v>
      </c>
      <c r="G205" t="s">
        <v>897</v>
      </c>
      <c r="H205" t="s">
        <v>877</v>
      </c>
      <c r="J205">
        <v>2018</v>
      </c>
      <c r="K205" t="s">
        <v>202</v>
      </c>
      <c r="L205">
        <v>43585</v>
      </c>
      <c r="N205" t="s">
        <v>65</v>
      </c>
      <c r="O205" t="s">
        <v>66</v>
      </c>
      <c r="P205" t="s">
        <v>895</v>
      </c>
    </row>
    <row r="206" spans="1:16" x14ac:dyDescent="0.2">
      <c r="A206" t="s">
        <v>898</v>
      </c>
      <c r="B206" t="s">
        <v>899</v>
      </c>
      <c r="C206" t="s">
        <v>59</v>
      </c>
      <c r="D206" t="s">
        <v>167</v>
      </c>
      <c r="E206" t="s">
        <v>61</v>
      </c>
      <c r="F206" t="s">
        <v>900</v>
      </c>
      <c r="H206" t="s">
        <v>901</v>
      </c>
      <c r="J206">
        <v>2018</v>
      </c>
      <c r="K206" t="s">
        <v>158</v>
      </c>
      <c r="L206">
        <v>43529</v>
      </c>
      <c r="N206" t="s">
        <v>65</v>
      </c>
      <c r="O206" t="s">
        <v>66</v>
      </c>
      <c r="P206" t="s">
        <v>902</v>
      </c>
    </row>
    <row r="207" spans="1:16" x14ac:dyDescent="0.2">
      <c r="A207" t="s">
        <v>903</v>
      </c>
      <c r="B207" t="s">
        <v>904</v>
      </c>
      <c r="C207" t="s">
        <v>59</v>
      </c>
      <c r="D207" t="s">
        <v>102</v>
      </c>
      <c r="F207" t="s">
        <v>905</v>
      </c>
      <c r="G207" t="s">
        <v>480</v>
      </c>
      <c r="H207" t="s">
        <v>367</v>
      </c>
      <c r="J207">
        <v>2018</v>
      </c>
      <c r="K207" t="s">
        <v>297</v>
      </c>
      <c r="L207">
        <v>43537</v>
      </c>
      <c r="N207" t="s">
        <v>65</v>
      </c>
      <c r="P207" t="s">
        <v>906</v>
      </c>
    </row>
    <row r="208" spans="1:16" x14ac:dyDescent="0.2">
      <c r="A208" t="s">
        <v>907</v>
      </c>
      <c r="B208" t="s">
        <v>908</v>
      </c>
      <c r="C208" t="s">
        <v>59</v>
      </c>
      <c r="D208" t="s">
        <v>115</v>
      </c>
      <c r="F208" t="s">
        <v>909</v>
      </c>
      <c r="H208" t="s">
        <v>117</v>
      </c>
      <c r="J208">
        <v>2018</v>
      </c>
      <c r="K208" t="s">
        <v>64</v>
      </c>
      <c r="L208">
        <v>43615</v>
      </c>
      <c r="N208" t="s">
        <v>65</v>
      </c>
      <c r="P208" t="s">
        <v>910</v>
      </c>
    </row>
    <row r="209" spans="1:16" x14ac:dyDescent="0.2">
      <c r="A209" t="s">
        <v>907</v>
      </c>
      <c r="B209" t="s">
        <v>911</v>
      </c>
      <c r="C209" t="s">
        <v>59</v>
      </c>
      <c r="D209" t="s">
        <v>115</v>
      </c>
      <c r="F209" t="s">
        <v>909</v>
      </c>
      <c r="K209" t="s">
        <v>64</v>
      </c>
      <c r="L209">
        <v>43661</v>
      </c>
      <c r="N209" t="s">
        <v>65</v>
      </c>
      <c r="P209" t="s">
        <v>910</v>
      </c>
    </row>
    <row r="210" spans="1:16" x14ac:dyDescent="0.2">
      <c r="A210" t="s">
        <v>907</v>
      </c>
      <c r="B210" t="s">
        <v>912</v>
      </c>
      <c r="C210" t="s">
        <v>59</v>
      </c>
      <c r="D210" t="s">
        <v>121</v>
      </c>
      <c r="E210" t="s">
        <v>115</v>
      </c>
      <c r="F210" t="s">
        <v>909</v>
      </c>
      <c r="H210" t="s">
        <v>117</v>
      </c>
      <c r="J210">
        <v>2019</v>
      </c>
      <c r="K210" t="s">
        <v>64</v>
      </c>
      <c r="L210">
        <v>43600</v>
      </c>
      <c r="N210" t="s">
        <v>65</v>
      </c>
      <c r="P210" t="s">
        <v>910</v>
      </c>
    </row>
    <row r="211" spans="1:16" x14ac:dyDescent="0.2">
      <c r="A211" t="s">
        <v>913</v>
      </c>
      <c r="B211" t="s">
        <v>914</v>
      </c>
      <c r="C211" t="s">
        <v>59</v>
      </c>
      <c r="D211" t="s">
        <v>386</v>
      </c>
      <c r="F211" t="s">
        <v>387</v>
      </c>
      <c r="G211" t="s">
        <v>915</v>
      </c>
      <c r="H211" t="s">
        <v>388</v>
      </c>
      <c r="J211">
        <v>2018</v>
      </c>
      <c r="K211" t="s">
        <v>158</v>
      </c>
      <c r="L211">
        <v>43600</v>
      </c>
      <c r="N211" t="s">
        <v>71</v>
      </c>
      <c r="O211" t="s">
        <v>66</v>
      </c>
      <c r="P211" t="s">
        <v>916</v>
      </c>
    </row>
    <row r="212" spans="1:16" x14ac:dyDescent="0.2">
      <c r="A212" t="s">
        <v>917</v>
      </c>
      <c r="B212" t="s">
        <v>918</v>
      </c>
      <c r="C212" t="s">
        <v>59</v>
      </c>
      <c r="D212" t="s">
        <v>358</v>
      </c>
      <c r="F212" t="s">
        <v>871</v>
      </c>
      <c r="H212" t="s">
        <v>77</v>
      </c>
      <c r="J212">
        <v>2019</v>
      </c>
      <c r="K212" t="s">
        <v>297</v>
      </c>
      <c r="L212">
        <v>43528</v>
      </c>
      <c r="N212" t="s">
        <v>71</v>
      </c>
      <c r="O212" t="s">
        <v>66</v>
      </c>
      <c r="P212" t="s">
        <v>919</v>
      </c>
    </row>
    <row r="213" spans="1:16" x14ac:dyDescent="0.2">
      <c r="A213" t="s">
        <v>917</v>
      </c>
      <c r="B213" t="s">
        <v>920</v>
      </c>
      <c r="C213" t="s">
        <v>59</v>
      </c>
      <c r="D213" t="s">
        <v>358</v>
      </c>
      <c r="F213" t="s">
        <v>871</v>
      </c>
      <c r="H213" t="s">
        <v>77</v>
      </c>
      <c r="J213">
        <v>2019</v>
      </c>
      <c r="K213" t="s">
        <v>297</v>
      </c>
      <c r="L213">
        <v>43668</v>
      </c>
      <c r="N213" t="s">
        <v>65</v>
      </c>
      <c r="P213" t="s">
        <v>919</v>
      </c>
    </row>
    <row r="214" spans="1:16" x14ac:dyDescent="0.2">
      <c r="A214" t="s">
        <v>921</v>
      </c>
      <c r="B214" t="s">
        <v>922</v>
      </c>
      <c r="C214" t="s">
        <v>59</v>
      </c>
      <c r="D214" t="s">
        <v>115</v>
      </c>
      <c r="F214" t="s">
        <v>923</v>
      </c>
      <c r="G214" t="s">
        <v>924</v>
      </c>
      <c r="H214" t="s">
        <v>117</v>
      </c>
      <c r="J214">
        <v>2018</v>
      </c>
      <c r="K214" t="s">
        <v>297</v>
      </c>
      <c r="L214">
        <v>43529</v>
      </c>
      <c r="N214" t="s">
        <v>65</v>
      </c>
      <c r="O214" t="s">
        <v>66</v>
      </c>
      <c r="P214" t="s">
        <v>925</v>
      </c>
    </row>
    <row r="215" spans="1:16" x14ac:dyDescent="0.2">
      <c r="A215" t="s">
        <v>926</v>
      </c>
      <c r="B215" t="s">
        <v>927</v>
      </c>
      <c r="C215" t="s">
        <v>59</v>
      </c>
      <c r="D215" t="s">
        <v>253</v>
      </c>
      <c r="F215" t="s">
        <v>928</v>
      </c>
      <c r="G215" t="s">
        <v>929</v>
      </c>
      <c r="H215" t="s">
        <v>193</v>
      </c>
      <c r="J215">
        <v>2019</v>
      </c>
      <c r="K215" t="s">
        <v>221</v>
      </c>
      <c r="L215">
        <v>43558</v>
      </c>
      <c r="N215" t="s">
        <v>65</v>
      </c>
      <c r="P215" t="s">
        <v>930</v>
      </c>
    </row>
    <row r="216" spans="1:16" x14ac:dyDescent="0.2">
      <c r="A216" t="s">
        <v>926</v>
      </c>
      <c r="B216" t="s">
        <v>931</v>
      </c>
      <c r="C216" t="s">
        <v>59</v>
      </c>
      <c r="D216" t="s">
        <v>253</v>
      </c>
      <c r="F216" t="s">
        <v>928</v>
      </c>
      <c r="G216" t="s">
        <v>932</v>
      </c>
      <c r="H216" t="s">
        <v>193</v>
      </c>
      <c r="J216">
        <v>2019</v>
      </c>
      <c r="K216" t="s">
        <v>221</v>
      </c>
      <c r="L216">
        <v>43558</v>
      </c>
      <c r="N216" t="s">
        <v>65</v>
      </c>
      <c r="P216" t="s">
        <v>930</v>
      </c>
    </row>
    <row r="217" spans="1:16" x14ac:dyDescent="0.2">
      <c r="A217" t="s">
        <v>933</v>
      </c>
      <c r="B217" t="s">
        <v>934</v>
      </c>
      <c r="C217" t="s">
        <v>59</v>
      </c>
      <c r="D217" t="s">
        <v>167</v>
      </c>
      <c r="E217" t="s">
        <v>935</v>
      </c>
      <c r="F217" t="s">
        <v>936</v>
      </c>
      <c r="H217" t="s">
        <v>117</v>
      </c>
      <c r="J217">
        <v>2019</v>
      </c>
      <c r="K217" t="s">
        <v>471</v>
      </c>
      <c r="L217">
        <v>43626</v>
      </c>
      <c r="N217" t="s">
        <v>65</v>
      </c>
      <c r="P217" t="s">
        <v>937</v>
      </c>
    </row>
    <row r="218" spans="1:16" x14ac:dyDescent="0.2">
      <c r="A218" t="s">
        <v>933</v>
      </c>
      <c r="B218" t="s">
        <v>938</v>
      </c>
      <c r="C218" t="s">
        <v>59</v>
      </c>
      <c r="D218" t="s">
        <v>167</v>
      </c>
      <c r="E218" t="s">
        <v>935</v>
      </c>
      <c r="F218" t="s">
        <v>936</v>
      </c>
      <c r="H218" t="s">
        <v>117</v>
      </c>
      <c r="J218">
        <v>2019</v>
      </c>
      <c r="K218" t="s">
        <v>471</v>
      </c>
      <c r="L218">
        <v>43672</v>
      </c>
      <c r="N218" t="s">
        <v>65</v>
      </c>
      <c r="P218" t="s">
        <v>937</v>
      </c>
    </row>
    <row r="219" spans="1:16" x14ac:dyDescent="0.2">
      <c r="A219" t="s">
        <v>939</v>
      </c>
      <c r="B219" t="s">
        <v>940</v>
      </c>
      <c r="C219" t="s">
        <v>59</v>
      </c>
      <c r="D219" t="s">
        <v>167</v>
      </c>
      <c r="F219" t="s">
        <v>941</v>
      </c>
      <c r="H219" t="s">
        <v>255</v>
      </c>
      <c r="J219">
        <v>2019</v>
      </c>
      <c r="K219" t="s">
        <v>158</v>
      </c>
      <c r="L219">
        <v>43626</v>
      </c>
      <c r="N219" t="s">
        <v>65</v>
      </c>
      <c r="O219" t="s">
        <v>66</v>
      </c>
      <c r="P219" t="s">
        <v>942</v>
      </c>
    </row>
    <row r="220" spans="1:16" x14ac:dyDescent="0.2">
      <c r="A220" t="s">
        <v>939</v>
      </c>
      <c r="B220" t="s">
        <v>943</v>
      </c>
      <c r="C220" t="s">
        <v>59</v>
      </c>
      <c r="D220" t="s">
        <v>167</v>
      </c>
      <c r="F220" t="s">
        <v>941</v>
      </c>
      <c r="H220" t="s">
        <v>255</v>
      </c>
      <c r="J220">
        <v>2019</v>
      </c>
      <c r="K220" t="s">
        <v>158</v>
      </c>
      <c r="L220">
        <v>43748</v>
      </c>
      <c r="N220" t="s">
        <v>65</v>
      </c>
      <c r="O220" t="s">
        <v>66</v>
      </c>
      <c r="P220" t="s">
        <v>942</v>
      </c>
    </row>
    <row r="221" spans="1:16" x14ac:dyDescent="0.2">
      <c r="A221" t="s">
        <v>944</v>
      </c>
      <c r="B221" t="s">
        <v>945</v>
      </c>
      <c r="C221" t="s">
        <v>59</v>
      </c>
      <c r="D221" t="s">
        <v>88</v>
      </c>
      <c r="F221" t="s">
        <v>946</v>
      </c>
      <c r="H221" t="s">
        <v>89</v>
      </c>
      <c r="J221">
        <v>2019</v>
      </c>
      <c r="K221" t="s">
        <v>471</v>
      </c>
      <c r="L221">
        <v>43651</v>
      </c>
      <c r="N221" t="s">
        <v>65</v>
      </c>
      <c r="P221" t="s">
        <v>947</v>
      </c>
    </row>
    <row r="222" spans="1:16" x14ac:dyDescent="0.2">
      <c r="A222" t="s">
        <v>944</v>
      </c>
      <c r="B222" t="s">
        <v>948</v>
      </c>
      <c r="C222" t="s">
        <v>59</v>
      </c>
      <c r="D222" t="s">
        <v>88</v>
      </c>
      <c r="F222" t="s">
        <v>946</v>
      </c>
      <c r="H222" t="s">
        <v>89</v>
      </c>
      <c r="J222">
        <v>2019</v>
      </c>
      <c r="K222" t="s">
        <v>471</v>
      </c>
      <c r="L222">
        <v>43651</v>
      </c>
      <c r="N222" t="s">
        <v>65</v>
      </c>
      <c r="P222" t="s">
        <v>947</v>
      </c>
    </row>
    <row r="223" spans="1:16" x14ac:dyDescent="0.2">
      <c r="A223" t="s">
        <v>949</v>
      </c>
      <c r="B223" t="s">
        <v>950</v>
      </c>
      <c r="C223" t="s">
        <v>59</v>
      </c>
      <c r="D223" t="s">
        <v>167</v>
      </c>
      <c r="F223" t="s">
        <v>951</v>
      </c>
      <c r="H223" t="s">
        <v>77</v>
      </c>
      <c r="J223">
        <v>2019</v>
      </c>
      <c r="K223" t="s">
        <v>158</v>
      </c>
      <c r="L223">
        <v>43585</v>
      </c>
      <c r="N223" t="s">
        <v>65</v>
      </c>
      <c r="O223" t="s">
        <v>66</v>
      </c>
      <c r="P223" t="s">
        <v>952</v>
      </c>
    </row>
    <row r="224" spans="1:16" x14ac:dyDescent="0.2">
      <c r="A224" t="s">
        <v>953</v>
      </c>
      <c r="B224" t="s">
        <v>954</v>
      </c>
      <c r="C224" t="s">
        <v>59</v>
      </c>
      <c r="D224" t="s">
        <v>955</v>
      </c>
      <c r="E224" t="s">
        <v>444</v>
      </c>
      <c r="F224" t="s">
        <v>956</v>
      </c>
      <c r="H224" t="s">
        <v>266</v>
      </c>
      <c r="J224">
        <v>2019</v>
      </c>
      <c r="K224" t="s">
        <v>158</v>
      </c>
      <c r="L224">
        <v>43605</v>
      </c>
      <c r="N224" t="s">
        <v>65</v>
      </c>
      <c r="O224" t="s">
        <v>66</v>
      </c>
      <c r="P224" t="s">
        <v>957</v>
      </c>
    </row>
    <row r="225" spans="1:16" x14ac:dyDescent="0.2">
      <c r="A225" t="s">
        <v>958</v>
      </c>
      <c r="B225" t="s">
        <v>959</v>
      </c>
      <c r="C225" t="s">
        <v>59</v>
      </c>
      <c r="D225" t="s">
        <v>121</v>
      </c>
      <c r="E225" t="s">
        <v>115</v>
      </c>
      <c r="F225" t="s">
        <v>960</v>
      </c>
      <c r="H225" t="s">
        <v>338</v>
      </c>
      <c r="J225">
        <v>2019</v>
      </c>
      <c r="K225" t="s">
        <v>158</v>
      </c>
      <c r="L225">
        <v>43585</v>
      </c>
      <c r="N225" t="s">
        <v>65</v>
      </c>
      <c r="O225" t="s">
        <v>66</v>
      </c>
      <c r="P225" t="s">
        <v>961</v>
      </c>
    </row>
    <row r="226" spans="1:16" x14ac:dyDescent="0.2">
      <c r="A226" t="s">
        <v>958</v>
      </c>
      <c r="B226" t="s">
        <v>962</v>
      </c>
      <c r="C226" t="s">
        <v>59</v>
      </c>
      <c r="D226" t="s">
        <v>121</v>
      </c>
      <c r="E226" t="s">
        <v>115</v>
      </c>
      <c r="F226" t="s">
        <v>960</v>
      </c>
      <c r="H226" t="s">
        <v>338</v>
      </c>
      <c r="J226">
        <v>2019</v>
      </c>
      <c r="K226" t="s">
        <v>158</v>
      </c>
      <c r="L226">
        <v>43585</v>
      </c>
      <c r="N226" t="s">
        <v>65</v>
      </c>
      <c r="O226" t="s">
        <v>66</v>
      </c>
      <c r="P226" t="s">
        <v>961</v>
      </c>
    </row>
    <row r="227" spans="1:16" x14ac:dyDescent="0.2">
      <c r="A227" t="s">
        <v>963</v>
      </c>
      <c r="B227" t="s">
        <v>964</v>
      </c>
      <c r="C227" t="s">
        <v>59</v>
      </c>
      <c r="D227" t="s">
        <v>306</v>
      </c>
      <c r="E227" t="s">
        <v>301</v>
      </c>
      <c r="F227" t="s">
        <v>325</v>
      </c>
      <c r="G227" t="s">
        <v>965</v>
      </c>
      <c r="H227" t="s">
        <v>117</v>
      </c>
      <c r="J227">
        <v>2019</v>
      </c>
      <c r="K227" t="s">
        <v>202</v>
      </c>
      <c r="L227">
        <v>43647</v>
      </c>
      <c r="N227" t="s">
        <v>65</v>
      </c>
      <c r="O227" t="s">
        <v>66</v>
      </c>
      <c r="P227" t="s">
        <v>966</v>
      </c>
    </row>
    <row r="228" spans="1:16" x14ac:dyDescent="0.2">
      <c r="A228" t="s">
        <v>963</v>
      </c>
      <c r="B228" t="s">
        <v>967</v>
      </c>
      <c r="C228" t="s">
        <v>59</v>
      </c>
      <c r="D228" t="s">
        <v>306</v>
      </c>
      <c r="E228" t="s">
        <v>301</v>
      </c>
      <c r="F228" t="s">
        <v>325</v>
      </c>
      <c r="G228" t="s">
        <v>968</v>
      </c>
      <c r="H228" t="s">
        <v>117</v>
      </c>
      <c r="J228">
        <v>2019</v>
      </c>
      <c r="K228" t="s">
        <v>202</v>
      </c>
      <c r="L228">
        <v>43724</v>
      </c>
      <c r="N228" t="s">
        <v>65</v>
      </c>
      <c r="O228" t="s">
        <v>66</v>
      </c>
      <c r="P228" t="s">
        <v>966</v>
      </c>
    </row>
    <row r="229" spans="1:16" x14ac:dyDescent="0.2">
      <c r="A229" t="s">
        <v>963</v>
      </c>
      <c r="B229" t="s">
        <v>969</v>
      </c>
      <c r="C229" t="s">
        <v>59</v>
      </c>
      <c r="D229" t="s">
        <v>306</v>
      </c>
      <c r="E229" t="s">
        <v>301</v>
      </c>
      <c r="F229" t="s">
        <v>325</v>
      </c>
      <c r="G229" t="s">
        <v>970</v>
      </c>
      <c r="H229" t="s">
        <v>117</v>
      </c>
      <c r="J229">
        <v>2019</v>
      </c>
      <c r="K229" t="s">
        <v>202</v>
      </c>
      <c r="L229">
        <v>44032</v>
      </c>
      <c r="N229" t="s">
        <v>65</v>
      </c>
      <c r="O229" t="s">
        <v>66</v>
      </c>
      <c r="P229" t="s">
        <v>966</v>
      </c>
    </row>
    <row r="230" spans="1:16" x14ac:dyDescent="0.2">
      <c r="A230" t="s">
        <v>971</v>
      </c>
      <c r="B230" t="s">
        <v>972</v>
      </c>
      <c r="C230" t="s">
        <v>59</v>
      </c>
      <c r="D230" t="s">
        <v>270</v>
      </c>
      <c r="F230" t="s">
        <v>452</v>
      </c>
      <c r="G230" t="s">
        <v>973</v>
      </c>
      <c r="H230" t="s">
        <v>77</v>
      </c>
      <c r="J230">
        <v>2019</v>
      </c>
      <c r="K230" t="s">
        <v>158</v>
      </c>
      <c r="L230">
        <v>43584</v>
      </c>
      <c r="N230" t="s">
        <v>65</v>
      </c>
      <c r="O230" t="s">
        <v>66</v>
      </c>
      <c r="P230" t="s">
        <v>974</v>
      </c>
    </row>
    <row r="231" spans="1:16" x14ac:dyDescent="0.2">
      <c r="A231" t="s">
        <v>975</v>
      </c>
      <c r="B231" t="s">
        <v>976</v>
      </c>
      <c r="C231" t="s">
        <v>59</v>
      </c>
      <c r="D231" t="s">
        <v>115</v>
      </c>
      <c r="F231" t="s">
        <v>977</v>
      </c>
      <c r="H231" t="s">
        <v>367</v>
      </c>
      <c r="J231">
        <v>2019</v>
      </c>
      <c r="K231" t="s">
        <v>221</v>
      </c>
      <c r="L231">
        <v>43655</v>
      </c>
      <c r="M231" t="s">
        <v>978</v>
      </c>
      <c r="N231" t="s">
        <v>65</v>
      </c>
      <c r="P231" t="s">
        <v>979</v>
      </c>
    </row>
    <row r="232" spans="1:16" x14ac:dyDescent="0.2">
      <c r="A232" t="s">
        <v>975</v>
      </c>
      <c r="B232" t="s">
        <v>980</v>
      </c>
      <c r="C232" t="s">
        <v>59</v>
      </c>
      <c r="D232" t="s">
        <v>115</v>
      </c>
      <c r="F232" t="s">
        <v>977</v>
      </c>
      <c r="H232" t="s">
        <v>367</v>
      </c>
      <c r="J232">
        <v>2019</v>
      </c>
      <c r="K232" t="s">
        <v>31</v>
      </c>
      <c r="L232">
        <v>43592</v>
      </c>
      <c r="M232" t="s">
        <v>978</v>
      </c>
      <c r="N232" t="s">
        <v>71</v>
      </c>
      <c r="P232" t="s">
        <v>979</v>
      </c>
    </row>
    <row r="233" spans="1:16" x14ac:dyDescent="0.2">
      <c r="A233" t="s">
        <v>981</v>
      </c>
      <c r="B233" t="s">
        <v>982</v>
      </c>
      <c r="C233" t="s">
        <v>59</v>
      </c>
      <c r="D233" t="s">
        <v>253</v>
      </c>
      <c r="F233" t="s">
        <v>476</v>
      </c>
      <c r="H233" t="s">
        <v>409</v>
      </c>
      <c r="J233">
        <v>2019</v>
      </c>
      <c r="K233" t="s">
        <v>221</v>
      </c>
      <c r="L233">
        <v>43621</v>
      </c>
      <c r="N233" t="s">
        <v>71</v>
      </c>
      <c r="P233" t="s">
        <v>983</v>
      </c>
    </row>
    <row r="234" spans="1:16" x14ac:dyDescent="0.2">
      <c r="A234" t="s">
        <v>984</v>
      </c>
      <c r="B234" t="s">
        <v>985</v>
      </c>
      <c r="C234" t="s">
        <v>59</v>
      </c>
      <c r="D234" t="s">
        <v>660</v>
      </c>
      <c r="E234" t="s">
        <v>343</v>
      </c>
      <c r="F234" t="s">
        <v>661</v>
      </c>
      <c r="G234" t="s">
        <v>986</v>
      </c>
      <c r="H234" t="s">
        <v>77</v>
      </c>
      <c r="J234">
        <v>2019</v>
      </c>
      <c r="K234" t="s">
        <v>471</v>
      </c>
      <c r="L234">
        <v>43646</v>
      </c>
      <c r="N234" t="s">
        <v>65</v>
      </c>
      <c r="P234" t="s">
        <v>987</v>
      </c>
    </row>
    <row r="235" spans="1:16" x14ac:dyDescent="0.2">
      <c r="A235" t="s">
        <v>988</v>
      </c>
      <c r="B235" t="s">
        <v>989</v>
      </c>
      <c r="C235" t="s">
        <v>59</v>
      </c>
      <c r="D235" t="s">
        <v>82</v>
      </c>
      <c r="F235" t="s">
        <v>990</v>
      </c>
      <c r="H235" t="s">
        <v>255</v>
      </c>
      <c r="J235">
        <v>2019</v>
      </c>
      <c r="K235" t="s">
        <v>202</v>
      </c>
      <c r="L235">
        <v>43656</v>
      </c>
      <c r="N235" t="s">
        <v>65</v>
      </c>
      <c r="O235" t="s">
        <v>66</v>
      </c>
      <c r="P235" t="s">
        <v>991</v>
      </c>
    </row>
    <row r="236" spans="1:16" x14ac:dyDescent="0.2">
      <c r="A236" t="s">
        <v>988</v>
      </c>
      <c r="B236" t="s">
        <v>992</v>
      </c>
      <c r="C236" t="s">
        <v>59</v>
      </c>
      <c r="D236" t="s">
        <v>82</v>
      </c>
      <c r="F236" t="s">
        <v>990</v>
      </c>
      <c r="G236" t="s">
        <v>993</v>
      </c>
      <c r="H236" t="s">
        <v>255</v>
      </c>
      <c r="J236">
        <v>2019</v>
      </c>
      <c r="K236" t="s">
        <v>202</v>
      </c>
      <c r="L236">
        <v>43656</v>
      </c>
      <c r="M236" t="s">
        <v>994</v>
      </c>
      <c r="N236" t="s">
        <v>71</v>
      </c>
      <c r="O236" t="s">
        <v>66</v>
      </c>
      <c r="P236" t="s">
        <v>991</v>
      </c>
    </row>
    <row r="237" spans="1:16" x14ac:dyDescent="0.2">
      <c r="A237" t="s">
        <v>995</v>
      </c>
      <c r="B237" t="s">
        <v>996</v>
      </c>
      <c r="C237" t="s">
        <v>59</v>
      </c>
      <c r="D237" t="s">
        <v>386</v>
      </c>
      <c r="F237" t="s">
        <v>997</v>
      </c>
      <c r="G237" t="s">
        <v>915</v>
      </c>
      <c r="H237" t="s">
        <v>388</v>
      </c>
      <c r="J237">
        <v>2019</v>
      </c>
      <c r="K237" t="s">
        <v>158</v>
      </c>
      <c r="L237">
        <v>43678</v>
      </c>
      <c r="N237" t="s">
        <v>71</v>
      </c>
      <c r="O237" t="s">
        <v>66</v>
      </c>
      <c r="P237" t="s">
        <v>998</v>
      </c>
    </row>
    <row r="238" spans="1:16" x14ac:dyDescent="0.2">
      <c r="A238" t="s">
        <v>999</v>
      </c>
      <c r="B238" t="s">
        <v>1000</v>
      </c>
      <c r="C238" t="s">
        <v>59</v>
      </c>
      <c r="D238" t="s">
        <v>529</v>
      </c>
      <c r="F238" t="s">
        <v>530</v>
      </c>
      <c r="G238" t="s">
        <v>1001</v>
      </c>
      <c r="H238" t="s">
        <v>110</v>
      </c>
      <c r="J238">
        <v>2019</v>
      </c>
      <c r="K238" t="s">
        <v>471</v>
      </c>
      <c r="L238">
        <v>43707</v>
      </c>
      <c r="N238" t="s">
        <v>65</v>
      </c>
      <c r="P238" t="s">
        <v>1002</v>
      </c>
    </row>
    <row r="239" spans="1:16" x14ac:dyDescent="0.2">
      <c r="A239" t="s">
        <v>999</v>
      </c>
      <c r="B239" t="s">
        <v>1003</v>
      </c>
      <c r="C239" t="s">
        <v>59</v>
      </c>
      <c r="D239" t="s">
        <v>529</v>
      </c>
      <c r="F239" t="s">
        <v>530</v>
      </c>
      <c r="G239" t="s">
        <v>1001</v>
      </c>
      <c r="H239" t="s">
        <v>110</v>
      </c>
      <c r="J239">
        <v>2019</v>
      </c>
      <c r="K239" t="s">
        <v>471</v>
      </c>
      <c r="L239">
        <v>43665</v>
      </c>
      <c r="N239" t="s">
        <v>71</v>
      </c>
      <c r="P239" t="s">
        <v>1002</v>
      </c>
    </row>
    <row r="240" spans="1:16" x14ac:dyDescent="0.2">
      <c r="A240" t="s">
        <v>1004</v>
      </c>
      <c r="B240" t="s">
        <v>1005</v>
      </c>
      <c r="C240" t="s">
        <v>59</v>
      </c>
      <c r="D240" t="s">
        <v>820</v>
      </c>
      <c r="E240" t="s">
        <v>816</v>
      </c>
      <c r="F240" t="s">
        <v>960</v>
      </c>
      <c r="G240" t="s">
        <v>1006</v>
      </c>
      <c r="H240" t="s">
        <v>338</v>
      </c>
      <c r="J240">
        <v>2019</v>
      </c>
      <c r="K240" t="s">
        <v>471</v>
      </c>
      <c r="L240">
        <v>43631</v>
      </c>
      <c r="N240" t="s">
        <v>65</v>
      </c>
      <c r="P240" t="s">
        <v>1007</v>
      </c>
    </row>
    <row r="241" spans="1:16" x14ac:dyDescent="0.2">
      <c r="A241" t="s">
        <v>1008</v>
      </c>
      <c r="B241" t="s">
        <v>1009</v>
      </c>
      <c r="C241" t="s">
        <v>59</v>
      </c>
      <c r="D241" t="s">
        <v>1010</v>
      </c>
      <c r="E241" t="s">
        <v>115</v>
      </c>
      <c r="F241" t="s">
        <v>337</v>
      </c>
      <c r="H241" t="s">
        <v>338</v>
      </c>
      <c r="J241">
        <v>2019</v>
      </c>
      <c r="K241" t="s">
        <v>64</v>
      </c>
      <c r="L241">
        <v>43665</v>
      </c>
      <c r="N241" t="s">
        <v>65</v>
      </c>
      <c r="P241" t="s">
        <v>1011</v>
      </c>
    </row>
    <row r="242" spans="1:16" x14ac:dyDescent="0.2">
      <c r="A242" t="s">
        <v>1012</v>
      </c>
      <c r="C242" t="s">
        <v>59</v>
      </c>
      <c r="D242" t="s">
        <v>115</v>
      </c>
      <c r="F242" t="s">
        <v>192</v>
      </c>
      <c r="G242" t="s">
        <v>1013</v>
      </c>
      <c r="H242" t="s">
        <v>193</v>
      </c>
      <c r="J242">
        <v>2019</v>
      </c>
      <c r="K242" t="s">
        <v>221</v>
      </c>
      <c r="N242" t="s">
        <v>65</v>
      </c>
      <c r="P242" t="s">
        <v>1014</v>
      </c>
    </row>
    <row r="243" spans="1:16" x14ac:dyDescent="0.2">
      <c r="A243" t="s">
        <v>1015</v>
      </c>
      <c r="B243" t="s">
        <v>1016</v>
      </c>
      <c r="C243" t="s">
        <v>59</v>
      </c>
      <c r="D243" t="s">
        <v>1017</v>
      </c>
      <c r="F243" t="s">
        <v>1018</v>
      </c>
      <c r="H243" t="s">
        <v>1019</v>
      </c>
      <c r="J243">
        <v>2019</v>
      </c>
      <c r="K243" t="s">
        <v>202</v>
      </c>
      <c r="L243">
        <v>43800</v>
      </c>
      <c r="N243" t="s">
        <v>65</v>
      </c>
      <c r="O243" t="s">
        <v>66</v>
      </c>
      <c r="P243" t="s">
        <v>1020</v>
      </c>
    </row>
    <row r="244" spans="1:16" x14ac:dyDescent="0.2">
      <c r="A244" t="s">
        <v>1015</v>
      </c>
      <c r="B244" t="s">
        <v>1021</v>
      </c>
      <c r="C244" t="s">
        <v>59</v>
      </c>
      <c r="D244" t="s">
        <v>1017</v>
      </c>
      <c r="F244" t="s">
        <v>1018</v>
      </c>
      <c r="H244" t="s">
        <v>1019</v>
      </c>
      <c r="J244">
        <v>2019</v>
      </c>
      <c r="K244" t="s">
        <v>202</v>
      </c>
      <c r="L244">
        <v>43906</v>
      </c>
      <c r="N244" t="s">
        <v>65</v>
      </c>
      <c r="O244" t="s">
        <v>66</v>
      </c>
      <c r="P244" t="s">
        <v>1020</v>
      </c>
    </row>
    <row r="245" spans="1:16" x14ac:dyDescent="0.2">
      <c r="A245" t="s">
        <v>1022</v>
      </c>
      <c r="B245" t="s">
        <v>1023</v>
      </c>
      <c r="C245" t="s">
        <v>59</v>
      </c>
      <c r="D245" t="s">
        <v>1024</v>
      </c>
      <c r="E245" t="s">
        <v>301</v>
      </c>
      <c r="F245" t="s">
        <v>1025</v>
      </c>
      <c r="G245" t="s">
        <v>1026</v>
      </c>
      <c r="H245" t="s">
        <v>117</v>
      </c>
      <c r="J245">
        <v>2019</v>
      </c>
      <c r="K245" t="s">
        <v>64</v>
      </c>
      <c r="L245">
        <v>43718</v>
      </c>
      <c r="N245" t="s">
        <v>65</v>
      </c>
      <c r="P245" t="s">
        <v>1027</v>
      </c>
    </row>
    <row r="246" spans="1:16" x14ac:dyDescent="0.2">
      <c r="A246" t="s">
        <v>1028</v>
      </c>
      <c r="B246" t="s">
        <v>1029</v>
      </c>
      <c r="C246" t="s">
        <v>59</v>
      </c>
      <c r="D246" t="s">
        <v>115</v>
      </c>
      <c r="F246" t="s">
        <v>715</v>
      </c>
      <c r="H246" t="s">
        <v>716</v>
      </c>
      <c r="J246">
        <v>2019</v>
      </c>
      <c r="K246" t="s">
        <v>221</v>
      </c>
      <c r="L246">
        <v>43707</v>
      </c>
      <c r="N246" t="s">
        <v>65</v>
      </c>
      <c r="P246" t="s">
        <v>1030</v>
      </c>
    </row>
    <row r="247" spans="1:16" x14ac:dyDescent="0.2">
      <c r="A247" t="s">
        <v>1031</v>
      </c>
      <c r="B247" t="s">
        <v>1032</v>
      </c>
      <c r="C247" t="s">
        <v>59</v>
      </c>
      <c r="D247" t="s">
        <v>88</v>
      </c>
      <c r="F247" t="s">
        <v>1033</v>
      </c>
      <c r="H247" t="s">
        <v>89</v>
      </c>
      <c r="J247">
        <v>2019</v>
      </c>
      <c r="K247" t="s">
        <v>221</v>
      </c>
      <c r="L247">
        <v>43738</v>
      </c>
      <c r="N247" t="s">
        <v>65</v>
      </c>
      <c r="P247" t="s">
        <v>1034</v>
      </c>
    </row>
    <row r="248" spans="1:16" x14ac:dyDescent="0.2">
      <c r="A248" t="s">
        <v>1035</v>
      </c>
      <c r="B248" t="s">
        <v>1036</v>
      </c>
      <c r="C248" t="s">
        <v>59</v>
      </c>
      <c r="D248" t="s">
        <v>1037</v>
      </c>
      <c r="F248" t="s">
        <v>476</v>
      </c>
      <c r="H248" t="s">
        <v>409</v>
      </c>
      <c r="J248">
        <v>2019</v>
      </c>
      <c r="K248" t="s">
        <v>221</v>
      </c>
      <c r="L248">
        <v>43626</v>
      </c>
      <c r="N248" t="s">
        <v>65</v>
      </c>
      <c r="P248" t="s">
        <v>1038</v>
      </c>
    </row>
    <row r="249" spans="1:16" x14ac:dyDescent="0.2">
      <c r="A249" t="s">
        <v>1039</v>
      </c>
      <c r="B249" t="s">
        <v>1040</v>
      </c>
      <c r="C249" t="s">
        <v>59</v>
      </c>
      <c r="D249" t="s">
        <v>386</v>
      </c>
      <c r="F249" t="s">
        <v>1041</v>
      </c>
      <c r="G249" t="s">
        <v>1042</v>
      </c>
      <c r="H249" t="s">
        <v>388</v>
      </c>
      <c r="J249">
        <v>2019</v>
      </c>
      <c r="K249" t="s">
        <v>158</v>
      </c>
      <c r="L249">
        <v>43748</v>
      </c>
      <c r="M249" t="s">
        <v>1043</v>
      </c>
      <c r="N249" t="s">
        <v>65</v>
      </c>
      <c r="O249" t="s">
        <v>66</v>
      </c>
      <c r="P249" t="s">
        <v>1044</v>
      </c>
    </row>
    <row r="250" spans="1:16" x14ac:dyDescent="0.2">
      <c r="A250" t="s">
        <v>1045</v>
      </c>
      <c r="B250" t="s">
        <v>1046</v>
      </c>
      <c r="C250" t="s">
        <v>59</v>
      </c>
      <c r="D250" t="s">
        <v>820</v>
      </c>
      <c r="E250" t="s">
        <v>115</v>
      </c>
      <c r="F250" t="s">
        <v>1047</v>
      </c>
      <c r="H250" t="s">
        <v>418</v>
      </c>
      <c r="J250">
        <v>2019</v>
      </c>
      <c r="K250" t="s">
        <v>158</v>
      </c>
      <c r="L250">
        <v>43815</v>
      </c>
      <c r="N250" t="s">
        <v>65</v>
      </c>
      <c r="O250" t="s">
        <v>66</v>
      </c>
      <c r="P250" t="s">
        <v>1048</v>
      </c>
    </row>
    <row r="251" spans="1:16" x14ac:dyDescent="0.2">
      <c r="A251" t="s">
        <v>1045</v>
      </c>
      <c r="B251" t="s">
        <v>1049</v>
      </c>
      <c r="C251" t="s">
        <v>59</v>
      </c>
      <c r="D251" t="s">
        <v>820</v>
      </c>
      <c r="E251" t="s">
        <v>115</v>
      </c>
      <c r="F251" t="s">
        <v>1047</v>
      </c>
      <c r="G251" t="s">
        <v>1050</v>
      </c>
      <c r="H251" t="s">
        <v>418</v>
      </c>
      <c r="J251">
        <v>2019</v>
      </c>
      <c r="K251" t="s">
        <v>158</v>
      </c>
      <c r="L251">
        <v>43784</v>
      </c>
      <c r="N251" t="s">
        <v>65</v>
      </c>
      <c r="O251" t="s">
        <v>66</v>
      </c>
      <c r="P251" t="s">
        <v>1048</v>
      </c>
    </row>
    <row r="252" spans="1:16" x14ac:dyDescent="0.2">
      <c r="A252" t="s">
        <v>1051</v>
      </c>
      <c r="B252" t="s">
        <v>1052</v>
      </c>
      <c r="C252" t="s">
        <v>59</v>
      </c>
      <c r="D252" t="s">
        <v>791</v>
      </c>
      <c r="F252" t="s">
        <v>792</v>
      </c>
      <c r="G252" t="s">
        <v>1053</v>
      </c>
      <c r="H252" t="s">
        <v>338</v>
      </c>
      <c r="J252">
        <v>2019</v>
      </c>
      <c r="K252" t="s">
        <v>221</v>
      </c>
      <c r="L252">
        <v>43707</v>
      </c>
      <c r="N252" t="s">
        <v>65</v>
      </c>
      <c r="P252" t="s">
        <v>1054</v>
      </c>
    </row>
    <row r="253" spans="1:16" x14ac:dyDescent="0.2">
      <c r="A253" t="s">
        <v>1055</v>
      </c>
      <c r="B253" t="s">
        <v>1056</v>
      </c>
      <c r="C253" t="s">
        <v>59</v>
      </c>
      <c r="D253" t="s">
        <v>102</v>
      </c>
      <c r="G253" t="s">
        <v>1057</v>
      </c>
      <c r="H253" t="s">
        <v>84</v>
      </c>
      <c r="J253">
        <v>2019</v>
      </c>
      <c r="K253" t="s">
        <v>297</v>
      </c>
      <c r="L253">
        <v>43732</v>
      </c>
      <c r="N253" t="s">
        <v>65</v>
      </c>
      <c r="O253" t="s">
        <v>66</v>
      </c>
      <c r="P253" t="s">
        <v>1058</v>
      </c>
    </row>
    <row r="254" spans="1:16" x14ac:dyDescent="0.2">
      <c r="A254" t="s">
        <v>1059</v>
      </c>
      <c r="B254" t="s">
        <v>1060</v>
      </c>
      <c r="C254" t="s">
        <v>59</v>
      </c>
      <c r="D254" t="s">
        <v>167</v>
      </c>
      <c r="E254" t="s">
        <v>1061</v>
      </c>
      <c r="F254" t="s">
        <v>1062</v>
      </c>
      <c r="H254" t="s">
        <v>1063</v>
      </c>
      <c r="J254">
        <v>2019</v>
      </c>
      <c r="K254" t="s">
        <v>64</v>
      </c>
      <c r="L254">
        <v>43738</v>
      </c>
      <c r="N254" t="s">
        <v>65</v>
      </c>
      <c r="P254" t="s">
        <v>1064</v>
      </c>
    </row>
    <row r="255" spans="1:16" x14ac:dyDescent="0.2">
      <c r="A255" t="s">
        <v>1065</v>
      </c>
      <c r="B255" t="s">
        <v>1066</v>
      </c>
      <c r="C255" t="s">
        <v>59</v>
      </c>
      <c r="D255" t="s">
        <v>1067</v>
      </c>
      <c r="F255" t="s">
        <v>452</v>
      </c>
      <c r="H255" t="s">
        <v>77</v>
      </c>
      <c r="J255">
        <v>2019</v>
      </c>
      <c r="K255" t="s">
        <v>297</v>
      </c>
      <c r="L255">
        <v>43658</v>
      </c>
      <c r="N255" t="s">
        <v>65</v>
      </c>
      <c r="P255" t="s">
        <v>1068</v>
      </c>
    </row>
    <row r="256" spans="1:16" x14ac:dyDescent="0.2">
      <c r="A256" t="s">
        <v>1069</v>
      </c>
      <c r="B256" t="s">
        <v>1070</v>
      </c>
      <c r="C256" t="s">
        <v>59</v>
      </c>
      <c r="D256" t="s">
        <v>167</v>
      </c>
      <c r="F256" t="s">
        <v>1071</v>
      </c>
      <c r="H256" t="s">
        <v>1072</v>
      </c>
      <c r="J256">
        <v>2019</v>
      </c>
      <c r="K256" t="s">
        <v>64</v>
      </c>
      <c r="L256">
        <v>44286</v>
      </c>
      <c r="N256" t="s">
        <v>65</v>
      </c>
      <c r="P256" t="s">
        <v>1073</v>
      </c>
    </row>
    <row r="257" spans="1:16" x14ac:dyDescent="0.2">
      <c r="A257" t="s">
        <v>1074</v>
      </c>
      <c r="B257" t="s">
        <v>1075</v>
      </c>
      <c r="C257" t="s">
        <v>59</v>
      </c>
      <c r="D257" t="s">
        <v>121</v>
      </c>
      <c r="E257" t="s">
        <v>115</v>
      </c>
      <c r="F257" t="s">
        <v>1047</v>
      </c>
      <c r="H257" t="s">
        <v>418</v>
      </c>
      <c r="J257">
        <v>2019</v>
      </c>
      <c r="K257" t="s">
        <v>158</v>
      </c>
      <c r="L257" t="s">
        <v>1076</v>
      </c>
      <c r="N257" t="s">
        <v>65</v>
      </c>
      <c r="O257" t="s">
        <v>66</v>
      </c>
      <c r="P257" t="s">
        <v>1077</v>
      </c>
    </row>
    <row r="258" spans="1:16" x14ac:dyDescent="0.2">
      <c r="A258" t="s">
        <v>1078</v>
      </c>
      <c r="B258" t="s">
        <v>1079</v>
      </c>
      <c r="C258" t="s">
        <v>59</v>
      </c>
      <c r="D258" t="s">
        <v>889</v>
      </c>
      <c r="E258" t="s">
        <v>115</v>
      </c>
      <c r="F258" t="s">
        <v>1080</v>
      </c>
      <c r="H258" t="s">
        <v>418</v>
      </c>
      <c r="J258">
        <v>2019</v>
      </c>
      <c r="K258" t="s">
        <v>64</v>
      </c>
      <c r="L258">
        <v>43966</v>
      </c>
      <c r="M258" t="s">
        <v>1081</v>
      </c>
      <c r="N258" t="s">
        <v>545</v>
      </c>
      <c r="P258" t="s">
        <v>1082</v>
      </c>
    </row>
    <row r="259" spans="1:16" x14ac:dyDescent="0.2">
      <c r="A259" t="s">
        <v>1083</v>
      </c>
      <c r="B259" t="s">
        <v>1084</v>
      </c>
      <c r="C259" t="s">
        <v>59</v>
      </c>
      <c r="D259" t="s">
        <v>1085</v>
      </c>
      <c r="E259" t="s">
        <v>115</v>
      </c>
      <c r="F259" t="s">
        <v>1086</v>
      </c>
      <c r="G259" t="s">
        <v>1087</v>
      </c>
      <c r="H259" t="s">
        <v>198</v>
      </c>
      <c r="J259">
        <v>2019</v>
      </c>
      <c r="K259" t="s">
        <v>471</v>
      </c>
      <c r="L259">
        <v>43815</v>
      </c>
      <c r="N259" t="s">
        <v>65</v>
      </c>
      <c r="P259" t="s">
        <v>1088</v>
      </c>
    </row>
    <row r="260" spans="1:16" x14ac:dyDescent="0.2">
      <c r="A260" t="s">
        <v>1083</v>
      </c>
      <c r="B260" t="s">
        <v>1089</v>
      </c>
      <c r="C260" t="s">
        <v>59</v>
      </c>
      <c r="D260" t="s">
        <v>1085</v>
      </c>
      <c r="E260" t="s">
        <v>115</v>
      </c>
      <c r="F260" t="s">
        <v>1086</v>
      </c>
      <c r="G260" t="s">
        <v>1087</v>
      </c>
      <c r="H260" t="s">
        <v>198</v>
      </c>
      <c r="J260">
        <v>2019</v>
      </c>
      <c r="K260" t="s">
        <v>471</v>
      </c>
      <c r="L260">
        <v>43881</v>
      </c>
      <c r="N260" t="s">
        <v>65</v>
      </c>
      <c r="P260" t="s">
        <v>1088</v>
      </c>
    </row>
    <row r="261" spans="1:16" x14ac:dyDescent="0.2">
      <c r="A261" t="s">
        <v>1090</v>
      </c>
      <c r="B261" t="s">
        <v>1091</v>
      </c>
      <c r="C261" t="s">
        <v>59</v>
      </c>
      <c r="D261" t="s">
        <v>1092</v>
      </c>
      <c r="E261" t="s">
        <v>115</v>
      </c>
      <c r="F261" t="s">
        <v>960</v>
      </c>
      <c r="H261" t="s">
        <v>338</v>
      </c>
      <c r="J261">
        <v>2019</v>
      </c>
      <c r="K261" t="s">
        <v>158</v>
      </c>
      <c r="L261">
        <v>43864</v>
      </c>
      <c r="N261" t="s">
        <v>65</v>
      </c>
      <c r="O261" t="s">
        <v>66</v>
      </c>
      <c r="P261" t="s">
        <v>1093</v>
      </c>
    </row>
    <row r="262" spans="1:16" x14ac:dyDescent="0.2">
      <c r="A262" t="s">
        <v>1094</v>
      </c>
      <c r="B262" t="s">
        <v>1095</v>
      </c>
      <c r="C262" t="s">
        <v>59</v>
      </c>
      <c r="D262" t="s">
        <v>60</v>
      </c>
      <c r="F262" t="s">
        <v>1096</v>
      </c>
      <c r="H262" t="s">
        <v>63</v>
      </c>
      <c r="J262">
        <v>2019</v>
      </c>
      <c r="K262" t="s">
        <v>221</v>
      </c>
      <c r="L262">
        <v>43776</v>
      </c>
      <c r="N262" t="s">
        <v>65</v>
      </c>
      <c r="P262" t="s">
        <v>1097</v>
      </c>
    </row>
    <row r="263" spans="1:16" x14ac:dyDescent="0.2">
      <c r="A263" t="s">
        <v>1098</v>
      </c>
      <c r="B263" t="s">
        <v>1099</v>
      </c>
      <c r="C263" t="s">
        <v>59</v>
      </c>
      <c r="D263" t="s">
        <v>561</v>
      </c>
      <c r="F263" t="s">
        <v>1100</v>
      </c>
      <c r="H263" t="s">
        <v>110</v>
      </c>
      <c r="J263">
        <v>2019</v>
      </c>
      <c r="K263" t="s">
        <v>471</v>
      </c>
      <c r="L263">
        <v>43805</v>
      </c>
      <c r="N263" t="s">
        <v>65</v>
      </c>
      <c r="P263" t="s">
        <v>1101</v>
      </c>
    </row>
    <row r="264" spans="1:16" x14ac:dyDescent="0.2">
      <c r="A264" t="s">
        <v>1102</v>
      </c>
      <c r="B264" t="s">
        <v>1103</v>
      </c>
      <c r="C264" t="s">
        <v>59</v>
      </c>
      <c r="D264" t="s">
        <v>155</v>
      </c>
      <c r="F264" t="s">
        <v>93</v>
      </c>
      <c r="G264" t="s">
        <v>1042</v>
      </c>
      <c r="H264" t="s">
        <v>157</v>
      </c>
      <c r="J264">
        <v>2019</v>
      </c>
      <c r="K264" t="s">
        <v>221</v>
      </c>
      <c r="L264">
        <v>43803</v>
      </c>
      <c r="N264" t="s">
        <v>65</v>
      </c>
      <c r="P264" t="s">
        <v>1104</v>
      </c>
    </row>
    <row r="265" spans="1:16" x14ac:dyDescent="0.2">
      <c r="A265" t="s">
        <v>1105</v>
      </c>
      <c r="B265" t="s">
        <v>1106</v>
      </c>
      <c r="C265" t="s">
        <v>59</v>
      </c>
      <c r="D265" t="s">
        <v>1107</v>
      </c>
      <c r="E265" t="s">
        <v>1107</v>
      </c>
      <c r="F265" t="s">
        <v>1108</v>
      </c>
      <c r="G265" t="s">
        <v>1109</v>
      </c>
      <c r="H265" t="s">
        <v>732</v>
      </c>
      <c r="J265">
        <v>2019</v>
      </c>
      <c r="K265" t="s">
        <v>221</v>
      </c>
      <c r="L265">
        <v>43874</v>
      </c>
      <c r="N265" t="s">
        <v>65</v>
      </c>
      <c r="P265" t="s">
        <v>1110</v>
      </c>
    </row>
    <row r="266" spans="1:16" x14ac:dyDescent="0.2">
      <c r="A266" t="s">
        <v>1111</v>
      </c>
      <c r="B266" t="s">
        <v>1112</v>
      </c>
      <c r="C266" t="s">
        <v>59</v>
      </c>
      <c r="D266" t="s">
        <v>60</v>
      </c>
      <c r="F266" t="s">
        <v>331</v>
      </c>
      <c r="G266" t="s">
        <v>1113</v>
      </c>
      <c r="H266" t="s">
        <v>255</v>
      </c>
      <c r="J266">
        <v>2019</v>
      </c>
      <c r="K266" t="s">
        <v>202</v>
      </c>
      <c r="L266">
        <v>43815</v>
      </c>
      <c r="N266" t="s">
        <v>65</v>
      </c>
      <c r="O266" t="s">
        <v>66</v>
      </c>
      <c r="P266" t="s">
        <v>1114</v>
      </c>
    </row>
    <row r="267" spans="1:16" x14ac:dyDescent="0.2">
      <c r="A267" t="s">
        <v>1111</v>
      </c>
      <c r="B267" t="s">
        <v>1115</v>
      </c>
      <c r="C267" t="s">
        <v>59</v>
      </c>
      <c r="D267" t="s">
        <v>60</v>
      </c>
      <c r="F267" t="s">
        <v>331</v>
      </c>
      <c r="G267" t="s">
        <v>1042</v>
      </c>
      <c r="H267" t="s">
        <v>255</v>
      </c>
      <c r="J267">
        <v>2019</v>
      </c>
      <c r="K267" t="s">
        <v>202</v>
      </c>
      <c r="L267">
        <v>43864</v>
      </c>
      <c r="N267" t="s">
        <v>65</v>
      </c>
      <c r="O267" t="s">
        <v>66</v>
      </c>
      <c r="P267" t="s">
        <v>1114</v>
      </c>
    </row>
    <row r="268" spans="1:16" x14ac:dyDescent="0.2">
      <c r="A268" t="s">
        <v>1116</v>
      </c>
      <c r="B268" t="s">
        <v>1117</v>
      </c>
      <c r="C268" t="s">
        <v>59</v>
      </c>
      <c r="D268" t="s">
        <v>1118</v>
      </c>
      <c r="E268" t="s">
        <v>115</v>
      </c>
      <c r="F268" t="s">
        <v>499</v>
      </c>
      <c r="G268" t="s">
        <v>1119</v>
      </c>
      <c r="H268" t="s">
        <v>134</v>
      </c>
      <c r="J268">
        <v>2019</v>
      </c>
      <c r="K268" t="s">
        <v>64</v>
      </c>
      <c r="L268">
        <v>43753</v>
      </c>
      <c r="N268" t="s">
        <v>65</v>
      </c>
      <c r="P268" t="s">
        <v>1120</v>
      </c>
    </row>
    <row r="269" spans="1:16" x14ac:dyDescent="0.2">
      <c r="A269" t="s">
        <v>1121</v>
      </c>
      <c r="B269" t="s">
        <v>1122</v>
      </c>
      <c r="C269" t="s">
        <v>59</v>
      </c>
      <c r="D269" t="s">
        <v>270</v>
      </c>
      <c r="F269" t="s">
        <v>452</v>
      </c>
      <c r="G269" t="s">
        <v>1123</v>
      </c>
      <c r="H269" t="s">
        <v>77</v>
      </c>
      <c r="J269">
        <v>2019</v>
      </c>
      <c r="K269" t="s">
        <v>297</v>
      </c>
      <c r="L269">
        <v>43874</v>
      </c>
      <c r="N269" t="s">
        <v>71</v>
      </c>
      <c r="P269" t="s">
        <v>1124</v>
      </c>
    </row>
    <row r="270" spans="1:16" x14ac:dyDescent="0.2">
      <c r="A270" t="s">
        <v>1125</v>
      </c>
      <c r="B270" t="s">
        <v>1126</v>
      </c>
      <c r="C270" t="s">
        <v>59</v>
      </c>
      <c r="D270" t="s">
        <v>167</v>
      </c>
      <c r="E270" t="s">
        <v>184</v>
      </c>
      <c r="F270" t="s">
        <v>1127</v>
      </c>
      <c r="H270" t="s">
        <v>84</v>
      </c>
      <c r="J270">
        <v>2019</v>
      </c>
      <c r="K270" t="s">
        <v>64</v>
      </c>
      <c r="L270">
        <v>43900</v>
      </c>
      <c r="N270" t="s">
        <v>65</v>
      </c>
      <c r="P270" t="s">
        <v>1128</v>
      </c>
    </row>
    <row r="271" spans="1:16" x14ac:dyDescent="0.2">
      <c r="A271" t="s">
        <v>1129</v>
      </c>
      <c r="B271" t="s">
        <v>1130</v>
      </c>
      <c r="C271" t="s">
        <v>59</v>
      </c>
      <c r="D271" t="s">
        <v>167</v>
      </c>
      <c r="E271" t="s">
        <v>184</v>
      </c>
      <c r="F271" t="s">
        <v>1131</v>
      </c>
      <c r="H271" t="s">
        <v>193</v>
      </c>
      <c r="I271" t="s">
        <v>1132</v>
      </c>
      <c r="J271">
        <v>2019</v>
      </c>
      <c r="K271" t="s">
        <v>158</v>
      </c>
      <c r="L271">
        <v>43819</v>
      </c>
      <c r="N271" t="s">
        <v>65</v>
      </c>
      <c r="O271" t="s">
        <v>66</v>
      </c>
      <c r="P271" t="s">
        <v>1133</v>
      </c>
    </row>
    <row r="272" spans="1:16" x14ac:dyDescent="0.2">
      <c r="A272" t="s">
        <v>1134</v>
      </c>
      <c r="B272" t="s">
        <v>1135</v>
      </c>
      <c r="C272" t="s">
        <v>59</v>
      </c>
      <c r="D272" t="s">
        <v>167</v>
      </c>
      <c r="E272" t="s">
        <v>1136</v>
      </c>
      <c r="F272" t="s">
        <v>1137</v>
      </c>
      <c r="G272" t="s">
        <v>1138</v>
      </c>
      <c r="H272" t="s">
        <v>1139</v>
      </c>
      <c r="I272" t="s">
        <v>1132</v>
      </c>
      <c r="J272">
        <v>2019</v>
      </c>
      <c r="K272" t="s">
        <v>64</v>
      </c>
      <c r="L272">
        <v>43840</v>
      </c>
      <c r="N272" t="s">
        <v>65</v>
      </c>
      <c r="P272" t="s">
        <v>1140</v>
      </c>
    </row>
    <row r="273" spans="1:16" x14ac:dyDescent="0.2">
      <c r="A273" t="s">
        <v>1141</v>
      </c>
      <c r="B273" t="s">
        <v>1142</v>
      </c>
      <c r="C273" t="s">
        <v>59</v>
      </c>
      <c r="D273" t="s">
        <v>253</v>
      </c>
      <c r="E273" t="s">
        <v>253</v>
      </c>
      <c r="F273" t="s">
        <v>928</v>
      </c>
      <c r="G273" t="s">
        <v>1143</v>
      </c>
      <c r="H273" t="s">
        <v>193</v>
      </c>
      <c r="I273" t="s">
        <v>1132</v>
      </c>
      <c r="J273">
        <v>2019</v>
      </c>
      <c r="K273" t="s">
        <v>221</v>
      </c>
      <c r="L273">
        <v>43913</v>
      </c>
      <c r="N273" t="s">
        <v>65</v>
      </c>
      <c r="P273" t="s">
        <v>1144</v>
      </c>
    </row>
    <row r="274" spans="1:16" x14ac:dyDescent="0.2">
      <c r="A274" t="s">
        <v>1145</v>
      </c>
      <c r="B274" t="s">
        <v>1146</v>
      </c>
      <c r="C274" t="s">
        <v>59</v>
      </c>
      <c r="D274" t="s">
        <v>660</v>
      </c>
      <c r="F274" t="s">
        <v>661</v>
      </c>
      <c r="G274" t="s">
        <v>1147</v>
      </c>
      <c r="H274" t="s">
        <v>77</v>
      </c>
      <c r="I274" t="s">
        <v>1132</v>
      </c>
      <c r="J274">
        <v>2019</v>
      </c>
      <c r="K274" t="s">
        <v>297</v>
      </c>
      <c r="L274">
        <v>43819</v>
      </c>
      <c r="N274" t="s">
        <v>65</v>
      </c>
      <c r="P274" t="s">
        <v>1148</v>
      </c>
    </row>
    <row r="275" spans="1:16" x14ac:dyDescent="0.2">
      <c r="A275" t="s">
        <v>1149</v>
      </c>
      <c r="B275" t="s">
        <v>954</v>
      </c>
      <c r="C275" t="s">
        <v>59</v>
      </c>
      <c r="D275" t="s">
        <v>955</v>
      </c>
      <c r="E275" t="s">
        <v>444</v>
      </c>
      <c r="F275" t="s">
        <v>1150</v>
      </c>
      <c r="H275" t="s">
        <v>338</v>
      </c>
      <c r="I275" t="s">
        <v>1132</v>
      </c>
      <c r="J275">
        <v>2019</v>
      </c>
      <c r="K275" t="s">
        <v>158</v>
      </c>
      <c r="N275" t="s">
        <v>65</v>
      </c>
      <c r="O275" t="s">
        <v>66</v>
      </c>
      <c r="P275" t="s">
        <v>1151</v>
      </c>
    </row>
    <row r="276" spans="1:16" x14ac:dyDescent="0.2">
      <c r="A276" t="s">
        <v>1152</v>
      </c>
      <c r="B276" t="s">
        <v>1153</v>
      </c>
      <c r="C276" t="s">
        <v>59</v>
      </c>
      <c r="D276" t="s">
        <v>82</v>
      </c>
      <c r="F276" t="s">
        <v>1154</v>
      </c>
      <c r="H276" t="s">
        <v>255</v>
      </c>
      <c r="I276" t="s">
        <v>1132</v>
      </c>
      <c r="J276">
        <v>2019</v>
      </c>
      <c r="K276" t="s">
        <v>1155</v>
      </c>
      <c r="L276">
        <v>43878</v>
      </c>
      <c r="N276" t="s">
        <v>65</v>
      </c>
      <c r="O276" t="s">
        <v>66</v>
      </c>
      <c r="P276" t="s">
        <v>1156</v>
      </c>
    </row>
    <row r="277" spans="1:16" x14ac:dyDescent="0.2">
      <c r="A277" t="s">
        <v>1157</v>
      </c>
      <c r="B277" t="s">
        <v>1158</v>
      </c>
      <c r="C277" t="s">
        <v>59</v>
      </c>
      <c r="D277" t="s">
        <v>115</v>
      </c>
      <c r="F277" t="s">
        <v>285</v>
      </c>
      <c r="G277" t="s">
        <v>1159</v>
      </c>
      <c r="H277" t="s">
        <v>117</v>
      </c>
      <c r="I277" t="s">
        <v>1132</v>
      </c>
      <c r="J277">
        <v>2019</v>
      </c>
      <c r="K277" t="s">
        <v>297</v>
      </c>
      <c r="L277">
        <v>43938</v>
      </c>
      <c r="N277" t="s">
        <v>65</v>
      </c>
      <c r="P277" t="s">
        <v>1160</v>
      </c>
    </row>
    <row r="278" spans="1:16" x14ac:dyDescent="0.2">
      <c r="A278" t="s">
        <v>1157</v>
      </c>
      <c r="B278" t="s">
        <v>1161</v>
      </c>
      <c r="C278" t="s">
        <v>59</v>
      </c>
      <c r="D278" t="s">
        <v>115</v>
      </c>
      <c r="F278" t="s">
        <v>285</v>
      </c>
      <c r="G278" t="s">
        <v>1162</v>
      </c>
      <c r="H278" t="s">
        <v>117</v>
      </c>
      <c r="I278" t="s">
        <v>1132</v>
      </c>
      <c r="J278">
        <v>2019</v>
      </c>
      <c r="K278" t="s">
        <v>297</v>
      </c>
      <c r="L278">
        <v>43845</v>
      </c>
      <c r="N278" t="s">
        <v>71</v>
      </c>
    </row>
    <row r="279" spans="1:16" x14ac:dyDescent="0.2">
      <c r="A279" t="s">
        <v>1163</v>
      </c>
      <c r="C279" t="s">
        <v>59</v>
      </c>
      <c r="D279" t="s">
        <v>154</v>
      </c>
      <c r="E279" t="s">
        <v>386</v>
      </c>
      <c r="F279" t="s">
        <v>844</v>
      </c>
      <c r="G279" t="s">
        <v>1164</v>
      </c>
      <c r="H279" t="s">
        <v>110</v>
      </c>
      <c r="I279" t="s">
        <v>1132</v>
      </c>
      <c r="J279">
        <v>2019</v>
      </c>
      <c r="K279" t="s">
        <v>221</v>
      </c>
      <c r="N279" t="s">
        <v>71</v>
      </c>
      <c r="P279" t="s">
        <v>1165</v>
      </c>
    </row>
    <row r="280" spans="1:16" x14ac:dyDescent="0.2">
      <c r="A280" t="s">
        <v>1166</v>
      </c>
      <c r="B280" t="s">
        <v>1167</v>
      </c>
      <c r="C280" t="s">
        <v>59</v>
      </c>
      <c r="D280" t="s">
        <v>386</v>
      </c>
      <c r="E280" t="s">
        <v>386</v>
      </c>
      <c r="F280" t="s">
        <v>1168</v>
      </c>
      <c r="G280" t="s">
        <v>1169</v>
      </c>
      <c r="H280" t="s">
        <v>716</v>
      </c>
      <c r="I280" t="s">
        <v>1132</v>
      </c>
      <c r="J280">
        <v>2019</v>
      </c>
      <c r="K280" t="s">
        <v>221</v>
      </c>
      <c r="L280">
        <v>43830</v>
      </c>
      <c r="M280" t="s">
        <v>1170</v>
      </c>
      <c r="N280" t="s">
        <v>71</v>
      </c>
      <c r="P280" t="s">
        <v>1171</v>
      </c>
    </row>
    <row r="281" spans="1:16" x14ac:dyDescent="0.2">
      <c r="A281" t="s">
        <v>1172</v>
      </c>
      <c r="B281" t="s">
        <v>1173</v>
      </c>
      <c r="C281" t="s">
        <v>59</v>
      </c>
      <c r="D281" t="s">
        <v>82</v>
      </c>
      <c r="F281" t="s">
        <v>1174</v>
      </c>
      <c r="H281" t="s">
        <v>388</v>
      </c>
      <c r="I281" t="s">
        <v>1132</v>
      </c>
      <c r="J281">
        <v>2019</v>
      </c>
      <c r="K281" t="s">
        <v>202</v>
      </c>
      <c r="L281">
        <v>43921</v>
      </c>
      <c r="N281" t="s">
        <v>65</v>
      </c>
      <c r="O281" t="s">
        <v>66</v>
      </c>
      <c r="P281" t="s">
        <v>1175</v>
      </c>
    </row>
    <row r="282" spans="1:16" x14ac:dyDescent="0.2">
      <c r="A282" t="s">
        <v>1172</v>
      </c>
      <c r="B282" t="s">
        <v>1176</v>
      </c>
      <c r="C282" t="s">
        <v>59</v>
      </c>
      <c r="D282" t="s">
        <v>82</v>
      </c>
      <c r="F282" t="s">
        <v>1174</v>
      </c>
      <c r="G282" t="s">
        <v>1177</v>
      </c>
      <c r="H282" t="s">
        <v>388</v>
      </c>
      <c r="I282" t="s">
        <v>1132</v>
      </c>
      <c r="J282">
        <v>2019</v>
      </c>
      <c r="K282" t="s">
        <v>202</v>
      </c>
      <c r="L282">
        <v>43921</v>
      </c>
      <c r="N282" t="s">
        <v>65</v>
      </c>
      <c r="O282" t="s">
        <v>66</v>
      </c>
      <c r="P282" t="s">
        <v>1175</v>
      </c>
    </row>
    <row r="283" spans="1:16" x14ac:dyDescent="0.2">
      <c r="A283" t="s">
        <v>1172</v>
      </c>
      <c r="B283" t="s">
        <v>1178</v>
      </c>
      <c r="C283" t="s">
        <v>59</v>
      </c>
      <c r="D283" t="s">
        <v>82</v>
      </c>
      <c r="F283" t="s">
        <v>1174</v>
      </c>
      <c r="G283" t="s">
        <v>1179</v>
      </c>
      <c r="H283" t="s">
        <v>388</v>
      </c>
      <c r="I283" t="s">
        <v>1132</v>
      </c>
      <c r="J283">
        <v>2019</v>
      </c>
      <c r="K283" t="s">
        <v>202</v>
      </c>
      <c r="L283">
        <v>43921</v>
      </c>
      <c r="N283" t="s">
        <v>65</v>
      </c>
      <c r="O283" t="s">
        <v>66</v>
      </c>
      <c r="P283" t="s">
        <v>1175</v>
      </c>
    </row>
    <row r="284" spans="1:16" x14ac:dyDescent="0.2">
      <c r="A284" t="s">
        <v>1180</v>
      </c>
      <c r="B284" t="s">
        <v>1181</v>
      </c>
      <c r="C284" t="s">
        <v>59</v>
      </c>
      <c r="D284" t="s">
        <v>667</v>
      </c>
      <c r="F284" t="s">
        <v>1182</v>
      </c>
      <c r="G284" t="s">
        <v>1183</v>
      </c>
      <c r="H284" t="s">
        <v>162</v>
      </c>
      <c r="I284" t="s">
        <v>1132</v>
      </c>
      <c r="J284">
        <v>2019</v>
      </c>
      <c r="K284" t="s">
        <v>221</v>
      </c>
      <c r="L284">
        <v>43809</v>
      </c>
      <c r="N284" t="s">
        <v>71</v>
      </c>
      <c r="P284" t="s">
        <v>1184</v>
      </c>
    </row>
    <row r="285" spans="1:16" x14ac:dyDescent="0.2">
      <c r="A285" t="s">
        <v>1185</v>
      </c>
      <c r="B285" t="s">
        <v>1186</v>
      </c>
      <c r="C285" t="s">
        <v>59</v>
      </c>
      <c r="D285" t="s">
        <v>60</v>
      </c>
      <c r="E285" t="s">
        <v>1187</v>
      </c>
      <c r="F285" t="s">
        <v>1188</v>
      </c>
      <c r="G285" t="s">
        <v>1189</v>
      </c>
      <c r="H285" t="s">
        <v>1190</v>
      </c>
      <c r="I285" t="s">
        <v>1132</v>
      </c>
      <c r="J285">
        <v>2020</v>
      </c>
      <c r="K285" t="s">
        <v>471</v>
      </c>
      <c r="L285">
        <v>44129</v>
      </c>
      <c r="N285" t="s">
        <v>65</v>
      </c>
      <c r="P285" t="s">
        <v>1191</v>
      </c>
    </row>
    <row r="286" spans="1:16" x14ac:dyDescent="0.2">
      <c r="A286" t="s">
        <v>1185</v>
      </c>
      <c r="B286" t="s">
        <v>1192</v>
      </c>
      <c r="C286" t="s">
        <v>59</v>
      </c>
      <c r="D286" t="s">
        <v>60</v>
      </c>
      <c r="E286" t="s">
        <v>1187</v>
      </c>
      <c r="F286" t="s">
        <v>1188</v>
      </c>
      <c r="G286" t="s">
        <v>1189</v>
      </c>
      <c r="H286" t="s">
        <v>1190</v>
      </c>
      <c r="I286" t="s">
        <v>1132</v>
      </c>
      <c r="J286">
        <v>2020</v>
      </c>
      <c r="K286" t="s">
        <v>471</v>
      </c>
      <c r="L286" t="s">
        <v>1193</v>
      </c>
      <c r="P286" t="s">
        <v>1191</v>
      </c>
    </row>
    <row r="287" spans="1:16" x14ac:dyDescent="0.2">
      <c r="A287" t="s">
        <v>1194</v>
      </c>
      <c r="B287" t="s">
        <v>1195</v>
      </c>
      <c r="C287" t="s">
        <v>59</v>
      </c>
      <c r="D287" t="s">
        <v>1196</v>
      </c>
      <c r="F287" t="s">
        <v>1197</v>
      </c>
      <c r="H287" t="s">
        <v>117</v>
      </c>
      <c r="I287" t="s">
        <v>1132</v>
      </c>
      <c r="J287">
        <v>2019</v>
      </c>
      <c r="K287" t="s">
        <v>158</v>
      </c>
      <c r="L287">
        <v>43878</v>
      </c>
      <c r="N287" t="s">
        <v>65</v>
      </c>
      <c r="O287" t="s">
        <v>66</v>
      </c>
      <c r="P287" t="s">
        <v>1198</v>
      </c>
    </row>
    <row r="288" spans="1:16" x14ac:dyDescent="0.2">
      <c r="A288" t="s">
        <v>1199</v>
      </c>
      <c r="B288" t="s">
        <v>390</v>
      </c>
      <c r="C288" t="s">
        <v>59</v>
      </c>
      <c r="D288" t="s">
        <v>154</v>
      </c>
      <c r="E288" t="s">
        <v>483</v>
      </c>
      <c r="F288" t="s">
        <v>1200</v>
      </c>
      <c r="H288" t="s">
        <v>162</v>
      </c>
      <c r="I288" t="s">
        <v>1132</v>
      </c>
      <c r="J288">
        <v>2019</v>
      </c>
      <c r="K288" t="s">
        <v>158</v>
      </c>
      <c r="N288" t="s">
        <v>390</v>
      </c>
      <c r="O288" t="s">
        <v>66</v>
      </c>
      <c r="P288" t="s">
        <v>1201</v>
      </c>
    </row>
    <row r="289" spans="1:16" x14ac:dyDescent="0.2">
      <c r="A289" t="s">
        <v>1202</v>
      </c>
      <c r="B289" t="s">
        <v>1203</v>
      </c>
      <c r="C289" t="s">
        <v>59</v>
      </c>
      <c r="D289" t="s">
        <v>115</v>
      </c>
      <c r="F289" t="s">
        <v>1204</v>
      </c>
      <c r="G289" t="s">
        <v>1205</v>
      </c>
      <c r="H289" t="s">
        <v>604</v>
      </c>
      <c r="I289" t="s">
        <v>1132</v>
      </c>
      <c r="J289">
        <v>2019</v>
      </c>
      <c r="K289" t="s">
        <v>221</v>
      </c>
      <c r="L289">
        <v>43811</v>
      </c>
      <c r="N289" t="s">
        <v>71</v>
      </c>
      <c r="P289" t="s">
        <v>1206</v>
      </c>
    </row>
    <row r="290" spans="1:16" x14ac:dyDescent="0.2">
      <c r="A290" t="s">
        <v>1207</v>
      </c>
      <c r="B290" t="s">
        <v>1208</v>
      </c>
      <c r="C290" t="s">
        <v>59</v>
      </c>
      <c r="D290" t="s">
        <v>238</v>
      </c>
      <c r="E290" t="s">
        <v>238</v>
      </c>
      <c r="F290" t="s">
        <v>1209</v>
      </c>
      <c r="G290" t="s">
        <v>1210</v>
      </c>
      <c r="H290" t="s">
        <v>77</v>
      </c>
      <c r="I290" t="s">
        <v>1132</v>
      </c>
      <c r="J290">
        <v>2019</v>
      </c>
      <c r="K290" t="s">
        <v>471</v>
      </c>
      <c r="L290" t="s">
        <v>1211</v>
      </c>
      <c r="N290" t="s">
        <v>65</v>
      </c>
      <c r="P290" t="s">
        <v>1212</v>
      </c>
    </row>
    <row r="291" spans="1:16" x14ac:dyDescent="0.2">
      <c r="A291" t="s">
        <v>1213</v>
      </c>
      <c r="B291" t="s">
        <v>1214</v>
      </c>
      <c r="C291" t="s">
        <v>59</v>
      </c>
      <c r="D291" t="s">
        <v>60</v>
      </c>
      <c r="F291" t="s">
        <v>1215</v>
      </c>
      <c r="H291" t="s">
        <v>409</v>
      </c>
      <c r="I291" t="s">
        <v>1132</v>
      </c>
      <c r="J291">
        <v>2019</v>
      </c>
      <c r="K291" t="s">
        <v>202</v>
      </c>
      <c r="L291">
        <v>44104</v>
      </c>
      <c r="N291" t="s">
        <v>65</v>
      </c>
      <c r="O291" t="s">
        <v>66</v>
      </c>
      <c r="P291" t="s">
        <v>1216</v>
      </c>
    </row>
    <row r="292" spans="1:16" x14ac:dyDescent="0.2">
      <c r="A292" t="s">
        <v>1217</v>
      </c>
      <c r="B292" t="s">
        <v>1218</v>
      </c>
      <c r="C292" t="s">
        <v>59</v>
      </c>
      <c r="D292" t="s">
        <v>552</v>
      </c>
      <c r="E292" t="s">
        <v>115</v>
      </c>
      <c r="F292" t="s">
        <v>1219</v>
      </c>
      <c r="G292" t="s">
        <v>1220</v>
      </c>
      <c r="H292" t="s">
        <v>338</v>
      </c>
      <c r="I292" t="s">
        <v>1132</v>
      </c>
      <c r="J292">
        <v>2019</v>
      </c>
      <c r="K292" t="s">
        <v>471</v>
      </c>
      <c r="N292" t="s">
        <v>65</v>
      </c>
      <c r="P292" t="s">
        <v>1221</v>
      </c>
    </row>
    <row r="293" spans="1:16" x14ac:dyDescent="0.2">
      <c r="A293" t="s">
        <v>1222</v>
      </c>
      <c r="B293" t="s">
        <v>1223</v>
      </c>
      <c r="C293" t="s">
        <v>59</v>
      </c>
      <c r="D293" t="s">
        <v>167</v>
      </c>
      <c r="E293" t="s">
        <v>936</v>
      </c>
      <c r="F293" t="s">
        <v>936</v>
      </c>
      <c r="G293" t="s">
        <v>1224</v>
      </c>
      <c r="H293" t="s">
        <v>117</v>
      </c>
      <c r="I293" t="s">
        <v>1132</v>
      </c>
      <c r="J293">
        <v>2019</v>
      </c>
      <c r="K293" t="s">
        <v>202</v>
      </c>
      <c r="L293">
        <v>43951</v>
      </c>
      <c r="N293" t="s">
        <v>65</v>
      </c>
      <c r="O293" t="s">
        <v>66</v>
      </c>
      <c r="P293" t="s">
        <v>1225</v>
      </c>
    </row>
    <row r="294" spans="1:16" x14ac:dyDescent="0.2">
      <c r="A294" t="s">
        <v>1222</v>
      </c>
      <c r="B294" t="s">
        <v>1226</v>
      </c>
      <c r="C294" t="s">
        <v>59</v>
      </c>
      <c r="D294" t="s">
        <v>167</v>
      </c>
      <c r="E294" t="s">
        <v>936</v>
      </c>
      <c r="F294" t="s">
        <v>936</v>
      </c>
      <c r="G294" t="s">
        <v>1227</v>
      </c>
      <c r="H294" t="s">
        <v>117</v>
      </c>
      <c r="I294" t="s">
        <v>1132</v>
      </c>
      <c r="J294">
        <v>2019</v>
      </c>
      <c r="K294" t="s">
        <v>202</v>
      </c>
      <c r="L294">
        <v>43983</v>
      </c>
      <c r="N294" t="s">
        <v>65</v>
      </c>
      <c r="O294" t="s">
        <v>66</v>
      </c>
      <c r="P294" t="s">
        <v>1225</v>
      </c>
    </row>
    <row r="295" spans="1:16" x14ac:dyDescent="0.2">
      <c r="A295" t="s">
        <v>1228</v>
      </c>
      <c r="B295" t="s">
        <v>1229</v>
      </c>
      <c r="C295" t="s">
        <v>59</v>
      </c>
      <c r="D295" t="s">
        <v>253</v>
      </c>
      <c r="E295" t="s">
        <v>253</v>
      </c>
      <c r="F295" t="s">
        <v>928</v>
      </c>
      <c r="G295" t="s">
        <v>1230</v>
      </c>
      <c r="H295" t="s">
        <v>193</v>
      </c>
      <c r="I295" t="s">
        <v>1132</v>
      </c>
      <c r="J295">
        <v>2020</v>
      </c>
      <c r="K295" t="s">
        <v>221</v>
      </c>
      <c r="L295">
        <v>43956</v>
      </c>
      <c r="N295" t="s">
        <v>65</v>
      </c>
      <c r="P295" t="s">
        <v>1231</v>
      </c>
    </row>
    <row r="296" spans="1:16" x14ac:dyDescent="0.2">
      <c r="A296" t="s">
        <v>1232</v>
      </c>
      <c r="B296" t="s">
        <v>1233</v>
      </c>
      <c r="C296" t="s">
        <v>59</v>
      </c>
      <c r="D296" t="s">
        <v>1085</v>
      </c>
      <c r="E296" t="s">
        <v>115</v>
      </c>
      <c r="F296" t="s">
        <v>1234</v>
      </c>
      <c r="G296" t="s">
        <v>1113</v>
      </c>
      <c r="H296" t="s">
        <v>1235</v>
      </c>
      <c r="I296" t="s">
        <v>1132</v>
      </c>
      <c r="J296">
        <v>2020</v>
      </c>
      <c r="K296" t="s">
        <v>158</v>
      </c>
      <c r="L296" t="s">
        <v>1236</v>
      </c>
      <c r="N296" t="s">
        <v>65</v>
      </c>
      <c r="O296" t="s">
        <v>66</v>
      </c>
      <c r="P296" t="s">
        <v>1237</v>
      </c>
    </row>
    <row r="297" spans="1:16" x14ac:dyDescent="0.2">
      <c r="A297" t="s">
        <v>1238</v>
      </c>
      <c r="B297" t="s">
        <v>1239</v>
      </c>
      <c r="C297" t="s">
        <v>59</v>
      </c>
      <c r="D297" t="s">
        <v>167</v>
      </c>
      <c r="E297" t="s">
        <v>1240</v>
      </c>
      <c r="F297" t="s">
        <v>1241</v>
      </c>
      <c r="H297" t="s">
        <v>1242</v>
      </c>
      <c r="I297" t="s">
        <v>1132</v>
      </c>
      <c r="J297">
        <v>2020</v>
      </c>
      <c r="K297" t="s">
        <v>64</v>
      </c>
      <c r="L297">
        <v>43951</v>
      </c>
      <c r="N297" t="s">
        <v>65</v>
      </c>
      <c r="P297" t="s">
        <v>1243</v>
      </c>
    </row>
    <row r="298" spans="1:16" x14ac:dyDescent="0.2">
      <c r="A298" t="s">
        <v>1244</v>
      </c>
      <c r="B298" t="s">
        <v>1245</v>
      </c>
      <c r="C298" t="s">
        <v>59</v>
      </c>
      <c r="D298" t="s">
        <v>82</v>
      </c>
      <c r="F298" t="s">
        <v>1246</v>
      </c>
      <c r="H298" t="s">
        <v>1190</v>
      </c>
      <c r="I298" t="s">
        <v>1132</v>
      </c>
      <c r="J298">
        <v>2020</v>
      </c>
      <c r="K298" t="s">
        <v>202</v>
      </c>
      <c r="L298">
        <v>43941</v>
      </c>
      <c r="N298" t="s">
        <v>65</v>
      </c>
      <c r="O298" t="s">
        <v>66</v>
      </c>
      <c r="P298" t="s">
        <v>1247</v>
      </c>
    </row>
    <row r="299" spans="1:16" x14ac:dyDescent="0.2">
      <c r="A299" t="s">
        <v>1248</v>
      </c>
      <c r="B299" t="s">
        <v>1249</v>
      </c>
      <c r="C299" t="s">
        <v>59</v>
      </c>
      <c r="D299" t="s">
        <v>148</v>
      </c>
      <c r="F299" t="s">
        <v>1250</v>
      </c>
      <c r="H299" t="s">
        <v>255</v>
      </c>
      <c r="I299" t="s">
        <v>1132</v>
      </c>
      <c r="J299">
        <v>2020</v>
      </c>
      <c r="K299" t="s">
        <v>221</v>
      </c>
      <c r="L299">
        <v>44036</v>
      </c>
      <c r="N299" t="s">
        <v>65</v>
      </c>
      <c r="P299" t="s">
        <v>1251</v>
      </c>
    </row>
    <row r="300" spans="1:16" x14ac:dyDescent="0.2">
      <c r="A300" t="s">
        <v>1252</v>
      </c>
      <c r="B300" t="s">
        <v>1253</v>
      </c>
      <c r="C300" t="s">
        <v>59</v>
      </c>
      <c r="D300" t="s">
        <v>1254</v>
      </c>
      <c r="E300" t="s">
        <v>1254</v>
      </c>
      <c r="F300" t="s">
        <v>1255</v>
      </c>
      <c r="G300" t="s">
        <v>1256</v>
      </c>
      <c r="H300" t="s">
        <v>272</v>
      </c>
      <c r="I300" t="s">
        <v>1132</v>
      </c>
      <c r="J300">
        <v>2020</v>
      </c>
      <c r="K300" t="s">
        <v>158</v>
      </c>
      <c r="L300">
        <v>44058</v>
      </c>
      <c r="N300" t="s">
        <v>65</v>
      </c>
      <c r="O300" t="s">
        <v>66</v>
      </c>
      <c r="P300" t="s">
        <v>1257</v>
      </c>
    </row>
    <row r="301" spans="1:16" x14ac:dyDescent="0.2">
      <c r="A301" t="s">
        <v>1258</v>
      </c>
      <c r="B301" t="s">
        <v>1259</v>
      </c>
      <c r="C301" t="s">
        <v>59</v>
      </c>
      <c r="D301" t="s">
        <v>238</v>
      </c>
      <c r="E301" t="s">
        <v>238</v>
      </c>
      <c r="F301" t="s">
        <v>1260</v>
      </c>
      <c r="H301" t="s">
        <v>77</v>
      </c>
      <c r="I301" t="s">
        <v>1132</v>
      </c>
      <c r="J301">
        <v>2020</v>
      </c>
      <c r="K301" t="s">
        <v>64</v>
      </c>
      <c r="L301">
        <v>44061</v>
      </c>
      <c r="N301" t="s">
        <v>65</v>
      </c>
      <c r="P301" t="s">
        <v>1261</v>
      </c>
    </row>
    <row r="302" spans="1:16" x14ac:dyDescent="0.2">
      <c r="A302" t="s">
        <v>1262</v>
      </c>
      <c r="B302" t="s">
        <v>1263</v>
      </c>
      <c r="C302" t="s">
        <v>59</v>
      </c>
      <c r="D302" t="s">
        <v>115</v>
      </c>
      <c r="E302" t="s">
        <v>115</v>
      </c>
      <c r="F302" t="s">
        <v>285</v>
      </c>
      <c r="G302" t="s">
        <v>1264</v>
      </c>
      <c r="H302" t="s">
        <v>117</v>
      </c>
      <c r="I302" t="s">
        <v>1132</v>
      </c>
      <c r="J302">
        <v>2020</v>
      </c>
      <c r="K302" t="s">
        <v>64</v>
      </c>
      <c r="L302">
        <v>43962</v>
      </c>
      <c r="N302" t="s">
        <v>65</v>
      </c>
      <c r="P302" t="s">
        <v>1265</v>
      </c>
    </row>
    <row r="303" spans="1:16" x14ac:dyDescent="0.2">
      <c r="A303" t="s">
        <v>1262</v>
      </c>
      <c r="B303" t="s">
        <v>1266</v>
      </c>
      <c r="C303" t="s">
        <v>59</v>
      </c>
      <c r="D303" t="s">
        <v>115</v>
      </c>
      <c r="E303" t="s">
        <v>115</v>
      </c>
      <c r="F303" t="s">
        <v>285</v>
      </c>
      <c r="G303" t="s">
        <v>1267</v>
      </c>
      <c r="H303" t="s">
        <v>117</v>
      </c>
      <c r="I303" t="s">
        <v>1132</v>
      </c>
      <c r="J303">
        <v>2020</v>
      </c>
      <c r="K303" t="s">
        <v>64</v>
      </c>
      <c r="L303">
        <v>43986</v>
      </c>
      <c r="N303" t="s">
        <v>65</v>
      </c>
      <c r="P303" t="s">
        <v>1265</v>
      </c>
    </row>
    <row r="304" spans="1:16" x14ac:dyDescent="0.2">
      <c r="A304" t="s">
        <v>1268</v>
      </c>
      <c r="B304" t="s">
        <v>1269</v>
      </c>
      <c r="C304" t="s">
        <v>59</v>
      </c>
      <c r="D304" t="s">
        <v>660</v>
      </c>
      <c r="E304" t="s">
        <v>343</v>
      </c>
      <c r="F304" t="s">
        <v>661</v>
      </c>
      <c r="G304" t="s">
        <v>1270</v>
      </c>
      <c r="H304" t="s">
        <v>77</v>
      </c>
      <c r="I304" t="s">
        <v>1132</v>
      </c>
      <c r="J304">
        <v>2020</v>
      </c>
      <c r="K304" t="s">
        <v>471</v>
      </c>
      <c r="L304">
        <v>44134</v>
      </c>
      <c r="N304" t="s">
        <v>65</v>
      </c>
      <c r="P304" t="s">
        <v>1271</v>
      </c>
    </row>
    <row r="305" spans="1:16" x14ac:dyDescent="0.2">
      <c r="A305" t="s">
        <v>1268</v>
      </c>
      <c r="B305" t="s">
        <v>1272</v>
      </c>
      <c r="C305" t="s">
        <v>59</v>
      </c>
      <c r="D305" t="s">
        <v>660</v>
      </c>
      <c r="E305" t="s">
        <v>343</v>
      </c>
      <c r="F305" t="s">
        <v>661</v>
      </c>
      <c r="G305" t="s">
        <v>1273</v>
      </c>
      <c r="H305" t="s">
        <v>77</v>
      </c>
      <c r="I305" t="s">
        <v>1132</v>
      </c>
      <c r="J305">
        <v>2020</v>
      </c>
      <c r="K305" t="s">
        <v>471</v>
      </c>
      <c r="L305" t="s">
        <v>1274</v>
      </c>
      <c r="N305" t="s">
        <v>65</v>
      </c>
      <c r="P305" t="s">
        <v>1271</v>
      </c>
    </row>
    <row r="306" spans="1:16" x14ac:dyDescent="0.2">
      <c r="A306" t="s">
        <v>1268</v>
      </c>
      <c r="B306" t="s">
        <v>1275</v>
      </c>
      <c r="C306" t="s">
        <v>59</v>
      </c>
      <c r="D306" t="s">
        <v>660</v>
      </c>
      <c r="E306" t="s">
        <v>343</v>
      </c>
      <c r="F306" t="s">
        <v>661</v>
      </c>
      <c r="G306" t="s">
        <v>1276</v>
      </c>
      <c r="H306" t="s">
        <v>77</v>
      </c>
      <c r="I306" t="s">
        <v>1132</v>
      </c>
      <c r="J306">
        <v>2020</v>
      </c>
      <c r="K306" t="s">
        <v>471</v>
      </c>
      <c r="L306">
        <v>44165</v>
      </c>
      <c r="N306" t="s">
        <v>65</v>
      </c>
      <c r="P306" t="s">
        <v>1271</v>
      </c>
    </row>
    <row r="307" spans="1:16" x14ac:dyDescent="0.2">
      <c r="A307" t="s">
        <v>1277</v>
      </c>
      <c r="B307" t="s">
        <v>1278</v>
      </c>
      <c r="C307" t="s">
        <v>59</v>
      </c>
      <c r="D307" t="s">
        <v>1279</v>
      </c>
      <c r="F307" t="s">
        <v>1280</v>
      </c>
      <c r="G307" t="s">
        <v>1281</v>
      </c>
      <c r="H307" t="s">
        <v>134</v>
      </c>
      <c r="I307" t="s">
        <v>1132</v>
      </c>
      <c r="J307">
        <v>2020</v>
      </c>
      <c r="K307" t="s">
        <v>221</v>
      </c>
      <c r="L307">
        <v>43966</v>
      </c>
      <c r="N307" t="s">
        <v>65</v>
      </c>
      <c r="P307" t="s">
        <v>1282</v>
      </c>
    </row>
    <row r="308" spans="1:16" x14ac:dyDescent="0.2">
      <c r="A308" t="s">
        <v>1283</v>
      </c>
      <c r="B308" t="s">
        <v>1284</v>
      </c>
      <c r="C308" t="s">
        <v>59</v>
      </c>
      <c r="D308" t="s">
        <v>1285</v>
      </c>
      <c r="E308" t="s">
        <v>115</v>
      </c>
      <c r="F308" t="s">
        <v>1086</v>
      </c>
      <c r="G308" t="s">
        <v>1286</v>
      </c>
      <c r="H308" t="s">
        <v>198</v>
      </c>
      <c r="I308" t="s">
        <v>1132</v>
      </c>
      <c r="J308">
        <v>2020</v>
      </c>
      <c r="K308" t="s">
        <v>471</v>
      </c>
      <c r="L308">
        <v>44135</v>
      </c>
      <c r="N308" t="s">
        <v>65</v>
      </c>
      <c r="P308" t="s">
        <v>1287</v>
      </c>
    </row>
    <row r="309" spans="1:16" x14ac:dyDescent="0.2">
      <c r="A309" t="s">
        <v>1288</v>
      </c>
      <c r="B309" t="s">
        <v>1289</v>
      </c>
      <c r="C309" t="s">
        <v>59</v>
      </c>
      <c r="D309" t="s">
        <v>155</v>
      </c>
      <c r="F309" t="s">
        <v>1290</v>
      </c>
      <c r="H309" t="s">
        <v>157</v>
      </c>
      <c r="I309" t="s">
        <v>1132</v>
      </c>
      <c r="J309">
        <v>2020</v>
      </c>
      <c r="K309" t="s">
        <v>202</v>
      </c>
      <c r="L309">
        <v>44061</v>
      </c>
      <c r="N309" t="s">
        <v>65</v>
      </c>
      <c r="O309" t="s">
        <v>66</v>
      </c>
      <c r="P309" t="s">
        <v>1291</v>
      </c>
    </row>
    <row r="310" spans="1:16" x14ac:dyDescent="0.2">
      <c r="A310" t="s">
        <v>1288</v>
      </c>
      <c r="B310" t="s">
        <v>1292</v>
      </c>
      <c r="C310" t="s">
        <v>59</v>
      </c>
      <c r="D310" t="s">
        <v>155</v>
      </c>
      <c r="F310" t="s">
        <v>1290</v>
      </c>
      <c r="G310" t="s">
        <v>1293</v>
      </c>
      <c r="H310" t="s">
        <v>157</v>
      </c>
      <c r="I310" t="s">
        <v>1132</v>
      </c>
      <c r="J310">
        <v>2020</v>
      </c>
      <c r="K310" t="s">
        <v>202</v>
      </c>
      <c r="L310">
        <v>44061</v>
      </c>
      <c r="N310" t="s">
        <v>65</v>
      </c>
      <c r="O310" t="s">
        <v>66</v>
      </c>
      <c r="P310" t="s">
        <v>1291</v>
      </c>
    </row>
    <row r="311" spans="1:16" x14ac:dyDescent="0.2">
      <c r="A311" t="s">
        <v>1294</v>
      </c>
      <c r="B311" t="s">
        <v>1295</v>
      </c>
      <c r="C311" t="s">
        <v>59</v>
      </c>
      <c r="D311" t="s">
        <v>1296</v>
      </c>
      <c r="E311" t="s">
        <v>270</v>
      </c>
      <c r="F311" t="s">
        <v>1297</v>
      </c>
      <c r="G311" t="s">
        <v>93</v>
      </c>
      <c r="H311" t="s">
        <v>272</v>
      </c>
      <c r="I311" t="s">
        <v>1132</v>
      </c>
      <c r="J311">
        <v>2020</v>
      </c>
      <c r="K311" t="s">
        <v>1298</v>
      </c>
      <c r="L311" t="s">
        <v>1299</v>
      </c>
      <c r="N311" t="s">
        <v>65</v>
      </c>
      <c r="O311" t="s">
        <v>66</v>
      </c>
      <c r="P311" t="s">
        <v>1300</v>
      </c>
    </row>
    <row r="312" spans="1:16" x14ac:dyDescent="0.2">
      <c r="A312" t="s">
        <v>1301</v>
      </c>
      <c r="B312" t="s">
        <v>1302</v>
      </c>
      <c r="C312" t="s">
        <v>59</v>
      </c>
      <c r="D312" t="s">
        <v>167</v>
      </c>
      <c r="E312" t="s">
        <v>148</v>
      </c>
      <c r="F312" t="s">
        <v>1303</v>
      </c>
      <c r="G312" t="s">
        <v>1304</v>
      </c>
      <c r="H312" t="s">
        <v>255</v>
      </c>
      <c r="I312" t="s">
        <v>1132</v>
      </c>
      <c r="J312">
        <v>2020</v>
      </c>
      <c r="K312" t="s">
        <v>297</v>
      </c>
      <c r="L312">
        <v>44027</v>
      </c>
      <c r="M312" t="s">
        <v>1305</v>
      </c>
      <c r="N312" t="s">
        <v>71</v>
      </c>
      <c r="P312" t="s">
        <v>1306</v>
      </c>
    </row>
    <row r="313" spans="1:16" x14ac:dyDescent="0.2">
      <c r="A313" t="s">
        <v>1301</v>
      </c>
      <c r="B313" t="s">
        <v>1307</v>
      </c>
      <c r="C313" t="s">
        <v>59</v>
      </c>
      <c r="D313" t="s">
        <v>167</v>
      </c>
      <c r="E313" t="s">
        <v>148</v>
      </c>
      <c r="F313" t="s">
        <v>1303</v>
      </c>
      <c r="H313" t="s">
        <v>255</v>
      </c>
      <c r="I313" t="s">
        <v>1132</v>
      </c>
      <c r="J313">
        <v>2020</v>
      </c>
      <c r="K313" t="s">
        <v>297</v>
      </c>
      <c r="L313">
        <v>44271</v>
      </c>
      <c r="N313" t="s">
        <v>65</v>
      </c>
      <c r="P313" t="s">
        <v>1306</v>
      </c>
    </row>
    <row r="314" spans="1:16" x14ac:dyDescent="0.2">
      <c r="A314" t="s">
        <v>1308</v>
      </c>
      <c r="B314" t="s">
        <v>1309</v>
      </c>
      <c r="C314" t="s">
        <v>59</v>
      </c>
      <c r="D314" t="s">
        <v>1310</v>
      </c>
      <c r="E314" t="s">
        <v>148</v>
      </c>
      <c r="F314" t="s">
        <v>1303</v>
      </c>
      <c r="H314" t="s">
        <v>255</v>
      </c>
      <c r="I314" t="s">
        <v>1132</v>
      </c>
      <c r="J314">
        <v>2020</v>
      </c>
      <c r="K314" t="s">
        <v>202</v>
      </c>
      <c r="L314">
        <v>44012</v>
      </c>
      <c r="M314" t="s">
        <v>1311</v>
      </c>
      <c r="N314" t="s">
        <v>71</v>
      </c>
      <c r="O314" t="s">
        <v>66</v>
      </c>
      <c r="P314" t="s">
        <v>1312</v>
      </c>
    </row>
    <row r="315" spans="1:16" x14ac:dyDescent="0.2">
      <c r="A315" t="s">
        <v>1313</v>
      </c>
      <c r="B315" t="s">
        <v>1314</v>
      </c>
      <c r="C315" t="s">
        <v>59</v>
      </c>
      <c r="D315" t="s">
        <v>398</v>
      </c>
      <c r="F315" t="s">
        <v>399</v>
      </c>
      <c r="G315" t="s">
        <v>1315</v>
      </c>
      <c r="H315" t="s">
        <v>338</v>
      </c>
      <c r="I315" t="s">
        <v>1132</v>
      </c>
      <c r="J315">
        <v>2020</v>
      </c>
      <c r="K315" t="s">
        <v>1298</v>
      </c>
      <c r="L315">
        <v>43973</v>
      </c>
      <c r="N315" t="s">
        <v>71</v>
      </c>
      <c r="O315" t="s">
        <v>66</v>
      </c>
      <c r="P315" t="s">
        <v>1316</v>
      </c>
    </row>
    <row r="316" spans="1:16" x14ac:dyDescent="0.2">
      <c r="A316" t="s">
        <v>1317</v>
      </c>
      <c r="B316" t="s">
        <v>1318</v>
      </c>
      <c r="C316" t="s">
        <v>59</v>
      </c>
      <c r="D316" t="s">
        <v>253</v>
      </c>
      <c r="F316" t="s">
        <v>254</v>
      </c>
      <c r="H316" t="s">
        <v>255</v>
      </c>
      <c r="I316" t="s">
        <v>1132</v>
      </c>
      <c r="J316">
        <v>2020</v>
      </c>
      <c r="K316" t="s">
        <v>221</v>
      </c>
      <c r="L316">
        <v>44083</v>
      </c>
      <c r="N316" t="s">
        <v>65</v>
      </c>
      <c r="P316" t="s">
        <v>1319</v>
      </c>
    </row>
    <row r="317" spans="1:16" x14ac:dyDescent="0.2">
      <c r="A317" t="s">
        <v>1320</v>
      </c>
      <c r="B317" t="s">
        <v>1321</v>
      </c>
      <c r="C317" t="s">
        <v>59</v>
      </c>
      <c r="D317" t="s">
        <v>1322</v>
      </c>
      <c r="F317" t="s">
        <v>331</v>
      </c>
      <c r="H317" t="s">
        <v>255</v>
      </c>
      <c r="I317" t="s">
        <v>1132</v>
      </c>
      <c r="J317">
        <v>2020</v>
      </c>
      <c r="K317" t="s">
        <v>297</v>
      </c>
      <c r="L317">
        <v>44043</v>
      </c>
      <c r="N317" t="s">
        <v>65</v>
      </c>
      <c r="P317" t="s">
        <v>1323</v>
      </c>
    </row>
    <row r="318" spans="1:16" x14ac:dyDescent="0.2">
      <c r="A318" t="s">
        <v>1324</v>
      </c>
      <c r="B318" t="s">
        <v>1325</v>
      </c>
      <c r="C318" t="s">
        <v>59</v>
      </c>
      <c r="D318" t="s">
        <v>102</v>
      </c>
      <c r="F318" t="s">
        <v>1326</v>
      </c>
      <c r="H318" t="s">
        <v>63</v>
      </c>
      <c r="I318" t="s">
        <v>1132</v>
      </c>
      <c r="J318">
        <v>2020</v>
      </c>
      <c r="K318" t="s">
        <v>221</v>
      </c>
      <c r="L318">
        <v>44063</v>
      </c>
      <c r="N318" t="s">
        <v>65</v>
      </c>
      <c r="P318" t="s">
        <v>1327</v>
      </c>
    </row>
    <row r="319" spans="1:16" x14ac:dyDescent="0.2">
      <c r="A319" t="s">
        <v>1324</v>
      </c>
      <c r="B319" t="s">
        <v>1328</v>
      </c>
      <c r="C319" t="s">
        <v>59</v>
      </c>
      <c r="D319" t="s">
        <v>102</v>
      </c>
      <c r="F319" t="s">
        <v>1326</v>
      </c>
      <c r="G319" t="s">
        <v>978</v>
      </c>
      <c r="H319" t="s">
        <v>63</v>
      </c>
      <c r="I319" t="s">
        <v>1132</v>
      </c>
      <c r="K319" t="s">
        <v>221</v>
      </c>
      <c r="N319" t="s">
        <v>71</v>
      </c>
      <c r="P319" t="s">
        <v>1327</v>
      </c>
    </row>
    <row r="320" spans="1:16" x14ac:dyDescent="0.2">
      <c r="A320" t="s">
        <v>1329</v>
      </c>
      <c r="B320" t="s">
        <v>1330</v>
      </c>
      <c r="C320" t="s">
        <v>59</v>
      </c>
      <c r="D320" t="s">
        <v>121</v>
      </c>
      <c r="F320" t="s">
        <v>1234</v>
      </c>
      <c r="H320" t="s">
        <v>1235</v>
      </c>
      <c r="I320" t="s">
        <v>1132</v>
      </c>
      <c r="J320">
        <v>2020</v>
      </c>
      <c r="K320" t="s">
        <v>221</v>
      </c>
      <c r="L320">
        <v>44043</v>
      </c>
      <c r="N320" t="s">
        <v>65</v>
      </c>
      <c r="P320" t="s">
        <v>1331</v>
      </c>
    </row>
    <row r="321" spans="1:16" x14ac:dyDescent="0.2">
      <c r="A321" t="s">
        <v>1332</v>
      </c>
      <c r="B321" t="s">
        <v>1333</v>
      </c>
      <c r="C321" t="s">
        <v>59</v>
      </c>
      <c r="D321" t="s">
        <v>1334</v>
      </c>
      <c r="E321" t="s">
        <v>115</v>
      </c>
      <c r="F321" t="s">
        <v>1335</v>
      </c>
      <c r="G321" t="s">
        <v>1335</v>
      </c>
      <c r="H321" t="s">
        <v>117</v>
      </c>
      <c r="I321" t="s">
        <v>1132</v>
      </c>
      <c r="J321">
        <v>2020</v>
      </c>
      <c r="K321" t="s">
        <v>64</v>
      </c>
      <c r="L321">
        <v>44046</v>
      </c>
      <c r="N321" t="s">
        <v>65</v>
      </c>
      <c r="P321" t="s">
        <v>1336</v>
      </c>
    </row>
    <row r="322" spans="1:16" x14ac:dyDescent="0.2">
      <c r="A322" t="s">
        <v>1337</v>
      </c>
      <c r="B322" t="s">
        <v>1338</v>
      </c>
      <c r="C322" t="s">
        <v>59</v>
      </c>
      <c r="D322" t="s">
        <v>1339</v>
      </c>
      <c r="F322" t="s">
        <v>1340</v>
      </c>
      <c r="H322" t="s">
        <v>418</v>
      </c>
      <c r="I322" t="s">
        <v>1132</v>
      </c>
      <c r="J322">
        <v>2020</v>
      </c>
      <c r="K322" t="s">
        <v>221</v>
      </c>
      <c r="L322">
        <v>44050</v>
      </c>
      <c r="N322" t="s">
        <v>65</v>
      </c>
      <c r="P322" t="s">
        <v>1341</v>
      </c>
    </row>
    <row r="323" spans="1:16" x14ac:dyDescent="0.2">
      <c r="A323" t="s">
        <v>1342</v>
      </c>
      <c r="B323" t="s">
        <v>1343</v>
      </c>
      <c r="C323" t="s">
        <v>59</v>
      </c>
      <c r="D323" t="s">
        <v>1344</v>
      </c>
      <c r="E323" t="s">
        <v>1344</v>
      </c>
      <c r="F323" t="s">
        <v>1345</v>
      </c>
      <c r="H323" t="s">
        <v>117</v>
      </c>
      <c r="I323" t="s">
        <v>1132</v>
      </c>
      <c r="J323">
        <v>2020</v>
      </c>
      <c r="K323" t="s">
        <v>158</v>
      </c>
      <c r="L323">
        <v>44165</v>
      </c>
      <c r="N323" t="s">
        <v>65</v>
      </c>
      <c r="O323" t="s">
        <v>66</v>
      </c>
      <c r="P323" t="s">
        <v>1346</v>
      </c>
    </row>
    <row r="324" spans="1:16" x14ac:dyDescent="0.2">
      <c r="A324" t="s">
        <v>1347</v>
      </c>
      <c r="B324" t="s">
        <v>1348</v>
      </c>
      <c r="C324" t="s">
        <v>59</v>
      </c>
      <c r="D324" t="s">
        <v>1349</v>
      </c>
      <c r="E324" t="s">
        <v>115</v>
      </c>
      <c r="F324" t="s">
        <v>192</v>
      </c>
      <c r="G324" t="s">
        <v>1350</v>
      </c>
      <c r="H324" t="s">
        <v>1351</v>
      </c>
      <c r="I324" t="s">
        <v>1132</v>
      </c>
      <c r="J324">
        <v>2020</v>
      </c>
      <c r="K324" t="s">
        <v>471</v>
      </c>
      <c r="L324">
        <v>44089</v>
      </c>
      <c r="N324" t="s">
        <v>65</v>
      </c>
      <c r="P324" t="s">
        <v>1352</v>
      </c>
    </row>
    <row r="325" spans="1:16" x14ac:dyDescent="0.2">
      <c r="A325" t="s">
        <v>1353</v>
      </c>
      <c r="B325" t="s">
        <v>1354</v>
      </c>
      <c r="C325" t="s">
        <v>59</v>
      </c>
      <c r="D325" t="s">
        <v>167</v>
      </c>
      <c r="F325" t="s">
        <v>1355</v>
      </c>
      <c r="G325" t="s">
        <v>1356</v>
      </c>
      <c r="H325" t="s">
        <v>77</v>
      </c>
      <c r="I325" t="s">
        <v>1132</v>
      </c>
      <c r="J325">
        <v>2020</v>
      </c>
      <c r="K325" t="s">
        <v>202</v>
      </c>
      <c r="L325">
        <v>44104</v>
      </c>
      <c r="N325" t="s">
        <v>65</v>
      </c>
      <c r="O325" t="s">
        <v>66</v>
      </c>
      <c r="P325" t="s">
        <v>1357</v>
      </c>
    </row>
    <row r="326" spans="1:16" x14ac:dyDescent="0.2">
      <c r="A326" t="s">
        <v>1358</v>
      </c>
      <c r="B326" t="s">
        <v>1359</v>
      </c>
      <c r="C326" t="s">
        <v>59</v>
      </c>
      <c r="D326" t="s">
        <v>828</v>
      </c>
      <c r="F326" t="s">
        <v>1360</v>
      </c>
      <c r="H326" t="s">
        <v>255</v>
      </c>
      <c r="I326" t="s">
        <v>1132</v>
      </c>
      <c r="J326">
        <v>2020</v>
      </c>
      <c r="K326" t="s">
        <v>202</v>
      </c>
      <c r="L326">
        <v>44406</v>
      </c>
      <c r="N326" t="s">
        <v>65</v>
      </c>
      <c r="O326" t="s">
        <v>66</v>
      </c>
      <c r="P326" t="s">
        <v>1361</v>
      </c>
    </row>
    <row r="327" spans="1:16" x14ac:dyDescent="0.2">
      <c r="A327" t="s">
        <v>1362</v>
      </c>
      <c r="B327" t="s">
        <v>1363</v>
      </c>
      <c r="C327" t="s">
        <v>59</v>
      </c>
      <c r="D327" t="s">
        <v>1364</v>
      </c>
      <c r="E327" t="s">
        <v>1365</v>
      </c>
      <c r="F327" t="s">
        <v>1366</v>
      </c>
      <c r="H327" t="s">
        <v>1365</v>
      </c>
      <c r="I327" t="s">
        <v>1132</v>
      </c>
      <c r="J327">
        <v>2020</v>
      </c>
      <c r="K327" t="s">
        <v>471</v>
      </c>
      <c r="L327">
        <v>44242</v>
      </c>
      <c r="N327" t="s">
        <v>65</v>
      </c>
      <c r="P327" t="s">
        <v>1367</v>
      </c>
    </row>
    <row r="328" spans="1:16" x14ac:dyDescent="0.2">
      <c r="A328" t="s">
        <v>1368</v>
      </c>
      <c r="B328" t="s">
        <v>1369</v>
      </c>
      <c r="C328" t="s">
        <v>59</v>
      </c>
      <c r="D328" t="s">
        <v>1370</v>
      </c>
      <c r="E328" t="s">
        <v>115</v>
      </c>
      <c r="F328" t="s">
        <v>960</v>
      </c>
      <c r="G328" t="s">
        <v>1371</v>
      </c>
      <c r="H328" t="s">
        <v>338</v>
      </c>
      <c r="I328" t="s">
        <v>1132</v>
      </c>
      <c r="J328">
        <v>2020</v>
      </c>
      <c r="K328" t="s">
        <v>471</v>
      </c>
      <c r="L328">
        <v>44134</v>
      </c>
      <c r="N328" t="s">
        <v>65</v>
      </c>
      <c r="P328" t="s">
        <v>1372</v>
      </c>
    </row>
    <row r="329" spans="1:16" x14ac:dyDescent="0.2">
      <c r="A329" t="s">
        <v>1373</v>
      </c>
      <c r="B329" t="s">
        <v>1374</v>
      </c>
      <c r="C329" t="s">
        <v>59</v>
      </c>
      <c r="D329" t="s">
        <v>121</v>
      </c>
      <c r="E329" t="s">
        <v>115</v>
      </c>
      <c r="F329" t="s">
        <v>1375</v>
      </c>
      <c r="H329" t="s">
        <v>255</v>
      </c>
      <c r="I329" t="s">
        <v>1132</v>
      </c>
      <c r="J329">
        <v>2020</v>
      </c>
      <c r="K329" t="s">
        <v>64</v>
      </c>
      <c r="N329" t="s">
        <v>65</v>
      </c>
      <c r="P329" t="s">
        <v>1376</v>
      </c>
    </row>
    <row r="330" spans="1:16" x14ac:dyDescent="0.2">
      <c r="A330" t="s">
        <v>1377</v>
      </c>
      <c r="B330" t="s">
        <v>1378</v>
      </c>
      <c r="C330" t="s">
        <v>59</v>
      </c>
      <c r="D330" t="s">
        <v>1067</v>
      </c>
      <c r="F330" t="s">
        <v>452</v>
      </c>
      <c r="H330" t="s">
        <v>77</v>
      </c>
      <c r="I330" t="s">
        <v>1132</v>
      </c>
      <c r="J330">
        <v>2020</v>
      </c>
      <c r="K330" t="s">
        <v>158</v>
      </c>
      <c r="L330">
        <v>44151</v>
      </c>
      <c r="M330" t="s">
        <v>1379</v>
      </c>
      <c r="N330" t="s">
        <v>65</v>
      </c>
      <c r="O330" t="s">
        <v>1380</v>
      </c>
      <c r="P330" t="s">
        <v>1381</v>
      </c>
    </row>
    <row r="331" spans="1:16" x14ac:dyDescent="0.2">
      <c r="A331" t="s">
        <v>1382</v>
      </c>
      <c r="B331" t="s">
        <v>1383</v>
      </c>
      <c r="C331" t="s">
        <v>59</v>
      </c>
      <c r="D331" t="s">
        <v>386</v>
      </c>
      <c r="F331" t="s">
        <v>1384</v>
      </c>
      <c r="G331" t="s">
        <v>1385</v>
      </c>
      <c r="H331" t="s">
        <v>1063</v>
      </c>
      <c r="I331" t="s">
        <v>1132</v>
      </c>
      <c r="J331">
        <v>2020</v>
      </c>
      <c r="K331" t="s">
        <v>221</v>
      </c>
      <c r="M331" t="s">
        <v>1386</v>
      </c>
      <c r="N331" t="s">
        <v>65</v>
      </c>
      <c r="P331" t="s">
        <v>1387</v>
      </c>
    </row>
    <row r="332" spans="1:16" x14ac:dyDescent="0.2">
      <c r="A332" t="s">
        <v>1388</v>
      </c>
      <c r="B332" t="s">
        <v>1389</v>
      </c>
      <c r="C332" t="s">
        <v>59</v>
      </c>
      <c r="D332" t="s">
        <v>1390</v>
      </c>
      <c r="E332" t="s">
        <v>115</v>
      </c>
      <c r="F332" t="s">
        <v>1391</v>
      </c>
      <c r="G332" t="s">
        <v>1392</v>
      </c>
      <c r="H332" t="s">
        <v>418</v>
      </c>
      <c r="I332" t="s">
        <v>1132</v>
      </c>
      <c r="J332">
        <v>2020</v>
      </c>
      <c r="K332" t="s">
        <v>64</v>
      </c>
      <c r="L332">
        <v>44211</v>
      </c>
      <c r="N332" t="s">
        <v>65</v>
      </c>
      <c r="P332" t="s">
        <v>1393</v>
      </c>
    </row>
    <row r="333" spans="1:16" x14ac:dyDescent="0.2">
      <c r="A333" t="s">
        <v>1394</v>
      </c>
      <c r="B333" t="s">
        <v>1395</v>
      </c>
      <c r="C333" t="s">
        <v>59</v>
      </c>
      <c r="D333" t="s">
        <v>1396</v>
      </c>
      <c r="F333" t="s">
        <v>1397</v>
      </c>
      <c r="G333" t="s">
        <v>1398</v>
      </c>
      <c r="H333" t="s">
        <v>162</v>
      </c>
      <c r="I333" t="s">
        <v>1132</v>
      </c>
      <c r="J333">
        <v>2020</v>
      </c>
      <c r="K333" t="s">
        <v>158</v>
      </c>
      <c r="L333">
        <v>44211</v>
      </c>
      <c r="N333" t="s">
        <v>65</v>
      </c>
      <c r="O333" t="s">
        <v>66</v>
      </c>
      <c r="P333" t="s">
        <v>1399</v>
      </c>
    </row>
    <row r="334" spans="1:16" x14ac:dyDescent="0.2">
      <c r="A334" t="s">
        <v>1400</v>
      </c>
      <c r="B334" t="s">
        <v>1401</v>
      </c>
      <c r="C334" t="s">
        <v>59</v>
      </c>
      <c r="D334" t="s">
        <v>115</v>
      </c>
      <c r="F334" t="s">
        <v>1402</v>
      </c>
      <c r="H334" t="s">
        <v>255</v>
      </c>
      <c r="I334" t="s">
        <v>1132</v>
      </c>
      <c r="J334">
        <v>2020</v>
      </c>
      <c r="K334" t="s">
        <v>221</v>
      </c>
      <c r="L334">
        <v>44120</v>
      </c>
      <c r="N334" t="s">
        <v>65</v>
      </c>
      <c r="P334" t="s">
        <v>1403</v>
      </c>
    </row>
    <row r="335" spans="1:16" x14ac:dyDescent="0.2">
      <c r="A335" t="s">
        <v>1404</v>
      </c>
      <c r="B335" t="s">
        <v>1405</v>
      </c>
      <c r="C335" t="s">
        <v>59</v>
      </c>
      <c r="D335" t="s">
        <v>386</v>
      </c>
      <c r="G335" t="s">
        <v>1406</v>
      </c>
      <c r="H335" t="s">
        <v>255</v>
      </c>
      <c r="I335" t="s">
        <v>1132</v>
      </c>
      <c r="J335">
        <v>2020</v>
      </c>
      <c r="K335" t="s">
        <v>221</v>
      </c>
      <c r="N335" t="s">
        <v>71</v>
      </c>
      <c r="P335" t="s">
        <v>1407</v>
      </c>
    </row>
    <row r="336" spans="1:16" x14ac:dyDescent="0.2">
      <c r="A336" t="s">
        <v>1408</v>
      </c>
      <c r="B336" t="s">
        <v>1409</v>
      </c>
      <c r="C336" t="s">
        <v>59</v>
      </c>
      <c r="D336" t="s">
        <v>82</v>
      </c>
      <c r="F336" t="s">
        <v>1410</v>
      </c>
      <c r="H336" t="s">
        <v>338</v>
      </c>
      <c r="I336" t="s">
        <v>1132</v>
      </c>
      <c r="J336">
        <v>2020</v>
      </c>
      <c r="K336" t="s">
        <v>202</v>
      </c>
      <c r="L336">
        <v>44258</v>
      </c>
      <c r="N336" t="s">
        <v>65</v>
      </c>
      <c r="O336" t="s">
        <v>66</v>
      </c>
      <c r="P336" t="s">
        <v>1411</v>
      </c>
    </row>
    <row r="337" spans="1:16" x14ac:dyDescent="0.2">
      <c r="A337" t="s">
        <v>1412</v>
      </c>
      <c r="B337" t="s">
        <v>1413</v>
      </c>
      <c r="C337" t="s">
        <v>59</v>
      </c>
      <c r="D337" t="s">
        <v>102</v>
      </c>
      <c r="F337" t="s">
        <v>63</v>
      </c>
      <c r="H337" t="s">
        <v>63</v>
      </c>
      <c r="I337" t="s">
        <v>1132</v>
      </c>
      <c r="J337">
        <v>2020</v>
      </c>
      <c r="K337" t="s">
        <v>202</v>
      </c>
      <c r="L337">
        <v>44163</v>
      </c>
      <c r="N337" t="s">
        <v>65</v>
      </c>
      <c r="O337" t="s">
        <v>66</v>
      </c>
      <c r="P337" t="s">
        <v>1414</v>
      </c>
    </row>
    <row r="338" spans="1:16" x14ac:dyDescent="0.2">
      <c r="A338" t="s">
        <v>1415</v>
      </c>
      <c r="B338" t="s">
        <v>1416</v>
      </c>
      <c r="C338" t="s">
        <v>59</v>
      </c>
      <c r="D338" t="s">
        <v>1092</v>
      </c>
      <c r="E338" t="s">
        <v>115</v>
      </c>
      <c r="F338" t="s">
        <v>960</v>
      </c>
      <c r="H338" t="s">
        <v>338</v>
      </c>
      <c r="I338" t="s">
        <v>1132</v>
      </c>
      <c r="J338">
        <v>2020</v>
      </c>
      <c r="K338" t="s">
        <v>158</v>
      </c>
      <c r="L338">
        <v>44228</v>
      </c>
      <c r="N338" t="s">
        <v>65</v>
      </c>
      <c r="O338" t="s">
        <v>1380</v>
      </c>
      <c r="P338" t="s">
        <v>1417</v>
      </c>
    </row>
    <row r="339" spans="1:16" x14ac:dyDescent="0.2">
      <c r="A339" t="s">
        <v>1418</v>
      </c>
      <c r="B339" t="s">
        <v>1419</v>
      </c>
      <c r="C339" t="s">
        <v>59</v>
      </c>
      <c r="D339" t="s">
        <v>1420</v>
      </c>
      <c r="E339" t="s">
        <v>115</v>
      </c>
      <c r="F339" t="s">
        <v>1421</v>
      </c>
      <c r="G339" t="s">
        <v>1422</v>
      </c>
      <c r="H339" t="s">
        <v>134</v>
      </c>
      <c r="I339" t="s">
        <v>1132</v>
      </c>
      <c r="J339">
        <v>2020</v>
      </c>
      <c r="K339" t="s">
        <v>64</v>
      </c>
      <c r="L339">
        <v>44153</v>
      </c>
      <c r="N339" t="s">
        <v>65</v>
      </c>
      <c r="P339" t="s">
        <v>1423</v>
      </c>
    </row>
    <row r="340" spans="1:16" x14ac:dyDescent="0.2">
      <c r="A340" t="s">
        <v>1424</v>
      </c>
      <c r="B340" t="s">
        <v>1425</v>
      </c>
      <c r="C340" t="s">
        <v>59</v>
      </c>
      <c r="D340" t="s">
        <v>82</v>
      </c>
      <c r="E340" t="s">
        <v>1426</v>
      </c>
      <c r="F340" t="s">
        <v>1427</v>
      </c>
      <c r="H340" t="s">
        <v>77</v>
      </c>
      <c r="I340" t="s">
        <v>1132</v>
      </c>
      <c r="J340">
        <v>2020</v>
      </c>
      <c r="K340" t="s">
        <v>158</v>
      </c>
      <c r="L340">
        <v>44176</v>
      </c>
      <c r="N340" t="s">
        <v>65</v>
      </c>
      <c r="O340" t="s">
        <v>66</v>
      </c>
      <c r="P340" t="s">
        <v>1428</v>
      </c>
    </row>
    <row r="341" spans="1:16" x14ac:dyDescent="0.2">
      <c r="A341" t="s">
        <v>1429</v>
      </c>
      <c r="B341" t="s">
        <v>1430</v>
      </c>
      <c r="C341" t="s">
        <v>59</v>
      </c>
      <c r="D341" t="s">
        <v>115</v>
      </c>
      <c r="F341" t="s">
        <v>220</v>
      </c>
      <c r="H341" t="s">
        <v>117</v>
      </c>
      <c r="I341" t="s">
        <v>1132</v>
      </c>
      <c r="J341">
        <v>2020</v>
      </c>
      <c r="K341" t="s">
        <v>297</v>
      </c>
      <c r="L341">
        <v>44165</v>
      </c>
      <c r="N341" t="s">
        <v>65</v>
      </c>
      <c r="P341" t="s">
        <v>1431</v>
      </c>
    </row>
    <row r="342" spans="1:16" x14ac:dyDescent="0.2">
      <c r="A342" t="s">
        <v>1432</v>
      </c>
      <c r="B342" t="s">
        <v>1433</v>
      </c>
      <c r="C342" t="s">
        <v>59</v>
      </c>
      <c r="D342" t="s">
        <v>270</v>
      </c>
      <c r="F342" t="s">
        <v>452</v>
      </c>
      <c r="G342" t="s">
        <v>1434</v>
      </c>
      <c r="H342" t="s">
        <v>77</v>
      </c>
      <c r="I342" t="s">
        <v>1132</v>
      </c>
      <c r="J342">
        <v>2020</v>
      </c>
      <c r="K342" t="s">
        <v>221</v>
      </c>
      <c r="L342">
        <v>44169</v>
      </c>
      <c r="N342" t="s">
        <v>71</v>
      </c>
      <c r="P342" t="s">
        <v>1435</v>
      </c>
    </row>
    <row r="343" spans="1:16" x14ac:dyDescent="0.2">
      <c r="A343" t="s">
        <v>1436</v>
      </c>
      <c r="B343" t="s">
        <v>1437</v>
      </c>
      <c r="C343" t="s">
        <v>59</v>
      </c>
      <c r="D343" t="s">
        <v>386</v>
      </c>
      <c r="E343" t="s">
        <v>1438</v>
      </c>
      <c r="H343" t="s">
        <v>388</v>
      </c>
      <c r="I343" t="s">
        <v>1132</v>
      </c>
      <c r="J343">
        <v>2020</v>
      </c>
      <c r="K343" t="s">
        <v>221</v>
      </c>
      <c r="L343">
        <v>44211</v>
      </c>
      <c r="N343" t="s">
        <v>390</v>
      </c>
      <c r="P343" t="s">
        <v>1439</v>
      </c>
    </row>
    <row r="344" spans="1:16" x14ac:dyDescent="0.2">
      <c r="A344" t="s">
        <v>1440</v>
      </c>
      <c r="B344" t="s">
        <v>1441</v>
      </c>
      <c r="C344" t="s">
        <v>59</v>
      </c>
      <c r="D344" t="s">
        <v>386</v>
      </c>
      <c r="E344" t="s">
        <v>1442</v>
      </c>
      <c r="H344" t="s">
        <v>1190</v>
      </c>
      <c r="I344" t="s">
        <v>1132</v>
      </c>
      <c r="J344">
        <v>2020</v>
      </c>
      <c r="K344" t="s">
        <v>221</v>
      </c>
      <c r="L344">
        <v>44242</v>
      </c>
      <c r="N344" t="s">
        <v>390</v>
      </c>
      <c r="P344" t="s">
        <v>1443</v>
      </c>
    </row>
    <row r="345" spans="1:16" x14ac:dyDescent="0.2">
      <c r="A345" t="s">
        <v>1444</v>
      </c>
      <c r="B345" t="s">
        <v>1445</v>
      </c>
      <c r="C345" t="s">
        <v>59</v>
      </c>
      <c r="D345" t="s">
        <v>115</v>
      </c>
      <c r="F345" t="s">
        <v>792</v>
      </c>
      <c r="G345" t="s">
        <v>1446</v>
      </c>
      <c r="H345" t="s">
        <v>338</v>
      </c>
      <c r="I345" t="s">
        <v>1132</v>
      </c>
      <c r="J345">
        <v>2020</v>
      </c>
      <c r="K345" t="s">
        <v>221</v>
      </c>
      <c r="L345">
        <v>44179</v>
      </c>
      <c r="N345" t="s">
        <v>65</v>
      </c>
      <c r="P345" t="s">
        <v>1447</v>
      </c>
    </row>
    <row r="346" spans="1:16" x14ac:dyDescent="0.2">
      <c r="A346" t="s">
        <v>1448</v>
      </c>
      <c r="B346" t="s">
        <v>1449</v>
      </c>
      <c r="C346" t="s">
        <v>59</v>
      </c>
      <c r="D346" t="s">
        <v>88</v>
      </c>
      <c r="F346" t="s">
        <v>1450</v>
      </c>
      <c r="G346" t="s">
        <v>1451</v>
      </c>
      <c r="H346" t="s">
        <v>89</v>
      </c>
      <c r="I346" t="s">
        <v>1132</v>
      </c>
      <c r="J346">
        <v>2020</v>
      </c>
      <c r="K346" t="s">
        <v>471</v>
      </c>
      <c r="L346">
        <v>44372</v>
      </c>
      <c r="N346" t="s">
        <v>65</v>
      </c>
      <c r="P346" t="s">
        <v>1452</v>
      </c>
    </row>
    <row r="347" spans="1:16" x14ac:dyDescent="0.2">
      <c r="A347" t="s">
        <v>1453</v>
      </c>
      <c r="B347" t="s">
        <v>1454</v>
      </c>
      <c r="C347" t="s">
        <v>59</v>
      </c>
      <c r="D347" t="s">
        <v>1455</v>
      </c>
      <c r="F347" t="s">
        <v>1455</v>
      </c>
      <c r="H347" t="s">
        <v>255</v>
      </c>
      <c r="I347" t="s">
        <v>1132</v>
      </c>
      <c r="J347">
        <v>2020</v>
      </c>
      <c r="K347" t="s">
        <v>202</v>
      </c>
      <c r="L347">
        <v>44288</v>
      </c>
      <c r="N347" t="s">
        <v>65</v>
      </c>
      <c r="O347" t="s">
        <v>66</v>
      </c>
      <c r="P347" t="s">
        <v>1456</v>
      </c>
    </row>
    <row r="348" spans="1:16" x14ac:dyDescent="0.2">
      <c r="A348" t="s">
        <v>1457</v>
      </c>
      <c r="B348" t="s">
        <v>1458</v>
      </c>
      <c r="C348" t="s">
        <v>59</v>
      </c>
      <c r="D348" t="s">
        <v>1459</v>
      </c>
      <c r="F348" t="s">
        <v>246</v>
      </c>
      <c r="G348" t="s">
        <v>1460</v>
      </c>
      <c r="H348" t="s">
        <v>338</v>
      </c>
      <c r="I348" t="s">
        <v>1132</v>
      </c>
      <c r="J348">
        <v>2020</v>
      </c>
      <c r="K348" t="s">
        <v>221</v>
      </c>
      <c r="N348" t="s">
        <v>65</v>
      </c>
      <c r="P348" t="s">
        <v>1461</v>
      </c>
    </row>
    <row r="349" spans="1:16" x14ac:dyDescent="0.2">
      <c r="A349" t="s">
        <v>1462</v>
      </c>
      <c r="B349" t="s">
        <v>1463</v>
      </c>
      <c r="C349" t="s">
        <v>59</v>
      </c>
      <c r="D349" t="s">
        <v>1464</v>
      </c>
      <c r="F349" t="s">
        <v>1464</v>
      </c>
      <c r="G349" t="s">
        <v>1465</v>
      </c>
      <c r="H349" t="s">
        <v>877</v>
      </c>
      <c r="I349" t="s">
        <v>1132</v>
      </c>
      <c r="J349">
        <v>2020</v>
      </c>
      <c r="K349" t="s">
        <v>221</v>
      </c>
      <c r="L349">
        <v>44183</v>
      </c>
      <c r="N349" t="s">
        <v>71</v>
      </c>
      <c r="O349" t="s">
        <v>66</v>
      </c>
      <c r="P349" t="s">
        <v>1466</v>
      </c>
    </row>
    <row r="350" spans="1:16" x14ac:dyDescent="0.2">
      <c r="A350" t="s">
        <v>1467</v>
      </c>
      <c r="B350" t="s">
        <v>1468</v>
      </c>
      <c r="C350" t="s">
        <v>59</v>
      </c>
      <c r="D350" t="s">
        <v>167</v>
      </c>
      <c r="F350" t="s">
        <v>1469</v>
      </c>
      <c r="H350" t="s">
        <v>77</v>
      </c>
      <c r="I350" t="s">
        <v>1132</v>
      </c>
      <c r="J350">
        <v>2020</v>
      </c>
      <c r="K350" t="s">
        <v>158</v>
      </c>
      <c r="L350">
        <v>43873</v>
      </c>
      <c r="N350" t="s">
        <v>65</v>
      </c>
      <c r="O350" t="s">
        <v>66</v>
      </c>
      <c r="P350" t="s">
        <v>1470</v>
      </c>
    </row>
    <row r="351" spans="1:16" x14ac:dyDescent="0.2">
      <c r="A351" t="s">
        <v>1471</v>
      </c>
      <c r="B351" t="s">
        <v>1472</v>
      </c>
      <c r="C351" t="s">
        <v>59</v>
      </c>
      <c r="D351" t="s">
        <v>1473</v>
      </c>
      <c r="E351" t="s">
        <v>115</v>
      </c>
      <c r="F351" t="s">
        <v>499</v>
      </c>
      <c r="G351" t="s">
        <v>1474</v>
      </c>
      <c r="H351" t="s">
        <v>134</v>
      </c>
      <c r="I351" t="s">
        <v>1132</v>
      </c>
      <c r="J351">
        <v>2020</v>
      </c>
      <c r="K351" t="s">
        <v>158</v>
      </c>
      <c r="L351">
        <v>44264</v>
      </c>
      <c r="N351" t="s">
        <v>65</v>
      </c>
      <c r="O351" t="s">
        <v>66</v>
      </c>
      <c r="P351" t="s">
        <v>1475</v>
      </c>
    </row>
    <row r="352" spans="1:16" x14ac:dyDescent="0.2">
      <c r="A352" t="s">
        <v>1476</v>
      </c>
      <c r="B352" t="s">
        <v>1477</v>
      </c>
      <c r="C352" t="s">
        <v>59</v>
      </c>
      <c r="D352" t="s">
        <v>60</v>
      </c>
      <c r="F352" t="s">
        <v>1478</v>
      </c>
      <c r="G352" t="s">
        <v>1479</v>
      </c>
      <c r="H352" t="s">
        <v>1480</v>
      </c>
      <c r="I352" t="s">
        <v>1132</v>
      </c>
      <c r="J352">
        <v>2021</v>
      </c>
      <c r="K352" t="s">
        <v>202</v>
      </c>
      <c r="L352">
        <v>44320</v>
      </c>
      <c r="N352" t="s">
        <v>65</v>
      </c>
      <c r="O352" t="s">
        <v>66</v>
      </c>
      <c r="P352" t="s">
        <v>1481</v>
      </c>
    </row>
    <row r="353" spans="1:16" x14ac:dyDescent="0.2">
      <c r="A353" t="s">
        <v>1476</v>
      </c>
      <c r="B353" t="s">
        <v>1482</v>
      </c>
      <c r="C353" t="s">
        <v>59</v>
      </c>
      <c r="D353" t="s">
        <v>60</v>
      </c>
      <c r="F353" t="s">
        <v>1478</v>
      </c>
      <c r="G353" t="s">
        <v>1483</v>
      </c>
      <c r="H353" t="s">
        <v>1480</v>
      </c>
      <c r="I353" t="s">
        <v>1132</v>
      </c>
      <c r="J353">
        <v>2021</v>
      </c>
      <c r="K353" t="s">
        <v>202</v>
      </c>
      <c r="L353">
        <v>44342</v>
      </c>
      <c r="N353" t="s">
        <v>65</v>
      </c>
      <c r="O353" t="s">
        <v>66</v>
      </c>
      <c r="P353" t="s">
        <v>1481</v>
      </c>
    </row>
    <row r="354" spans="1:16" x14ac:dyDescent="0.2">
      <c r="A354" t="s">
        <v>1476</v>
      </c>
      <c r="B354" t="s">
        <v>1484</v>
      </c>
      <c r="C354" t="s">
        <v>59</v>
      </c>
      <c r="D354" t="s">
        <v>60</v>
      </c>
      <c r="F354" t="s">
        <v>1478</v>
      </c>
      <c r="G354" t="s">
        <v>1485</v>
      </c>
      <c r="H354" t="s">
        <v>1480</v>
      </c>
      <c r="I354" t="s">
        <v>1132</v>
      </c>
      <c r="J354">
        <v>2021</v>
      </c>
      <c r="K354" t="s">
        <v>202</v>
      </c>
      <c r="L354">
        <v>44410</v>
      </c>
      <c r="N354" t="s">
        <v>65</v>
      </c>
      <c r="O354" t="s">
        <v>66</v>
      </c>
      <c r="P354" t="s">
        <v>1481</v>
      </c>
    </row>
    <row r="355" spans="1:16" x14ac:dyDescent="0.2">
      <c r="A355" t="s">
        <v>1476</v>
      </c>
      <c r="B355" t="s">
        <v>1486</v>
      </c>
      <c r="C355" t="s">
        <v>59</v>
      </c>
      <c r="D355" t="s">
        <v>60</v>
      </c>
      <c r="F355" t="s">
        <v>1478</v>
      </c>
      <c r="G355" t="s">
        <v>1487</v>
      </c>
      <c r="H355" t="s">
        <v>1480</v>
      </c>
      <c r="I355" t="s">
        <v>1132</v>
      </c>
      <c r="J355">
        <v>2021</v>
      </c>
      <c r="K355" t="s">
        <v>202</v>
      </c>
      <c r="L355">
        <v>44407</v>
      </c>
      <c r="N355" t="s">
        <v>65</v>
      </c>
      <c r="O355" t="s">
        <v>66</v>
      </c>
      <c r="P355" t="s">
        <v>1481</v>
      </c>
    </row>
    <row r="356" spans="1:16" x14ac:dyDescent="0.2">
      <c r="A356" t="s">
        <v>1476</v>
      </c>
      <c r="B356" t="s">
        <v>1488</v>
      </c>
      <c r="C356" t="s">
        <v>59</v>
      </c>
      <c r="D356" t="s">
        <v>60</v>
      </c>
      <c r="F356" t="s">
        <v>1478</v>
      </c>
      <c r="G356" t="s">
        <v>1489</v>
      </c>
      <c r="H356" t="s">
        <v>1480</v>
      </c>
      <c r="I356" t="s">
        <v>1132</v>
      </c>
      <c r="J356">
        <v>2021</v>
      </c>
      <c r="K356" t="s">
        <v>202</v>
      </c>
      <c r="L356">
        <v>44692</v>
      </c>
      <c r="N356" t="s">
        <v>65</v>
      </c>
      <c r="O356" t="s">
        <v>66</v>
      </c>
      <c r="P356" t="s">
        <v>1481</v>
      </c>
    </row>
    <row r="357" spans="1:16" x14ac:dyDescent="0.2">
      <c r="A357" t="s">
        <v>1490</v>
      </c>
      <c r="B357" t="s">
        <v>1491</v>
      </c>
      <c r="C357" t="s">
        <v>59</v>
      </c>
      <c r="D357" t="s">
        <v>82</v>
      </c>
      <c r="F357" t="s">
        <v>1492</v>
      </c>
      <c r="H357" t="s">
        <v>388</v>
      </c>
      <c r="I357" t="s">
        <v>1132</v>
      </c>
      <c r="J357">
        <v>2020</v>
      </c>
      <c r="K357" t="s">
        <v>202</v>
      </c>
      <c r="L357">
        <v>44277</v>
      </c>
      <c r="N357" t="s">
        <v>65</v>
      </c>
      <c r="O357" t="s">
        <v>66</v>
      </c>
      <c r="P357" t="s">
        <v>1493</v>
      </c>
    </row>
    <row r="358" spans="1:16" x14ac:dyDescent="0.2">
      <c r="A358" t="s">
        <v>1494</v>
      </c>
      <c r="B358" t="s">
        <v>1495</v>
      </c>
      <c r="C358" t="s">
        <v>59</v>
      </c>
      <c r="D358" t="s">
        <v>115</v>
      </c>
      <c r="E358" t="s">
        <v>115</v>
      </c>
      <c r="F358" t="s">
        <v>1496</v>
      </c>
      <c r="G358" t="s">
        <v>978</v>
      </c>
      <c r="H358" t="s">
        <v>134</v>
      </c>
      <c r="I358" t="s">
        <v>1132</v>
      </c>
      <c r="J358">
        <v>2020</v>
      </c>
      <c r="K358" t="s">
        <v>64</v>
      </c>
      <c r="N358" t="s">
        <v>71</v>
      </c>
      <c r="P358" t="s">
        <v>1497</v>
      </c>
    </row>
    <row r="359" spans="1:16" x14ac:dyDescent="0.2">
      <c r="A359" t="s">
        <v>1498</v>
      </c>
      <c r="B359" t="s">
        <v>1499</v>
      </c>
      <c r="C359" t="s">
        <v>59</v>
      </c>
      <c r="D359" t="s">
        <v>167</v>
      </c>
      <c r="E359" t="s">
        <v>1500</v>
      </c>
      <c r="F359" t="s">
        <v>1501</v>
      </c>
      <c r="H359" t="s">
        <v>117</v>
      </c>
      <c r="I359" t="s">
        <v>1132</v>
      </c>
      <c r="J359">
        <v>2020</v>
      </c>
      <c r="K359" t="s">
        <v>158</v>
      </c>
      <c r="L359">
        <v>43949</v>
      </c>
      <c r="N359" t="s">
        <v>65</v>
      </c>
      <c r="O359" t="s">
        <v>66</v>
      </c>
      <c r="P359" t="s">
        <v>1502</v>
      </c>
    </row>
    <row r="360" spans="1:16" x14ac:dyDescent="0.2">
      <c r="A360" t="s">
        <v>1503</v>
      </c>
      <c r="B360" t="s">
        <v>1504</v>
      </c>
      <c r="C360" t="s">
        <v>59</v>
      </c>
      <c r="D360" t="s">
        <v>102</v>
      </c>
      <c r="F360" t="s">
        <v>248</v>
      </c>
      <c r="G360" t="s">
        <v>1505</v>
      </c>
      <c r="H360" t="s">
        <v>367</v>
      </c>
      <c r="I360" t="s">
        <v>1132</v>
      </c>
      <c r="J360">
        <v>2020</v>
      </c>
      <c r="K360" t="s">
        <v>297</v>
      </c>
      <c r="L360">
        <v>43895</v>
      </c>
      <c r="N360" t="s">
        <v>65</v>
      </c>
      <c r="P360" t="s">
        <v>1506</v>
      </c>
    </row>
    <row r="361" spans="1:16" x14ac:dyDescent="0.2">
      <c r="A361" t="s">
        <v>1507</v>
      </c>
      <c r="B361" t="s">
        <v>1508</v>
      </c>
      <c r="C361" t="s">
        <v>59</v>
      </c>
      <c r="D361" t="s">
        <v>115</v>
      </c>
      <c r="E361" t="s">
        <v>407</v>
      </c>
      <c r="G361" t="s">
        <v>1509</v>
      </c>
      <c r="H361" t="s">
        <v>409</v>
      </c>
      <c r="I361" t="s">
        <v>1132</v>
      </c>
      <c r="J361">
        <v>2020</v>
      </c>
      <c r="K361" t="s">
        <v>297</v>
      </c>
      <c r="L361">
        <v>44252</v>
      </c>
      <c r="N361" t="s">
        <v>71</v>
      </c>
      <c r="O361" t="s">
        <v>1380</v>
      </c>
      <c r="P361" t="s">
        <v>1510</v>
      </c>
    </row>
    <row r="362" spans="1:16" x14ac:dyDescent="0.2">
      <c r="A362" t="s">
        <v>1511</v>
      </c>
      <c r="B362" t="s">
        <v>1512</v>
      </c>
      <c r="C362" t="s">
        <v>59</v>
      </c>
      <c r="D362" t="s">
        <v>1285</v>
      </c>
      <c r="E362" t="s">
        <v>115</v>
      </c>
      <c r="F362" t="s">
        <v>1086</v>
      </c>
      <c r="G362" t="s">
        <v>1513</v>
      </c>
      <c r="H362" t="s">
        <v>198</v>
      </c>
      <c r="I362" t="s">
        <v>1132</v>
      </c>
      <c r="J362">
        <v>2020</v>
      </c>
      <c r="K362" t="s">
        <v>471</v>
      </c>
      <c r="L362">
        <v>44249</v>
      </c>
      <c r="N362" t="s">
        <v>65</v>
      </c>
      <c r="P362" t="s">
        <v>1514</v>
      </c>
    </row>
    <row r="363" spans="1:16" x14ac:dyDescent="0.2">
      <c r="A363" t="s">
        <v>1515</v>
      </c>
      <c r="B363" t="s">
        <v>1516</v>
      </c>
      <c r="C363" t="s">
        <v>59</v>
      </c>
      <c r="D363" t="s">
        <v>358</v>
      </c>
      <c r="F363" t="s">
        <v>1517</v>
      </c>
      <c r="H363" t="s">
        <v>77</v>
      </c>
      <c r="I363" t="s">
        <v>1132</v>
      </c>
      <c r="J363">
        <v>2021</v>
      </c>
      <c r="K363" t="s">
        <v>158</v>
      </c>
      <c r="L363" t="s">
        <v>1518</v>
      </c>
      <c r="N363" t="s">
        <v>65</v>
      </c>
      <c r="O363" t="s">
        <v>66</v>
      </c>
      <c r="P363" t="s">
        <v>1519</v>
      </c>
    </row>
    <row r="364" spans="1:16" x14ac:dyDescent="0.2">
      <c r="A364" t="s">
        <v>1515</v>
      </c>
      <c r="B364" t="s">
        <v>1520</v>
      </c>
      <c r="C364" t="s">
        <v>59</v>
      </c>
      <c r="D364" t="s">
        <v>358</v>
      </c>
      <c r="F364" t="s">
        <v>1517</v>
      </c>
      <c r="G364" t="s">
        <v>1521</v>
      </c>
      <c r="H364" t="s">
        <v>77</v>
      </c>
      <c r="I364" t="s">
        <v>1132</v>
      </c>
      <c r="J364">
        <v>2021</v>
      </c>
      <c r="K364" t="s">
        <v>221</v>
      </c>
      <c r="L364">
        <v>44460</v>
      </c>
      <c r="N364" t="s">
        <v>65</v>
      </c>
      <c r="P364" t="s">
        <v>1519</v>
      </c>
    </row>
    <row r="365" spans="1:16" x14ac:dyDescent="0.2">
      <c r="A365" t="s">
        <v>1515</v>
      </c>
      <c r="B365" t="s">
        <v>1522</v>
      </c>
      <c r="C365" t="s">
        <v>59</v>
      </c>
      <c r="D365" t="s">
        <v>358</v>
      </c>
      <c r="F365" t="s">
        <v>1517</v>
      </c>
      <c r="G365" t="s">
        <v>1521</v>
      </c>
      <c r="H365" t="s">
        <v>77</v>
      </c>
      <c r="I365" t="s">
        <v>1132</v>
      </c>
      <c r="J365">
        <v>2021</v>
      </c>
      <c r="K365" t="s">
        <v>221</v>
      </c>
      <c r="L365">
        <v>44531</v>
      </c>
      <c r="N365" t="s">
        <v>65</v>
      </c>
      <c r="P365" t="s">
        <v>1519</v>
      </c>
    </row>
    <row r="366" spans="1:16" x14ac:dyDescent="0.2">
      <c r="A366" t="s">
        <v>1523</v>
      </c>
      <c r="B366" t="s">
        <v>1524</v>
      </c>
      <c r="C366" t="s">
        <v>59</v>
      </c>
      <c r="D366" t="s">
        <v>60</v>
      </c>
      <c r="F366" t="s">
        <v>1525</v>
      </c>
      <c r="G366" t="s">
        <v>1526</v>
      </c>
      <c r="H366" t="s">
        <v>1527</v>
      </c>
      <c r="I366" t="s">
        <v>1132</v>
      </c>
      <c r="J366">
        <v>2020</v>
      </c>
      <c r="K366" t="s">
        <v>297</v>
      </c>
      <c r="L366">
        <v>44342</v>
      </c>
      <c r="N366" t="s">
        <v>65</v>
      </c>
      <c r="P366" t="s">
        <v>1528</v>
      </c>
    </row>
    <row r="367" spans="1:16" x14ac:dyDescent="0.2">
      <c r="A367" t="s">
        <v>1529</v>
      </c>
      <c r="B367" t="s">
        <v>1530</v>
      </c>
      <c r="C367" t="s">
        <v>59</v>
      </c>
      <c r="D367" t="s">
        <v>167</v>
      </c>
      <c r="E367" t="s">
        <v>1240</v>
      </c>
      <c r="F367" t="s">
        <v>1241</v>
      </c>
      <c r="H367" t="s">
        <v>1242</v>
      </c>
      <c r="I367" t="s">
        <v>1132</v>
      </c>
      <c r="J367">
        <v>2021</v>
      </c>
      <c r="K367" t="s">
        <v>1531</v>
      </c>
      <c r="L367">
        <v>44231</v>
      </c>
      <c r="N367" t="s">
        <v>71</v>
      </c>
      <c r="P367" t="s">
        <v>1532</v>
      </c>
    </row>
    <row r="368" spans="1:16" x14ac:dyDescent="0.2">
      <c r="A368" t="s">
        <v>1533</v>
      </c>
      <c r="B368" t="s">
        <v>1534</v>
      </c>
      <c r="C368" t="s">
        <v>59</v>
      </c>
      <c r="D368" t="s">
        <v>253</v>
      </c>
      <c r="F368" t="s">
        <v>1535</v>
      </c>
      <c r="H368" t="s">
        <v>193</v>
      </c>
      <c r="I368" t="s">
        <v>1132</v>
      </c>
      <c r="J368">
        <v>2021</v>
      </c>
      <c r="K368" t="s">
        <v>221</v>
      </c>
      <c r="L368">
        <v>44314</v>
      </c>
      <c r="N368" t="s">
        <v>65</v>
      </c>
      <c r="P368" t="s">
        <v>1536</v>
      </c>
    </row>
    <row r="369" spans="1:16" x14ac:dyDescent="0.2">
      <c r="A369" t="s">
        <v>1537</v>
      </c>
      <c r="B369" t="s">
        <v>1538</v>
      </c>
      <c r="C369" t="s">
        <v>59</v>
      </c>
      <c r="D369" t="s">
        <v>660</v>
      </c>
      <c r="E369" t="s">
        <v>343</v>
      </c>
      <c r="F369" t="s">
        <v>661</v>
      </c>
      <c r="G369" t="s">
        <v>1539</v>
      </c>
      <c r="H369" t="s">
        <v>77</v>
      </c>
      <c r="I369" t="s">
        <v>1132</v>
      </c>
      <c r="J369">
        <v>2021</v>
      </c>
      <c r="K369" t="s">
        <v>471</v>
      </c>
      <c r="L369" t="s">
        <v>1540</v>
      </c>
      <c r="N369" t="s">
        <v>65</v>
      </c>
      <c r="P369" t="s">
        <v>1541</v>
      </c>
    </row>
    <row r="370" spans="1:16" x14ac:dyDescent="0.2">
      <c r="A370" t="s">
        <v>1537</v>
      </c>
      <c r="B370" t="s">
        <v>1542</v>
      </c>
      <c r="C370" t="s">
        <v>59</v>
      </c>
      <c r="D370" t="s">
        <v>660</v>
      </c>
      <c r="E370" t="s">
        <v>343</v>
      </c>
      <c r="F370" t="s">
        <v>661</v>
      </c>
      <c r="G370" t="s">
        <v>1539</v>
      </c>
      <c r="H370" t="s">
        <v>77</v>
      </c>
      <c r="I370" t="s">
        <v>1132</v>
      </c>
      <c r="J370">
        <v>2021</v>
      </c>
      <c r="K370" t="s">
        <v>471</v>
      </c>
      <c r="L370" t="s">
        <v>1540</v>
      </c>
      <c r="N370" t="s">
        <v>65</v>
      </c>
      <c r="P370" t="s">
        <v>1541</v>
      </c>
    </row>
    <row r="371" spans="1:16" x14ac:dyDescent="0.2">
      <c r="A371" t="s">
        <v>1537</v>
      </c>
      <c r="B371" t="s">
        <v>1543</v>
      </c>
      <c r="C371" t="s">
        <v>59</v>
      </c>
      <c r="D371" t="s">
        <v>660</v>
      </c>
      <c r="E371" t="s">
        <v>343</v>
      </c>
      <c r="F371" t="s">
        <v>661</v>
      </c>
      <c r="G371" t="s">
        <v>1539</v>
      </c>
      <c r="H371" t="s">
        <v>77</v>
      </c>
      <c r="I371" t="s">
        <v>1132</v>
      </c>
      <c r="J371">
        <v>2021</v>
      </c>
      <c r="K371" t="s">
        <v>471</v>
      </c>
      <c r="L371" t="s">
        <v>1540</v>
      </c>
      <c r="N371" t="s">
        <v>65</v>
      </c>
      <c r="P371" t="s">
        <v>1541</v>
      </c>
    </row>
    <row r="372" spans="1:16" x14ac:dyDescent="0.2">
      <c r="A372" t="s">
        <v>1544</v>
      </c>
      <c r="B372" t="s">
        <v>1545</v>
      </c>
      <c r="C372" t="s">
        <v>59</v>
      </c>
      <c r="D372" t="s">
        <v>115</v>
      </c>
      <c r="F372" t="s">
        <v>285</v>
      </c>
      <c r="G372" t="s">
        <v>1546</v>
      </c>
      <c r="H372" t="s">
        <v>117</v>
      </c>
      <c r="I372" t="s">
        <v>1132</v>
      </c>
      <c r="J372">
        <v>2021</v>
      </c>
      <c r="K372" t="s">
        <v>221</v>
      </c>
      <c r="L372">
        <v>44314</v>
      </c>
      <c r="N372" t="s">
        <v>65</v>
      </c>
      <c r="P372" t="s">
        <v>1547</v>
      </c>
    </row>
    <row r="373" spans="1:16" x14ac:dyDescent="0.2">
      <c r="A373" t="s">
        <v>1544</v>
      </c>
      <c r="B373" t="s">
        <v>1548</v>
      </c>
      <c r="C373" t="s">
        <v>59</v>
      </c>
      <c r="D373" t="s">
        <v>115</v>
      </c>
      <c r="F373" t="s">
        <v>285</v>
      </c>
      <c r="G373" t="s">
        <v>1549</v>
      </c>
      <c r="H373" t="s">
        <v>117</v>
      </c>
      <c r="I373" t="s">
        <v>1132</v>
      </c>
      <c r="J373">
        <v>2021</v>
      </c>
      <c r="K373" t="s">
        <v>221</v>
      </c>
      <c r="L373">
        <v>44314</v>
      </c>
      <c r="N373" t="s">
        <v>65</v>
      </c>
      <c r="P373" t="s">
        <v>1547</v>
      </c>
    </row>
    <row r="374" spans="1:16" x14ac:dyDescent="0.2">
      <c r="A374" t="s">
        <v>1550</v>
      </c>
      <c r="B374" t="s">
        <v>1551</v>
      </c>
      <c r="C374" t="s">
        <v>59</v>
      </c>
      <c r="D374" t="s">
        <v>155</v>
      </c>
      <c r="E374" t="s">
        <v>155</v>
      </c>
      <c r="F374" t="s">
        <v>1552</v>
      </c>
      <c r="G374" t="s">
        <v>1553</v>
      </c>
      <c r="H374" t="s">
        <v>157</v>
      </c>
      <c r="I374" t="s">
        <v>1132</v>
      </c>
      <c r="J374">
        <v>2021</v>
      </c>
      <c r="K374" t="s">
        <v>64</v>
      </c>
      <c r="L374">
        <v>44355</v>
      </c>
      <c r="N374" t="s">
        <v>65</v>
      </c>
      <c r="P374" t="s">
        <v>1554</v>
      </c>
    </row>
    <row r="375" spans="1:16" x14ac:dyDescent="0.2">
      <c r="A375" t="s">
        <v>1555</v>
      </c>
      <c r="B375" t="s">
        <v>1556</v>
      </c>
      <c r="C375" t="s">
        <v>59</v>
      </c>
      <c r="D375" t="s">
        <v>88</v>
      </c>
      <c r="F375" t="s">
        <v>946</v>
      </c>
      <c r="H375" t="s">
        <v>89</v>
      </c>
      <c r="I375" t="s">
        <v>1132</v>
      </c>
      <c r="J375">
        <v>2021</v>
      </c>
      <c r="K375" t="s">
        <v>471</v>
      </c>
      <c r="L375">
        <v>44384</v>
      </c>
      <c r="N375" t="s">
        <v>65</v>
      </c>
      <c r="P375" t="s">
        <v>1557</v>
      </c>
    </row>
    <row r="376" spans="1:16" x14ac:dyDescent="0.2">
      <c r="A376" t="s">
        <v>1555</v>
      </c>
      <c r="B376" t="s">
        <v>1558</v>
      </c>
      <c r="C376" t="s">
        <v>59</v>
      </c>
      <c r="D376" t="s">
        <v>88</v>
      </c>
      <c r="F376" t="s">
        <v>946</v>
      </c>
      <c r="H376" t="s">
        <v>89</v>
      </c>
      <c r="I376" t="s">
        <v>1132</v>
      </c>
      <c r="J376">
        <v>2021</v>
      </c>
      <c r="K376" t="s">
        <v>471</v>
      </c>
      <c r="L376">
        <v>44384</v>
      </c>
      <c r="N376" t="s">
        <v>65</v>
      </c>
      <c r="P376" t="s">
        <v>1557</v>
      </c>
    </row>
    <row r="377" spans="1:16" x14ac:dyDescent="0.2">
      <c r="A377" t="s">
        <v>1555</v>
      </c>
      <c r="B377" t="s">
        <v>1559</v>
      </c>
      <c r="C377" t="s">
        <v>59</v>
      </c>
      <c r="D377" t="s">
        <v>88</v>
      </c>
      <c r="F377" t="s">
        <v>946</v>
      </c>
      <c r="H377" t="s">
        <v>89</v>
      </c>
      <c r="I377" t="s">
        <v>1132</v>
      </c>
      <c r="J377">
        <v>2021</v>
      </c>
      <c r="K377" t="s">
        <v>471</v>
      </c>
      <c r="L377">
        <v>44392</v>
      </c>
      <c r="N377" t="s">
        <v>65</v>
      </c>
      <c r="P377" t="s">
        <v>1557</v>
      </c>
    </row>
    <row r="378" spans="1:16" x14ac:dyDescent="0.2">
      <c r="A378" t="s">
        <v>1555</v>
      </c>
      <c r="B378" t="s">
        <v>1560</v>
      </c>
      <c r="C378" t="s">
        <v>59</v>
      </c>
      <c r="D378" t="s">
        <v>88</v>
      </c>
      <c r="F378" t="s">
        <v>946</v>
      </c>
      <c r="H378" t="s">
        <v>89</v>
      </c>
      <c r="I378" t="s">
        <v>1132</v>
      </c>
      <c r="J378">
        <v>2021</v>
      </c>
      <c r="K378" t="s">
        <v>471</v>
      </c>
      <c r="L378">
        <v>44384</v>
      </c>
      <c r="N378" t="s">
        <v>65</v>
      </c>
      <c r="P378" t="s">
        <v>1557</v>
      </c>
    </row>
    <row r="379" spans="1:16" x14ac:dyDescent="0.2">
      <c r="A379" t="s">
        <v>1555</v>
      </c>
      <c r="B379" t="s">
        <v>1561</v>
      </c>
      <c r="C379" t="s">
        <v>59</v>
      </c>
      <c r="D379" t="s">
        <v>88</v>
      </c>
      <c r="F379" t="s">
        <v>946</v>
      </c>
      <c r="H379" t="s">
        <v>89</v>
      </c>
      <c r="I379" t="s">
        <v>1132</v>
      </c>
      <c r="J379">
        <v>2021</v>
      </c>
      <c r="K379" t="s">
        <v>471</v>
      </c>
      <c r="L379">
        <v>44392</v>
      </c>
      <c r="N379" t="s">
        <v>65</v>
      </c>
      <c r="P379" t="s">
        <v>1557</v>
      </c>
    </row>
    <row r="380" spans="1:16" x14ac:dyDescent="0.2">
      <c r="A380" t="s">
        <v>1555</v>
      </c>
      <c r="B380" t="s">
        <v>1562</v>
      </c>
      <c r="C380" t="s">
        <v>59</v>
      </c>
      <c r="D380" t="s">
        <v>88</v>
      </c>
      <c r="F380" t="s">
        <v>946</v>
      </c>
      <c r="H380" t="s">
        <v>89</v>
      </c>
      <c r="I380" t="s">
        <v>1132</v>
      </c>
      <c r="J380">
        <v>2021</v>
      </c>
      <c r="K380" t="s">
        <v>471</v>
      </c>
      <c r="L380">
        <v>44392</v>
      </c>
      <c r="N380" t="s">
        <v>65</v>
      </c>
      <c r="P380" t="s">
        <v>1557</v>
      </c>
    </row>
    <row r="381" spans="1:16" x14ac:dyDescent="0.2">
      <c r="A381" t="s">
        <v>1555</v>
      </c>
      <c r="B381" t="s">
        <v>1563</v>
      </c>
      <c r="C381" t="s">
        <v>59</v>
      </c>
      <c r="D381" t="s">
        <v>88</v>
      </c>
      <c r="F381" t="s">
        <v>946</v>
      </c>
      <c r="H381" t="s">
        <v>89</v>
      </c>
      <c r="I381" t="s">
        <v>1132</v>
      </c>
      <c r="J381">
        <v>2021</v>
      </c>
      <c r="K381" t="s">
        <v>471</v>
      </c>
      <c r="L381">
        <v>44392</v>
      </c>
      <c r="N381" t="s">
        <v>65</v>
      </c>
      <c r="P381" t="s">
        <v>1557</v>
      </c>
    </row>
    <row r="382" spans="1:16" x14ac:dyDescent="0.2">
      <c r="A382" t="s">
        <v>1555</v>
      </c>
      <c r="B382" t="s">
        <v>1564</v>
      </c>
      <c r="C382" t="s">
        <v>59</v>
      </c>
      <c r="D382" t="s">
        <v>88</v>
      </c>
      <c r="F382" t="s">
        <v>946</v>
      </c>
      <c r="H382" t="s">
        <v>89</v>
      </c>
      <c r="I382" t="s">
        <v>1132</v>
      </c>
      <c r="J382">
        <v>2021</v>
      </c>
      <c r="K382" t="s">
        <v>221</v>
      </c>
      <c r="L382">
        <v>44484</v>
      </c>
      <c r="N382" t="s">
        <v>65</v>
      </c>
      <c r="P382" t="s">
        <v>1557</v>
      </c>
    </row>
    <row r="383" spans="1:16" x14ac:dyDescent="0.2">
      <c r="A383" t="s">
        <v>1565</v>
      </c>
      <c r="B383" t="s">
        <v>1566</v>
      </c>
      <c r="C383" t="s">
        <v>59</v>
      </c>
      <c r="D383" t="s">
        <v>115</v>
      </c>
      <c r="F383" t="s">
        <v>220</v>
      </c>
      <c r="G383" t="s">
        <v>1567</v>
      </c>
      <c r="H383" t="s">
        <v>117</v>
      </c>
      <c r="I383" t="s">
        <v>1132</v>
      </c>
      <c r="J383">
        <v>2021</v>
      </c>
      <c r="K383" t="s">
        <v>221</v>
      </c>
      <c r="L383">
        <v>44306</v>
      </c>
      <c r="N383" t="s">
        <v>65</v>
      </c>
      <c r="P383" t="s">
        <v>1568</v>
      </c>
    </row>
    <row r="384" spans="1:16" x14ac:dyDescent="0.2">
      <c r="A384" t="s">
        <v>1565</v>
      </c>
      <c r="B384" t="s">
        <v>1569</v>
      </c>
      <c r="C384" t="s">
        <v>59</v>
      </c>
      <c r="D384" t="s">
        <v>115</v>
      </c>
      <c r="F384" t="s">
        <v>220</v>
      </c>
      <c r="G384" t="s">
        <v>1570</v>
      </c>
      <c r="H384" t="s">
        <v>117</v>
      </c>
      <c r="I384" t="s">
        <v>1132</v>
      </c>
      <c r="J384">
        <v>2021</v>
      </c>
      <c r="K384" t="s">
        <v>221</v>
      </c>
      <c r="L384">
        <v>44306</v>
      </c>
      <c r="N384" t="s">
        <v>65</v>
      </c>
      <c r="P384" t="s">
        <v>1568</v>
      </c>
    </row>
    <row r="385" spans="1:16" x14ac:dyDescent="0.2">
      <c r="A385" t="s">
        <v>1565</v>
      </c>
      <c r="B385" t="s">
        <v>1571</v>
      </c>
      <c r="C385" t="s">
        <v>59</v>
      </c>
      <c r="D385" t="s">
        <v>115</v>
      </c>
      <c r="F385" t="s">
        <v>220</v>
      </c>
      <c r="G385" t="s">
        <v>1572</v>
      </c>
      <c r="H385" t="s">
        <v>117</v>
      </c>
      <c r="I385" t="s">
        <v>1132</v>
      </c>
      <c r="J385">
        <v>2021</v>
      </c>
      <c r="K385" t="s">
        <v>221</v>
      </c>
      <c r="L385">
        <v>44306</v>
      </c>
      <c r="N385" t="s">
        <v>65</v>
      </c>
      <c r="P385" t="s">
        <v>1568</v>
      </c>
    </row>
    <row r="386" spans="1:16" x14ac:dyDescent="0.2">
      <c r="A386" t="s">
        <v>1565</v>
      </c>
      <c r="B386" t="s">
        <v>1573</v>
      </c>
      <c r="C386" t="s">
        <v>59</v>
      </c>
      <c r="D386" t="s">
        <v>115</v>
      </c>
      <c r="F386" t="s">
        <v>220</v>
      </c>
      <c r="G386" t="s">
        <v>1574</v>
      </c>
      <c r="H386" t="s">
        <v>117</v>
      </c>
      <c r="I386" t="s">
        <v>1132</v>
      </c>
      <c r="J386">
        <v>2021</v>
      </c>
      <c r="K386" t="s">
        <v>221</v>
      </c>
      <c r="L386">
        <v>44306</v>
      </c>
      <c r="N386" t="s">
        <v>65</v>
      </c>
      <c r="P386" t="s">
        <v>1568</v>
      </c>
    </row>
    <row r="387" spans="1:16" x14ac:dyDescent="0.2">
      <c r="A387" t="s">
        <v>1565</v>
      </c>
      <c r="B387" t="s">
        <v>1575</v>
      </c>
      <c r="C387" t="s">
        <v>59</v>
      </c>
      <c r="D387" t="s">
        <v>115</v>
      </c>
      <c r="F387" t="s">
        <v>220</v>
      </c>
      <c r="G387" t="s">
        <v>1576</v>
      </c>
      <c r="H387" t="s">
        <v>117</v>
      </c>
      <c r="I387" t="s">
        <v>1132</v>
      </c>
      <c r="J387">
        <v>2021</v>
      </c>
      <c r="K387" t="s">
        <v>221</v>
      </c>
      <c r="L387">
        <v>44362</v>
      </c>
      <c r="N387" t="s">
        <v>65</v>
      </c>
      <c r="P387" t="s">
        <v>1568</v>
      </c>
    </row>
    <row r="388" spans="1:16" x14ac:dyDescent="0.2">
      <c r="A388" t="s">
        <v>1565</v>
      </c>
      <c r="B388" t="s">
        <v>1577</v>
      </c>
      <c r="C388" t="s">
        <v>59</v>
      </c>
      <c r="D388" t="s">
        <v>115</v>
      </c>
      <c r="F388" t="s">
        <v>220</v>
      </c>
      <c r="G388" t="s">
        <v>1578</v>
      </c>
      <c r="H388" t="s">
        <v>117</v>
      </c>
      <c r="I388" t="s">
        <v>1132</v>
      </c>
      <c r="J388">
        <v>2021</v>
      </c>
      <c r="K388" t="s">
        <v>221</v>
      </c>
      <c r="L388">
        <v>44461</v>
      </c>
      <c r="N388" t="s">
        <v>65</v>
      </c>
      <c r="P388" t="s">
        <v>1568</v>
      </c>
    </row>
    <row r="389" spans="1:16" x14ac:dyDescent="0.2">
      <c r="A389" t="s">
        <v>1565</v>
      </c>
      <c r="B389" t="s">
        <v>1579</v>
      </c>
      <c r="C389" t="s">
        <v>59</v>
      </c>
      <c r="D389" t="s">
        <v>115</v>
      </c>
      <c r="F389" t="s">
        <v>220</v>
      </c>
      <c r="G389" t="s">
        <v>1580</v>
      </c>
      <c r="H389" t="s">
        <v>117</v>
      </c>
      <c r="I389" t="s">
        <v>1132</v>
      </c>
      <c r="J389">
        <v>2021</v>
      </c>
      <c r="K389" t="s">
        <v>221</v>
      </c>
      <c r="L389">
        <v>44726</v>
      </c>
      <c r="N389" t="s">
        <v>65</v>
      </c>
      <c r="P389" t="s">
        <v>1568</v>
      </c>
    </row>
    <row r="390" spans="1:16" x14ac:dyDescent="0.2">
      <c r="A390" t="s">
        <v>1581</v>
      </c>
      <c r="B390" t="s">
        <v>1582</v>
      </c>
      <c r="C390" t="s">
        <v>59</v>
      </c>
      <c r="D390" t="s">
        <v>121</v>
      </c>
      <c r="E390" t="s">
        <v>115</v>
      </c>
      <c r="F390" t="s">
        <v>960</v>
      </c>
      <c r="H390" t="s">
        <v>338</v>
      </c>
      <c r="I390" t="s">
        <v>1132</v>
      </c>
      <c r="J390">
        <v>2021</v>
      </c>
      <c r="K390" t="s">
        <v>221</v>
      </c>
      <c r="L390">
        <v>44278</v>
      </c>
      <c r="N390" t="s">
        <v>65</v>
      </c>
      <c r="P390" t="s">
        <v>1583</v>
      </c>
    </row>
    <row r="391" spans="1:16" x14ac:dyDescent="0.2">
      <c r="A391" t="s">
        <v>1584</v>
      </c>
      <c r="B391" t="s">
        <v>1585</v>
      </c>
      <c r="C391" t="s">
        <v>59</v>
      </c>
      <c r="D391" t="s">
        <v>82</v>
      </c>
      <c r="F391" t="s">
        <v>1586</v>
      </c>
      <c r="H391" t="s">
        <v>1587</v>
      </c>
      <c r="I391" t="s">
        <v>1132</v>
      </c>
      <c r="J391">
        <v>2021</v>
      </c>
      <c r="K391" t="s">
        <v>158</v>
      </c>
      <c r="L391">
        <v>44316</v>
      </c>
      <c r="N391" t="s">
        <v>65</v>
      </c>
      <c r="O391" t="s">
        <v>66</v>
      </c>
      <c r="P391" t="s">
        <v>1588</v>
      </c>
    </row>
    <row r="392" spans="1:16" x14ac:dyDescent="0.2">
      <c r="A392" t="s">
        <v>1589</v>
      </c>
      <c r="B392" t="s">
        <v>1590</v>
      </c>
      <c r="C392" t="s">
        <v>59</v>
      </c>
      <c r="D392" t="s">
        <v>82</v>
      </c>
      <c r="F392" t="s">
        <v>1591</v>
      </c>
      <c r="H392" t="s">
        <v>388</v>
      </c>
      <c r="I392" t="s">
        <v>1132</v>
      </c>
      <c r="J392">
        <v>2021</v>
      </c>
      <c r="K392" t="s">
        <v>64</v>
      </c>
      <c r="L392">
        <v>44347</v>
      </c>
      <c r="N392" t="s">
        <v>65</v>
      </c>
      <c r="P392" t="s">
        <v>1592</v>
      </c>
    </row>
    <row r="393" spans="1:16" x14ac:dyDescent="0.2">
      <c r="A393" t="s">
        <v>1593</v>
      </c>
      <c r="B393" t="s">
        <v>1594</v>
      </c>
      <c r="C393" t="s">
        <v>59</v>
      </c>
      <c r="D393" t="s">
        <v>82</v>
      </c>
      <c r="F393" t="s">
        <v>1595</v>
      </c>
      <c r="H393" t="s">
        <v>338</v>
      </c>
      <c r="I393" t="s">
        <v>1132</v>
      </c>
      <c r="J393">
        <v>2021</v>
      </c>
      <c r="K393" t="s">
        <v>158</v>
      </c>
      <c r="L393">
        <v>44392</v>
      </c>
      <c r="N393" t="s">
        <v>65</v>
      </c>
      <c r="O393" t="s">
        <v>66</v>
      </c>
      <c r="P393" t="s">
        <v>1596</v>
      </c>
    </row>
    <row r="394" spans="1:16" x14ac:dyDescent="0.2">
      <c r="A394" t="s">
        <v>1597</v>
      </c>
      <c r="B394" t="s">
        <v>1598</v>
      </c>
      <c r="C394" t="s">
        <v>59</v>
      </c>
      <c r="D394" t="s">
        <v>167</v>
      </c>
      <c r="E394" t="s">
        <v>1599</v>
      </c>
      <c r="F394" t="s">
        <v>1600</v>
      </c>
      <c r="H394" t="s">
        <v>255</v>
      </c>
      <c r="I394" t="s">
        <v>1132</v>
      </c>
      <c r="J394">
        <v>2021</v>
      </c>
      <c r="K394" t="s">
        <v>158</v>
      </c>
      <c r="M394" t="s">
        <v>1601</v>
      </c>
      <c r="N394" t="s">
        <v>71</v>
      </c>
      <c r="O394" t="s">
        <v>1380</v>
      </c>
      <c r="P394" t="s">
        <v>1602</v>
      </c>
    </row>
    <row r="395" spans="1:16" x14ac:dyDescent="0.2">
      <c r="A395" t="s">
        <v>1597</v>
      </c>
      <c r="B395" t="s">
        <v>1603</v>
      </c>
      <c r="C395" t="s">
        <v>59</v>
      </c>
      <c r="D395" t="s">
        <v>167</v>
      </c>
      <c r="E395" t="s">
        <v>1599</v>
      </c>
      <c r="F395" t="s">
        <v>1600</v>
      </c>
      <c r="H395" t="s">
        <v>255</v>
      </c>
      <c r="I395" t="s">
        <v>1132</v>
      </c>
      <c r="J395">
        <v>2021</v>
      </c>
      <c r="K395" t="s">
        <v>158</v>
      </c>
      <c r="N395" t="s">
        <v>65</v>
      </c>
      <c r="O395" t="s">
        <v>1380</v>
      </c>
      <c r="P395" t="s">
        <v>1602</v>
      </c>
    </row>
    <row r="396" spans="1:16" x14ac:dyDescent="0.2">
      <c r="A396" t="s">
        <v>1604</v>
      </c>
      <c r="B396" t="s">
        <v>1605</v>
      </c>
      <c r="C396" t="s">
        <v>59</v>
      </c>
      <c r="D396" t="s">
        <v>115</v>
      </c>
      <c r="F396" t="s">
        <v>1047</v>
      </c>
      <c r="G396" t="s">
        <v>1606</v>
      </c>
      <c r="H396" t="s">
        <v>418</v>
      </c>
      <c r="I396" t="s">
        <v>1132</v>
      </c>
      <c r="J396">
        <v>2021</v>
      </c>
      <c r="K396" t="s">
        <v>221</v>
      </c>
      <c r="L396">
        <v>44329</v>
      </c>
      <c r="N396" t="s">
        <v>65</v>
      </c>
      <c r="P396" t="s">
        <v>1607</v>
      </c>
    </row>
    <row r="397" spans="1:16" x14ac:dyDescent="0.2">
      <c r="A397" t="s">
        <v>1608</v>
      </c>
      <c r="B397" t="s">
        <v>1609</v>
      </c>
      <c r="C397" t="s">
        <v>59</v>
      </c>
      <c r="D397" t="s">
        <v>828</v>
      </c>
      <c r="F397" t="s">
        <v>1610</v>
      </c>
      <c r="H397" t="s">
        <v>255</v>
      </c>
      <c r="I397" t="s">
        <v>1132</v>
      </c>
      <c r="J397">
        <v>2021</v>
      </c>
      <c r="K397" t="s">
        <v>202</v>
      </c>
      <c r="L397">
        <v>44377</v>
      </c>
      <c r="N397" t="s">
        <v>65</v>
      </c>
      <c r="O397" t="s">
        <v>66</v>
      </c>
      <c r="P397" t="s">
        <v>1611</v>
      </c>
    </row>
    <row r="398" spans="1:16" x14ac:dyDescent="0.2">
      <c r="A398" t="s">
        <v>1612</v>
      </c>
      <c r="B398" t="s">
        <v>1613</v>
      </c>
      <c r="C398" t="s">
        <v>59</v>
      </c>
      <c r="D398" t="s">
        <v>115</v>
      </c>
      <c r="F398" t="s">
        <v>493</v>
      </c>
      <c r="G398" t="s">
        <v>1614</v>
      </c>
      <c r="H398" t="s">
        <v>494</v>
      </c>
      <c r="I398" t="s">
        <v>1132</v>
      </c>
      <c r="J398">
        <v>2021</v>
      </c>
      <c r="K398" t="s">
        <v>221</v>
      </c>
      <c r="L398">
        <v>44347</v>
      </c>
      <c r="N398" t="s">
        <v>65</v>
      </c>
      <c r="P398" t="s">
        <v>1615</v>
      </c>
    </row>
    <row r="399" spans="1:16" x14ac:dyDescent="0.2">
      <c r="A399" t="s">
        <v>1612</v>
      </c>
      <c r="B399" t="s">
        <v>1616</v>
      </c>
      <c r="C399" t="s">
        <v>59</v>
      </c>
      <c r="D399" t="s">
        <v>115</v>
      </c>
      <c r="F399" t="s">
        <v>493</v>
      </c>
      <c r="G399" t="s">
        <v>1617</v>
      </c>
      <c r="H399" t="s">
        <v>494</v>
      </c>
      <c r="I399" t="s">
        <v>1132</v>
      </c>
      <c r="J399">
        <v>2021</v>
      </c>
      <c r="K399" t="s">
        <v>471</v>
      </c>
      <c r="L399">
        <v>44255</v>
      </c>
      <c r="N399" t="s">
        <v>65</v>
      </c>
      <c r="P399" t="s">
        <v>1615</v>
      </c>
    </row>
    <row r="400" spans="1:16" x14ac:dyDescent="0.2">
      <c r="A400" t="s">
        <v>1618</v>
      </c>
      <c r="B400" t="s">
        <v>1619</v>
      </c>
      <c r="C400" t="s">
        <v>59</v>
      </c>
      <c r="D400" t="s">
        <v>82</v>
      </c>
      <c r="F400" t="s">
        <v>1620</v>
      </c>
      <c r="H400" t="s">
        <v>388</v>
      </c>
      <c r="I400" t="s">
        <v>1132</v>
      </c>
      <c r="J400">
        <v>2021</v>
      </c>
      <c r="K400" t="s">
        <v>64</v>
      </c>
      <c r="L400" t="s">
        <v>1621</v>
      </c>
      <c r="N400" t="s">
        <v>65</v>
      </c>
      <c r="P400" t="s">
        <v>1622</v>
      </c>
    </row>
    <row r="401" spans="1:16" x14ac:dyDescent="0.2">
      <c r="A401" t="s">
        <v>1623</v>
      </c>
      <c r="B401" t="s">
        <v>1624</v>
      </c>
      <c r="C401" t="s">
        <v>59</v>
      </c>
      <c r="D401" t="s">
        <v>386</v>
      </c>
      <c r="E401" t="s">
        <v>1625</v>
      </c>
      <c r="F401" t="s">
        <v>1625</v>
      </c>
      <c r="H401" t="s">
        <v>418</v>
      </c>
      <c r="I401" t="s">
        <v>1132</v>
      </c>
      <c r="J401">
        <v>2021</v>
      </c>
      <c r="K401" t="s">
        <v>297</v>
      </c>
      <c r="L401">
        <v>44323</v>
      </c>
      <c r="N401" t="s">
        <v>65</v>
      </c>
      <c r="P401" t="s">
        <v>1626</v>
      </c>
    </row>
    <row r="402" spans="1:16" x14ac:dyDescent="0.2">
      <c r="A402" t="s">
        <v>1627</v>
      </c>
      <c r="B402" t="s">
        <v>1628</v>
      </c>
      <c r="C402" t="s">
        <v>59</v>
      </c>
      <c r="D402" t="s">
        <v>60</v>
      </c>
      <c r="F402" t="s">
        <v>1629</v>
      </c>
      <c r="H402" t="s">
        <v>1630</v>
      </c>
      <c r="I402" t="s">
        <v>1132</v>
      </c>
      <c r="J402">
        <v>2021</v>
      </c>
      <c r="K402" t="s">
        <v>202</v>
      </c>
      <c r="L402">
        <v>44459</v>
      </c>
      <c r="N402" t="s">
        <v>65</v>
      </c>
      <c r="O402" t="s">
        <v>66</v>
      </c>
      <c r="P402" t="s">
        <v>1631</v>
      </c>
    </row>
    <row r="403" spans="1:16" x14ac:dyDescent="0.2">
      <c r="A403" t="s">
        <v>1627</v>
      </c>
      <c r="B403" t="s">
        <v>1632</v>
      </c>
      <c r="C403" t="s">
        <v>59</v>
      </c>
      <c r="D403" t="s">
        <v>60</v>
      </c>
      <c r="F403" t="s">
        <v>1629</v>
      </c>
      <c r="H403" t="s">
        <v>1630</v>
      </c>
      <c r="I403" t="s">
        <v>1132</v>
      </c>
      <c r="J403">
        <v>2021</v>
      </c>
      <c r="K403" t="s">
        <v>202</v>
      </c>
      <c r="L403">
        <v>44530</v>
      </c>
      <c r="N403" t="s">
        <v>65</v>
      </c>
      <c r="O403" t="s">
        <v>66</v>
      </c>
      <c r="P403" t="s">
        <v>1631</v>
      </c>
    </row>
    <row r="404" spans="1:16" x14ac:dyDescent="0.2">
      <c r="A404" t="s">
        <v>1627</v>
      </c>
      <c r="B404" t="s">
        <v>1633</v>
      </c>
      <c r="C404" t="s">
        <v>59</v>
      </c>
      <c r="D404" t="s">
        <v>60</v>
      </c>
      <c r="F404" t="s">
        <v>1629</v>
      </c>
      <c r="G404" t="s">
        <v>1634</v>
      </c>
      <c r="H404" t="s">
        <v>1630</v>
      </c>
      <c r="I404" t="s">
        <v>1132</v>
      </c>
      <c r="J404">
        <v>2021</v>
      </c>
      <c r="K404" t="s">
        <v>202</v>
      </c>
      <c r="L404">
        <v>44510</v>
      </c>
      <c r="N404" t="s">
        <v>65</v>
      </c>
      <c r="O404" t="s">
        <v>66</v>
      </c>
      <c r="P404" t="s">
        <v>1631</v>
      </c>
    </row>
    <row r="405" spans="1:16" x14ac:dyDescent="0.2">
      <c r="A405" t="s">
        <v>1635</v>
      </c>
      <c r="B405" t="s">
        <v>1636</v>
      </c>
      <c r="C405" t="s">
        <v>59</v>
      </c>
      <c r="D405" t="s">
        <v>828</v>
      </c>
      <c r="F405" t="s">
        <v>1637</v>
      </c>
      <c r="H405" t="s">
        <v>1638</v>
      </c>
      <c r="I405" t="s">
        <v>1132</v>
      </c>
      <c r="J405">
        <v>2021</v>
      </c>
      <c r="K405" t="s">
        <v>202</v>
      </c>
      <c r="L405">
        <v>44669</v>
      </c>
      <c r="N405" t="s">
        <v>65</v>
      </c>
      <c r="O405" t="s">
        <v>66</v>
      </c>
      <c r="P405" t="s">
        <v>1639</v>
      </c>
    </row>
    <row r="406" spans="1:16" x14ac:dyDescent="0.2">
      <c r="A406" t="s">
        <v>1640</v>
      </c>
      <c r="B406" t="s">
        <v>1641</v>
      </c>
      <c r="C406" t="s">
        <v>59</v>
      </c>
      <c r="D406" t="s">
        <v>121</v>
      </c>
      <c r="E406" t="s">
        <v>115</v>
      </c>
      <c r="F406" t="s">
        <v>1642</v>
      </c>
      <c r="H406" t="s">
        <v>255</v>
      </c>
      <c r="I406" t="s">
        <v>1132</v>
      </c>
      <c r="J406">
        <v>2021</v>
      </c>
      <c r="K406" t="s">
        <v>297</v>
      </c>
      <c r="M406" t="s">
        <v>1643</v>
      </c>
      <c r="N406" t="s">
        <v>65</v>
      </c>
      <c r="P406" t="s">
        <v>1644</v>
      </c>
    </row>
    <row r="407" spans="1:16" x14ac:dyDescent="0.2">
      <c r="A407" t="s">
        <v>1645</v>
      </c>
      <c r="B407" t="s">
        <v>1646</v>
      </c>
      <c r="C407" t="s">
        <v>59</v>
      </c>
      <c r="D407" t="s">
        <v>1355</v>
      </c>
      <c r="E407" t="s">
        <v>1355</v>
      </c>
      <c r="F407" t="s">
        <v>1355</v>
      </c>
      <c r="H407" t="s">
        <v>77</v>
      </c>
      <c r="I407" t="s">
        <v>1132</v>
      </c>
      <c r="J407">
        <v>2021</v>
      </c>
      <c r="K407" t="s">
        <v>158</v>
      </c>
      <c r="L407">
        <v>44397</v>
      </c>
      <c r="N407" t="s">
        <v>65</v>
      </c>
      <c r="O407" t="s">
        <v>66</v>
      </c>
      <c r="P407" t="s">
        <v>1647</v>
      </c>
    </row>
    <row r="408" spans="1:16" x14ac:dyDescent="0.2">
      <c r="A408" t="s">
        <v>1648</v>
      </c>
      <c r="B408" t="s">
        <v>1649</v>
      </c>
      <c r="C408" t="s">
        <v>59</v>
      </c>
      <c r="D408" t="s">
        <v>828</v>
      </c>
      <c r="F408" t="s">
        <v>1650</v>
      </c>
      <c r="H408" t="s">
        <v>255</v>
      </c>
      <c r="I408" t="s">
        <v>1132</v>
      </c>
      <c r="J408">
        <v>2021</v>
      </c>
      <c r="K408" t="s">
        <v>202</v>
      </c>
      <c r="L408">
        <v>44580</v>
      </c>
      <c r="N408" t="s">
        <v>65</v>
      </c>
      <c r="O408" t="s">
        <v>66</v>
      </c>
      <c r="P408" t="s">
        <v>1651</v>
      </c>
    </row>
    <row r="409" spans="1:16" x14ac:dyDescent="0.2">
      <c r="A409" t="s">
        <v>1652</v>
      </c>
      <c r="B409" t="s">
        <v>1653</v>
      </c>
      <c r="C409" t="s">
        <v>59</v>
      </c>
      <c r="D409" t="s">
        <v>82</v>
      </c>
      <c r="E409" t="s">
        <v>711</v>
      </c>
      <c r="F409" t="s">
        <v>711</v>
      </c>
      <c r="H409" t="s">
        <v>117</v>
      </c>
      <c r="I409" t="s">
        <v>1132</v>
      </c>
      <c r="J409">
        <v>2021</v>
      </c>
      <c r="K409" t="s">
        <v>471</v>
      </c>
      <c r="L409">
        <v>44449</v>
      </c>
      <c r="N409" t="s">
        <v>65</v>
      </c>
      <c r="P409" t="s">
        <v>1654</v>
      </c>
    </row>
    <row r="410" spans="1:16" x14ac:dyDescent="0.2">
      <c r="A410" t="s">
        <v>1652</v>
      </c>
      <c r="B410" t="s">
        <v>1655</v>
      </c>
      <c r="C410" t="s">
        <v>59</v>
      </c>
      <c r="D410" t="s">
        <v>82</v>
      </c>
      <c r="E410" t="s">
        <v>711</v>
      </c>
      <c r="F410" t="s">
        <v>711</v>
      </c>
      <c r="G410" t="s">
        <v>1656</v>
      </c>
      <c r="H410" t="s">
        <v>117</v>
      </c>
      <c r="I410" t="s">
        <v>1132</v>
      </c>
      <c r="J410">
        <v>2021</v>
      </c>
      <c r="K410" t="s">
        <v>471</v>
      </c>
      <c r="L410">
        <v>44449</v>
      </c>
      <c r="N410" t="s">
        <v>65</v>
      </c>
      <c r="P410" t="s">
        <v>1654</v>
      </c>
    </row>
    <row r="411" spans="1:16" x14ac:dyDescent="0.2">
      <c r="A411" t="s">
        <v>1657</v>
      </c>
      <c r="B411" t="s">
        <v>1658</v>
      </c>
      <c r="C411" t="s">
        <v>59</v>
      </c>
      <c r="D411" t="s">
        <v>552</v>
      </c>
      <c r="E411" t="s">
        <v>115</v>
      </c>
      <c r="F411" t="s">
        <v>1659</v>
      </c>
      <c r="H411" t="s">
        <v>418</v>
      </c>
      <c r="I411" t="s">
        <v>1132</v>
      </c>
      <c r="J411">
        <v>2021</v>
      </c>
      <c r="K411" t="s">
        <v>64</v>
      </c>
      <c r="L411">
        <v>44540</v>
      </c>
      <c r="M411" t="s">
        <v>1660</v>
      </c>
      <c r="N411" t="s">
        <v>65</v>
      </c>
      <c r="P411" t="s">
        <v>1661</v>
      </c>
    </row>
    <row r="412" spans="1:16" x14ac:dyDescent="0.2">
      <c r="A412" t="s">
        <v>1662</v>
      </c>
      <c r="B412" t="s">
        <v>1663</v>
      </c>
      <c r="C412" t="s">
        <v>59</v>
      </c>
      <c r="D412" t="s">
        <v>1664</v>
      </c>
      <c r="E412" t="s">
        <v>115</v>
      </c>
      <c r="F412" t="s">
        <v>1665</v>
      </c>
      <c r="H412" t="s">
        <v>198</v>
      </c>
      <c r="I412" t="s">
        <v>1132</v>
      </c>
      <c r="J412">
        <v>2021</v>
      </c>
      <c r="K412" t="s">
        <v>221</v>
      </c>
      <c r="L412">
        <v>44411</v>
      </c>
      <c r="N412" t="s">
        <v>65</v>
      </c>
      <c r="P412" t="s">
        <v>1666</v>
      </c>
    </row>
    <row r="413" spans="1:16" x14ac:dyDescent="0.2">
      <c r="A413" t="s">
        <v>1667</v>
      </c>
      <c r="B413" t="s">
        <v>1668</v>
      </c>
      <c r="C413" t="s">
        <v>59</v>
      </c>
      <c r="D413" t="s">
        <v>253</v>
      </c>
      <c r="F413" t="s">
        <v>409</v>
      </c>
      <c r="G413" t="s">
        <v>1669</v>
      </c>
      <c r="H413" t="s">
        <v>409</v>
      </c>
      <c r="I413" t="s">
        <v>1132</v>
      </c>
      <c r="J413">
        <v>2021</v>
      </c>
      <c r="K413" t="s">
        <v>221</v>
      </c>
      <c r="L413">
        <v>44414</v>
      </c>
      <c r="N413" t="s">
        <v>65</v>
      </c>
      <c r="P413" t="s">
        <v>1670</v>
      </c>
    </row>
    <row r="414" spans="1:16" x14ac:dyDescent="0.2">
      <c r="A414" t="s">
        <v>1671</v>
      </c>
      <c r="B414" t="s">
        <v>1672</v>
      </c>
      <c r="C414" t="s">
        <v>59</v>
      </c>
      <c r="D414" t="s">
        <v>1673</v>
      </c>
      <c r="E414" t="s">
        <v>115</v>
      </c>
      <c r="F414" t="s">
        <v>583</v>
      </c>
      <c r="G414" t="s">
        <v>1674</v>
      </c>
      <c r="H414" t="s">
        <v>209</v>
      </c>
      <c r="I414" t="s">
        <v>1132</v>
      </c>
      <c r="J414">
        <v>2021</v>
      </c>
      <c r="K414" t="s">
        <v>64</v>
      </c>
      <c r="L414">
        <v>44469</v>
      </c>
      <c r="N414" t="s">
        <v>65</v>
      </c>
      <c r="P414" t="s">
        <v>1675</v>
      </c>
    </row>
    <row r="415" spans="1:16" x14ac:dyDescent="0.2">
      <c r="A415" t="s">
        <v>1676</v>
      </c>
      <c r="B415" t="s">
        <v>1677</v>
      </c>
      <c r="C415" t="s">
        <v>59</v>
      </c>
      <c r="D415" t="s">
        <v>1678</v>
      </c>
      <c r="F415" t="s">
        <v>1679</v>
      </c>
      <c r="G415" t="s">
        <v>1680</v>
      </c>
      <c r="H415" t="s">
        <v>77</v>
      </c>
      <c r="I415" t="s">
        <v>1132</v>
      </c>
      <c r="J415">
        <v>2021</v>
      </c>
      <c r="K415" t="s">
        <v>202</v>
      </c>
      <c r="L415">
        <v>2020</v>
      </c>
      <c r="N415" t="s">
        <v>71</v>
      </c>
      <c r="O415" t="s">
        <v>66</v>
      </c>
      <c r="P415" t="s">
        <v>1681</v>
      </c>
    </row>
    <row r="416" spans="1:16" x14ac:dyDescent="0.2">
      <c r="A416" t="s">
        <v>1682</v>
      </c>
      <c r="B416" t="s">
        <v>1683</v>
      </c>
      <c r="C416" t="s">
        <v>59</v>
      </c>
      <c r="D416" t="s">
        <v>1684</v>
      </c>
      <c r="F416" t="s">
        <v>1685</v>
      </c>
      <c r="G416" t="s">
        <v>1686</v>
      </c>
      <c r="H416" t="s">
        <v>117</v>
      </c>
      <c r="I416" t="s">
        <v>1132</v>
      </c>
      <c r="J416">
        <v>2021</v>
      </c>
      <c r="K416" t="s">
        <v>158</v>
      </c>
      <c r="L416">
        <v>44410</v>
      </c>
      <c r="N416" t="s">
        <v>65</v>
      </c>
      <c r="O416" t="s">
        <v>66</v>
      </c>
      <c r="P416" t="s">
        <v>1687</v>
      </c>
    </row>
    <row r="417" spans="1:16" x14ac:dyDescent="0.2">
      <c r="A417" t="s">
        <v>1688</v>
      </c>
      <c r="B417" t="s">
        <v>1689</v>
      </c>
      <c r="C417" t="s">
        <v>59</v>
      </c>
      <c r="D417" t="s">
        <v>358</v>
      </c>
      <c r="F417" t="s">
        <v>359</v>
      </c>
      <c r="H417" t="s">
        <v>77</v>
      </c>
      <c r="I417" t="s">
        <v>1132</v>
      </c>
      <c r="J417">
        <v>2021</v>
      </c>
      <c r="K417" t="s">
        <v>221</v>
      </c>
      <c r="L417">
        <v>44420</v>
      </c>
      <c r="N417" t="s">
        <v>65</v>
      </c>
      <c r="P417" t="s">
        <v>1690</v>
      </c>
    </row>
    <row r="418" spans="1:16" x14ac:dyDescent="0.2">
      <c r="A418" t="s">
        <v>1691</v>
      </c>
      <c r="B418" t="s">
        <v>1692</v>
      </c>
      <c r="C418" t="s">
        <v>59</v>
      </c>
      <c r="D418" t="s">
        <v>238</v>
      </c>
      <c r="F418" t="s">
        <v>1209</v>
      </c>
      <c r="G418" t="s">
        <v>1693</v>
      </c>
      <c r="H418" t="s">
        <v>77</v>
      </c>
      <c r="I418" t="s">
        <v>1132</v>
      </c>
      <c r="J418">
        <v>2021</v>
      </c>
      <c r="K418" t="s">
        <v>221</v>
      </c>
      <c r="N418" t="s">
        <v>65</v>
      </c>
      <c r="P418" t="s">
        <v>1694</v>
      </c>
    </row>
    <row r="419" spans="1:16" x14ac:dyDescent="0.2">
      <c r="A419" t="s">
        <v>1691</v>
      </c>
      <c r="B419" t="s">
        <v>1692</v>
      </c>
      <c r="C419" t="s">
        <v>59</v>
      </c>
      <c r="D419" t="s">
        <v>238</v>
      </c>
      <c r="F419" t="s">
        <v>1209</v>
      </c>
      <c r="G419" t="s">
        <v>1695</v>
      </c>
      <c r="H419" t="s">
        <v>77</v>
      </c>
      <c r="I419" t="s">
        <v>1132</v>
      </c>
      <c r="J419">
        <v>2021</v>
      </c>
      <c r="K419" t="s">
        <v>221</v>
      </c>
      <c r="N419" t="s">
        <v>71</v>
      </c>
      <c r="P419" t="s">
        <v>1694</v>
      </c>
    </row>
    <row r="420" spans="1:16" x14ac:dyDescent="0.2">
      <c r="A420" t="s">
        <v>1696</v>
      </c>
      <c r="B420" t="s">
        <v>1697</v>
      </c>
      <c r="C420" t="s">
        <v>59</v>
      </c>
      <c r="D420" t="s">
        <v>115</v>
      </c>
      <c r="F420" t="s">
        <v>977</v>
      </c>
      <c r="H420" t="s">
        <v>367</v>
      </c>
      <c r="I420" t="s">
        <v>1132</v>
      </c>
      <c r="J420">
        <v>2021</v>
      </c>
      <c r="K420" t="s">
        <v>471</v>
      </c>
      <c r="L420">
        <v>44515</v>
      </c>
      <c r="N420" t="s">
        <v>65</v>
      </c>
      <c r="P420" t="s">
        <v>1698</v>
      </c>
    </row>
    <row r="421" spans="1:16" x14ac:dyDescent="0.2">
      <c r="A421" t="s">
        <v>1699</v>
      </c>
      <c r="B421" t="s">
        <v>1700</v>
      </c>
      <c r="C421" t="s">
        <v>59</v>
      </c>
      <c r="D421" t="s">
        <v>82</v>
      </c>
      <c r="F421" t="s">
        <v>1701</v>
      </c>
      <c r="H421" t="s">
        <v>255</v>
      </c>
      <c r="I421" t="s">
        <v>1132</v>
      </c>
      <c r="J421">
        <v>2021</v>
      </c>
      <c r="K421" t="s">
        <v>202</v>
      </c>
      <c r="L421">
        <v>44403</v>
      </c>
      <c r="N421" t="s">
        <v>65</v>
      </c>
      <c r="O421" t="s">
        <v>66</v>
      </c>
      <c r="P421" t="s">
        <v>1702</v>
      </c>
    </row>
    <row r="422" spans="1:16" x14ac:dyDescent="0.2">
      <c r="A422" t="s">
        <v>1703</v>
      </c>
      <c r="B422" t="s">
        <v>1704</v>
      </c>
      <c r="C422" t="s">
        <v>59</v>
      </c>
      <c r="D422" t="s">
        <v>1705</v>
      </c>
      <c r="E422" t="s">
        <v>1706</v>
      </c>
      <c r="F422" t="s">
        <v>1707</v>
      </c>
      <c r="G422" t="s">
        <v>1708</v>
      </c>
      <c r="H422" t="s">
        <v>162</v>
      </c>
      <c r="I422" t="s">
        <v>1132</v>
      </c>
      <c r="J422">
        <v>2021</v>
      </c>
      <c r="K422" t="s">
        <v>64</v>
      </c>
      <c r="N422" t="s">
        <v>65</v>
      </c>
      <c r="P422" t="s">
        <v>1709</v>
      </c>
    </row>
    <row r="423" spans="1:16" x14ac:dyDescent="0.2">
      <c r="A423" t="s">
        <v>1703</v>
      </c>
      <c r="B423" t="s">
        <v>1710</v>
      </c>
      <c r="C423" t="s">
        <v>59</v>
      </c>
      <c r="D423" t="s">
        <v>1705</v>
      </c>
      <c r="E423" t="s">
        <v>1706</v>
      </c>
      <c r="F423" t="s">
        <v>1707</v>
      </c>
      <c r="G423" t="s">
        <v>1711</v>
      </c>
      <c r="H423" t="s">
        <v>162</v>
      </c>
      <c r="I423" t="s">
        <v>1132</v>
      </c>
      <c r="J423">
        <v>2021</v>
      </c>
      <c r="K423" t="s">
        <v>64</v>
      </c>
      <c r="N423" t="s">
        <v>65</v>
      </c>
      <c r="P423" t="s">
        <v>1709</v>
      </c>
    </row>
    <row r="424" spans="1:16" x14ac:dyDescent="0.2">
      <c r="A424" t="s">
        <v>1703</v>
      </c>
      <c r="B424" t="s">
        <v>1712</v>
      </c>
      <c r="C424" t="s">
        <v>59</v>
      </c>
      <c r="D424" t="s">
        <v>1705</v>
      </c>
      <c r="E424" t="s">
        <v>1706</v>
      </c>
      <c r="F424" t="s">
        <v>1707</v>
      </c>
      <c r="G424" t="s">
        <v>1713</v>
      </c>
      <c r="H424" t="s">
        <v>162</v>
      </c>
      <c r="I424" t="s">
        <v>1132</v>
      </c>
      <c r="J424">
        <v>2021</v>
      </c>
      <c r="K424" t="s">
        <v>64</v>
      </c>
      <c r="N424" t="s">
        <v>65</v>
      </c>
      <c r="P424" t="s">
        <v>1709</v>
      </c>
    </row>
    <row r="425" spans="1:16" x14ac:dyDescent="0.2">
      <c r="A425" t="s">
        <v>1703</v>
      </c>
      <c r="B425" t="s">
        <v>1714</v>
      </c>
      <c r="C425" t="s">
        <v>59</v>
      </c>
      <c r="D425" t="s">
        <v>1705</v>
      </c>
      <c r="E425" t="s">
        <v>1706</v>
      </c>
      <c r="F425" t="s">
        <v>1707</v>
      </c>
      <c r="G425" t="s">
        <v>1715</v>
      </c>
      <c r="H425" t="s">
        <v>162</v>
      </c>
      <c r="I425" t="s">
        <v>1132</v>
      </c>
      <c r="J425">
        <v>2021</v>
      </c>
      <c r="K425" t="s">
        <v>64</v>
      </c>
      <c r="N425" t="s">
        <v>65</v>
      </c>
      <c r="P425" t="s">
        <v>1709</v>
      </c>
    </row>
    <row r="426" spans="1:16" x14ac:dyDescent="0.2">
      <c r="A426" t="s">
        <v>1703</v>
      </c>
      <c r="B426" t="s">
        <v>1716</v>
      </c>
      <c r="C426" t="s">
        <v>59</v>
      </c>
      <c r="D426" t="s">
        <v>1705</v>
      </c>
      <c r="E426" t="s">
        <v>1706</v>
      </c>
      <c r="F426" t="s">
        <v>1707</v>
      </c>
      <c r="G426" t="s">
        <v>1717</v>
      </c>
      <c r="H426" t="s">
        <v>162</v>
      </c>
      <c r="I426" t="s">
        <v>1132</v>
      </c>
      <c r="J426">
        <v>2021</v>
      </c>
      <c r="K426" t="s">
        <v>64</v>
      </c>
      <c r="N426" t="s">
        <v>390</v>
      </c>
      <c r="P426" t="s">
        <v>1709</v>
      </c>
    </row>
    <row r="427" spans="1:16" x14ac:dyDescent="0.2">
      <c r="A427" t="s">
        <v>1718</v>
      </c>
      <c r="B427" t="s">
        <v>1719</v>
      </c>
      <c r="C427" t="s">
        <v>59</v>
      </c>
      <c r="D427" t="s">
        <v>1720</v>
      </c>
      <c r="E427" t="s">
        <v>1706</v>
      </c>
      <c r="F427" t="s">
        <v>1721</v>
      </c>
      <c r="G427" t="s">
        <v>1708</v>
      </c>
      <c r="H427" t="s">
        <v>162</v>
      </c>
      <c r="I427" t="s">
        <v>1132</v>
      </c>
      <c r="J427">
        <v>2021</v>
      </c>
      <c r="K427" t="s">
        <v>64</v>
      </c>
      <c r="N427" t="s">
        <v>65</v>
      </c>
      <c r="P427" t="s">
        <v>1722</v>
      </c>
    </row>
    <row r="428" spans="1:16" x14ac:dyDescent="0.2">
      <c r="A428" t="s">
        <v>1718</v>
      </c>
      <c r="B428" t="s">
        <v>1723</v>
      </c>
      <c r="C428" t="s">
        <v>59</v>
      </c>
      <c r="D428" t="s">
        <v>1720</v>
      </c>
      <c r="E428" t="s">
        <v>1706</v>
      </c>
      <c r="F428" t="s">
        <v>1721</v>
      </c>
      <c r="G428" t="s">
        <v>1711</v>
      </c>
      <c r="H428" t="s">
        <v>162</v>
      </c>
      <c r="I428" t="s">
        <v>1132</v>
      </c>
      <c r="J428">
        <v>2021</v>
      </c>
      <c r="K428" t="s">
        <v>64</v>
      </c>
      <c r="N428" t="s">
        <v>65</v>
      </c>
      <c r="P428" t="s">
        <v>1722</v>
      </c>
    </row>
    <row r="429" spans="1:16" x14ac:dyDescent="0.2">
      <c r="A429" t="s">
        <v>1724</v>
      </c>
      <c r="B429" t="s">
        <v>1725</v>
      </c>
      <c r="C429" t="s">
        <v>59</v>
      </c>
      <c r="D429" t="s">
        <v>1092</v>
      </c>
      <c r="E429" t="s">
        <v>115</v>
      </c>
      <c r="F429" t="s">
        <v>1219</v>
      </c>
      <c r="H429" t="s">
        <v>338</v>
      </c>
      <c r="I429" t="s">
        <v>1132</v>
      </c>
      <c r="J429">
        <v>2021</v>
      </c>
      <c r="K429" t="s">
        <v>158</v>
      </c>
      <c r="L429">
        <v>44515</v>
      </c>
      <c r="N429" t="s">
        <v>65</v>
      </c>
      <c r="O429" t="s">
        <v>66</v>
      </c>
      <c r="P429" t="s">
        <v>1726</v>
      </c>
    </row>
    <row r="430" spans="1:16" x14ac:dyDescent="0.2">
      <c r="A430" t="s">
        <v>1727</v>
      </c>
      <c r="B430" t="s">
        <v>1728</v>
      </c>
      <c r="C430" t="s">
        <v>59</v>
      </c>
      <c r="D430" t="s">
        <v>253</v>
      </c>
      <c r="F430" t="s">
        <v>753</v>
      </c>
      <c r="G430" t="s">
        <v>1729</v>
      </c>
      <c r="H430" t="s">
        <v>63</v>
      </c>
      <c r="I430" t="s">
        <v>1132</v>
      </c>
      <c r="J430">
        <v>2021</v>
      </c>
      <c r="K430" t="s">
        <v>221</v>
      </c>
      <c r="L430">
        <v>44474</v>
      </c>
      <c r="N430" t="s">
        <v>65</v>
      </c>
      <c r="P430" t="s">
        <v>1730</v>
      </c>
    </row>
    <row r="431" spans="1:16" x14ac:dyDescent="0.2">
      <c r="A431" t="s">
        <v>1731</v>
      </c>
      <c r="B431" t="s">
        <v>1732</v>
      </c>
      <c r="C431" t="s">
        <v>59</v>
      </c>
      <c r="D431" t="s">
        <v>444</v>
      </c>
      <c r="F431" t="s">
        <v>785</v>
      </c>
      <c r="G431" t="s">
        <v>1733</v>
      </c>
      <c r="H431" t="s">
        <v>272</v>
      </c>
      <c r="I431" t="s">
        <v>1132</v>
      </c>
      <c r="J431">
        <v>2021</v>
      </c>
      <c r="K431" t="s">
        <v>221</v>
      </c>
      <c r="L431">
        <v>44502</v>
      </c>
      <c r="N431" t="s">
        <v>65</v>
      </c>
      <c r="P431" t="s">
        <v>1734</v>
      </c>
    </row>
    <row r="432" spans="1:16" x14ac:dyDescent="0.2">
      <c r="A432" t="s">
        <v>1731</v>
      </c>
      <c r="B432" t="s">
        <v>1735</v>
      </c>
      <c r="C432" t="s">
        <v>59</v>
      </c>
      <c r="D432" t="s">
        <v>444</v>
      </c>
      <c r="F432" t="s">
        <v>785</v>
      </c>
      <c r="G432" t="s">
        <v>1736</v>
      </c>
      <c r="H432" t="s">
        <v>272</v>
      </c>
      <c r="I432" t="s">
        <v>1132</v>
      </c>
      <c r="J432">
        <v>2021</v>
      </c>
      <c r="K432" t="s">
        <v>221</v>
      </c>
      <c r="L432">
        <v>44656</v>
      </c>
      <c r="N432" t="s">
        <v>65</v>
      </c>
    </row>
    <row r="433" spans="1:16" x14ac:dyDescent="0.2">
      <c r="A433" t="s">
        <v>1737</v>
      </c>
      <c r="B433" t="s">
        <v>1738</v>
      </c>
      <c r="C433" t="s">
        <v>59</v>
      </c>
      <c r="D433" t="s">
        <v>60</v>
      </c>
      <c r="F433" t="s">
        <v>1739</v>
      </c>
      <c r="H433" t="s">
        <v>367</v>
      </c>
      <c r="I433" t="s">
        <v>1132</v>
      </c>
      <c r="J433">
        <v>2021</v>
      </c>
      <c r="K433" t="s">
        <v>202</v>
      </c>
      <c r="L433">
        <v>44252</v>
      </c>
      <c r="N433" t="s">
        <v>65</v>
      </c>
      <c r="O433" t="s">
        <v>66</v>
      </c>
      <c r="P433" t="s">
        <v>1740</v>
      </c>
    </row>
    <row r="434" spans="1:16" x14ac:dyDescent="0.2">
      <c r="A434" t="s">
        <v>1741</v>
      </c>
      <c r="B434" t="s">
        <v>1742</v>
      </c>
      <c r="C434" t="s">
        <v>59</v>
      </c>
      <c r="D434" t="s">
        <v>1085</v>
      </c>
      <c r="E434" t="s">
        <v>115</v>
      </c>
      <c r="F434" t="s">
        <v>731</v>
      </c>
      <c r="H434" t="s">
        <v>732</v>
      </c>
      <c r="I434" t="s">
        <v>1132</v>
      </c>
      <c r="J434">
        <v>2021</v>
      </c>
      <c r="K434" t="s">
        <v>1743</v>
      </c>
      <c r="N434" t="s">
        <v>65</v>
      </c>
      <c r="O434" t="s">
        <v>66</v>
      </c>
      <c r="P434" t="s">
        <v>1744</v>
      </c>
    </row>
    <row r="435" spans="1:16" x14ac:dyDescent="0.2">
      <c r="A435" t="s">
        <v>1745</v>
      </c>
      <c r="B435" t="s">
        <v>1746</v>
      </c>
      <c r="C435" t="s">
        <v>59</v>
      </c>
      <c r="D435" t="s">
        <v>148</v>
      </c>
      <c r="F435" t="s">
        <v>1747</v>
      </c>
      <c r="H435" t="s">
        <v>134</v>
      </c>
      <c r="I435" t="s">
        <v>1132</v>
      </c>
      <c r="J435">
        <v>2021</v>
      </c>
      <c r="K435" t="s">
        <v>221</v>
      </c>
      <c r="L435">
        <v>44475</v>
      </c>
      <c r="N435" t="s">
        <v>65</v>
      </c>
      <c r="P435" t="s">
        <v>1748</v>
      </c>
    </row>
    <row r="436" spans="1:16" x14ac:dyDescent="0.2">
      <c r="A436" t="s">
        <v>1749</v>
      </c>
      <c r="B436" t="s">
        <v>1750</v>
      </c>
      <c r="C436" t="s">
        <v>59</v>
      </c>
      <c r="D436" t="s">
        <v>498</v>
      </c>
      <c r="F436" t="s">
        <v>499</v>
      </c>
      <c r="H436" t="s">
        <v>134</v>
      </c>
      <c r="I436" t="s">
        <v>1132</v>
      </c>
      <c r="J436">
        <v>2021</v>
      </c>
      <c r="K436" t="s">
        <v>158</v>
      </c>
      <c r="L436">
        <v>44671</v>
      </c>
      <c r="N436" t="s">
        <v>65</v>
      </c>
      <c r="O436" t="s">
        <v>66</v>
      </c>
      <c r="P436" t="s">
        <v>1751</v>
      </c>
    </row>
    <row r="437" spans="1:16" x14ac:dyDescent="0.2">
      <c r="A437" t="s">
        <v>1752</v>
      </c>
      <c r="B437" t="s">
        <v>1753</v>
      </c>
      <c r="C437" t="s">
        <v>59</v>
      </c>
      <c r="D437" t="s">
        <v>82</v>
      </c>
      <c r="F437" t="s">
        <v>1754</v>
      </c>
      <c r="H437" t="s">
        <v>1072</v>
      </c>
      <c r="I437" t="s">
        <v>1132</v>
      </c>
      <c r="J437">
        <v>2021</v>
      </c>
      <c r="K437" t="s">
        <v>64</v>
      </c>
      <c r="L437">
        <v>44510</v>
      </c>
      <c r="N437" t="s">
        <v>65</v>
      </c>
      <c r="P437" t="s">
        <v>1755</v>
      </c>
    </row>
    <row r="438" spans="1:16" x14ac:dyDescent="0.2">
      <c r="A438" t="s">
        <v>1756</v>
      </c>
      <c r="B438" t="s">
        <v>1757</v>
      </c>
      <c r="C438" t="s">
        <v>59</v>
      </c>
      <c r="D438" t="s">
        <v>60</v>
      </c>
      <c r="E438" t="s">
        <v>1758</v>
      </c>
      <c r="F438" t="s">
        <v>1526</v>
      </c>
      <c r="H438" t="s">
        <v>129</v>
      </c>
      <c r="I438" t="s">
        <v>1132</v>
      </c>
      <c r="J438">
        <v>2021</v>
      </c>
      <c r="K438" t="s">
        <v>221</v>
      </c>
      <c r="L438">
        <v>44550</v>
      </c>
      <c r="N438" t="s">
        <v>390</v>
      </c>
      <c r="P438" t="s">
        <v>1759</v>
      </c>
    </row>
    <row r="439" spans="1:16" x14ac:dyDescent="0.2">
      <c r="A439" t="s">
        <v>1760</v>
      </c>
      <c r="B439" t="s">
        <v>1761</v>
      </c>
      <c r="C439" t="s">
        <v>59</v>
      </c>
      <c r="D439" t="s">
        <v>115</v>
      </c>
      <c r="F439" t="s">
        <v>1234</v>
      </c>
      <c r="H439" t="s">
        <v>1235</v>
      </c>
      <c r="I439" t="s">
        <v>1132</v>
      </c>
      <c r="J439">
        <v>2021</v>
      </c>
      <c r="K439" t="s">
        <v>471</v>
      </c>
      <c r="L439">
        <v>44283</v>
      </c>
      <c r="N439" t="s">
        <v>65</v>
      </c>
      <c r="P439" t="s">
        <v>1762</v>
      </c>
    </row>
    <row r="440" spans="1:16" x14ac:dyDescent="0.2">
      <c r="A440" t="s">
        <v>1760</v>
      </c>
      <c r="B440" t="s">
        <v>1763</v>
      </c>
      <c r="C440" t="s">
        <v>59</v>
      </c>
      <c r="D440" t="s">
        <v>115</v>
      </c>
      <c r="F440" t="s">
        <v>1234</v>
      </c>
      <c r="G440" t="s">
        <v>1250</v>
      </c>
      <c r="H440" t="s">
        <v>1235</v>
      </c>
      <c r="I440" t="s">
        <v>1132</v>
      </c>
      <c r="J440">
        <v>2021</v>
      </c>
      <c r="K440" t="s">
        <v>221</v>
      </c>
      <c r="L440">
        <v>44683</v>
      </c>
      <c r="N440" t="s">
        <v>65</v>
      </c>
      <c r="P440" t="s">
        <v>1762</v>
      </c>
    </row>
    <row r="441" spans="1:16" x14ac:dyDescent="0.2">
      <c r="A441" t="s">
        <v>1760</v>
      </c>
      <c r="B441" t="s">
        <v>1764</v>
      </c>
      <c r="C441" t="s">
        <v>59</v>
      </c>
      <c r="D441" t="s">
        <v>115</v>
      </c>
      <c r="F441" t="s">
        <v>1234</v>
      </c>
      <c r="G441" t="s">
        <v>1250</v>
      </c>
      <c r="H441" t="s">
        <v>1235</v>
      </c>
      <c r="I441" t="s">
        <v>1132</v>
      </c>
      <c r="J441">
        <v>2021</v>
      </c>
      <c r="K441" t="s">
        <v>221</v>
      </c>
      <c r="L441">
        <v>44683</v>
      </c>
      <c r="N441" t="s">
        <v>65</v>
      </c>
      <c r="P441" t="s">
        <v>1762</v>
      </c>
    </row>
    <row r="442" spans="1:16" x14ac:dyDescent="0.2">
      <c r="A442" t="s">
        <v>1765</v>
      </c>
      <c r="B442" t="s">
        <v>1766</v>
      </c>
      <c r="C442" t="s">
        <v>59</v>
      </c>
      <c r="D442" t="s">
        <v>552</v>
      </c>
      <c r="E442" t="s">
        <v>115</v>
      </c>
      <c r="F442" t="s">
        <v>1767</v>
      </c>
      <c r="H442" t="s">
        <v>418</v>
      </c>
      <c r="I442" t="s">
        <v>1132</v>
      </c>
      <c r="J442">
        <v>2021</v>
      </c>
      <c r="K442" t="s">
        <v>202</v>
      </c>
      <c r="L442">
        <v>44593</v>
      </c>
      <c r="N442" t="s">
        <v>65</v>
      </c>
      <c r="O442" t="s">
        <v>66</v>
      </c>
      <c r="P442" t="s">
        <v>1768</v>
      </c>
    </row>
    <row r="443" spans="1:16" x14ac:dyDescent="0.2">
      <c r="A443" t="s">
        <v>1769</v>
      </c>
      <c r="B443" t="s">
        <v>1770</v>
      </c>
      <c r="C443" t="s">
        <v>59</v>
      </c>
      <c r="D443" t="s">
        <v>115</v>
      </c>
      <c r="F443" t="s">
        <v>499</v>
      </c>
      <c r="G443" t="s">
        <v>1771</v>
      </c>
      <c r="H443" t="s">
        <v>134</v>
      </c>
      <c r="I443" t="s">
        <v>1132</v>
      </c>
      <c r="J443">
        <v>2021</v>
      </c>
      <c r="K443" t="s">
        <v>64</v>
      </c>
      <c r="L443">
        <v>44683</v>
      </c>
      <c r="N443" t="s">
        <v>65</v>
      </c>
      <c r="P443" t="s">
        <v>1772</v>
      </c>
    </row>
    <row r="444" spans="1:16" x14ac:dyDescent="0.2">
      <c r="A444" t="s">
        <v>1773</v>
      </c>
      <c r="B444" t="s">
        <v>1774</v>
      </c>
      <c r="C444" t="s">
        <v>59</v>
      </c>
      <c r="D444" t="s">
        <v>1775</v>
      </c>
      <c r="F444" t="s">
        <v>951</v>
      </c>
      <c r="H444" t="s">
        <v>77</v>
      </c>
      <c r="I444" t="s">
        <v>1132</v>
      </c>
      <c r="J444">
        <v>2021</v>
      </c>
      <c r="K444" t="s">
        <v>471</v>
      </c>
      <c r="L444">
        <v>44662</v>
      </c>
      <c r="N444" t="s">
        <v>65</v>
      </c>
      <c r="P444" t="s">
        <v>1776</v>
      </c>
    </row>
    <row r="445" spans="1:16" x14ac:dyDescent="0.2">
      <c r="A445" t="s">
        <v>1777</v>
      </c>
      <c r="B445" t="s">
        <v>1778</v>
      </c>
      <c r="C445" t="s">
        <v>59</v>
      </c>
      <c r="D445" t="s">
        <v>660</v>
      </c>
      <c r="F445" t="s">
        <v>661</v>
      </c>
      <c r="H445" t="s">
        <v>77</v>
      </c>
      <c r="I445" t="s">
        <v>1132</v>
      </c>
      <c r="J445">
        <v>2021</v>
      </c>
      <c r="K445" t="s">
        <v>31</v>
      </c>
      <c r="L445">
        <v>44544</v>
      </c>
      <c r="N445" t="s">
        <v>71</v>
      </c>
      <c r="P445" t="s">
        <v>1779</v>
      </c>
    </row>
    <row r="446" spans="1:16" x14ac:dyDescent="0.2">
      <c r="A446" t="s">
        <v>1780</v>
      </c>
      <c r="B446" t="s">
        <v>1781</v>
      </c>
      <c r="C446" t="s">
        <v>59</v>
      </c>
      <c r="D446" t="s">
        <v>167</v>
      </c>
      <c r="E446" t="s">
        <v>1500</v>
      </c>
      <c r="F446" t="s">
        <v>1501</v>
      </c>
      <c r="H446" t="s">
        <v>117</v>
      </c>
      <c r="I446" t="s">
        <v>1132</v>
      </c>
      <c r="J446">
        <v>2021</v>
      </c>
      <c r="K446" t="s">
        <v>221</v>
      </c>
      <c r="L446">
        <v>44544</v>
      </c>
      <c r="N446" t="s">
        <v>65</v>
      </c>
      <c r="P446" t="s">
        <v>1782</v>
      </c>
    </row>
    <row r="447" spans="1:16" x14ac:dyDescent="0.2">
      <c r="A447" t="s">
        <v>1783</v>
      </c>
      <c r="B447" t="s">
        <v>1784</v>
      </c>
      <c r="C447" t="s">
        <v>59</v>
      </c>
      <c r="D447" t="s">
        <v>828</v>
      </c>
      <c r="F447" t="s">
        <v>1785</v>
      </c>
      <c r="H447" t="s">
        <v>1786</v>
      </c>
      <c r="I447" t="s">
        <v>1132</v>
      </c>
      <c r="J447">
        <v>2022</v>
      </c>
      <c r="K447" t="s">
        <v>202</v>
      </c>
      <c r="L447">
        <v>44929</v>
      </c>
      <c r="N447" t="s">
        <v>65</v>
      </c>
      <c r="O447" t="s">
        <v>66</v>
      </c>
      <c r="P447" t="s">
        <v>1787</v>
      </c>
    </row>
    <row r="448" spans="1:16" x14ac:dyDescent="0.2">
      <c r="A448" t="s">
        <v>1783</v>
      </c>
      <c r="B448" t="s">
        <v>1788</v>
      </c>
      <c r="C448" t="s">
        <v>59</v>
      </c>
      <c r="D448" t="s">
        <v>828</v>
      </c>
      <c r="F448" t="s">
        <v>1785</v>
      </c>
      <c r="G448" t="s">
        <v>1789</v>
      </c>
      <c r="H448" t="s">
        <v>1786</v>
      </c>
      <c r="I448" t="s">
        <v>1132</v>
      </c>
      <c r="J448">
        <v>2022</v>
      </c>
      <c r="K448" t="s">
        <v>202</v>
      </c>
      <c r="L448">
        <v>44812</v>
      </c>
      <c r="N448" t="s">
        <v>65</v>
      </c>
      <c r="O448" t="s">
        <v>66</v>
      </c>
      <c r="P448" t="s">
        <v>1787</v>
      </c>
    </row>
    <row r="449" spans="1:16" x14ac:dyDescent="0.2">
      <c r="A449" t="s">
        <v>1790</v>
      </c>
      <c r="B449" t="s">
        <v>1791</v>
      </c>
      <c r="C449" t="s">
        <v>59</v>
      </c>
      <c r="D449" t="s">
        <v>444</v>
      </c>
      <c r="F449" t="s">
        <v>1792</v>
      </c>
      <c r="G449" t="s">
        <v>1793</v>
      </c>
      <c r="H449" t="s">
        <v>338</v>
      </c>
      <c r="I449" t="s">
        <v>1132</v>
      </c>
      <c r="J449">
        <v>2021</v>
      </c>
      <c r="K449" t="s">
        <v>158</v>
      </c>
      <c r="L449">
        <v>44671</v>
      </c>
      <c r="N449" t="s">
        <v>65</v>
      </c>
      <c r="O449" t="s">
        <v>66</v>
      </c>
      <c r="P449" t="s">
        <v>1794</v>
      </c>
    </row>
    <row r="450" spans="1:16" x14ac:dyDescent="0.2">
      <c r="A450" t="s">
        <v>1795</v>
      </c>
      <c r="B450" t="s">
        <v>1796</v>
      </c>
      <c r="C450" t="s">
        <v>59</v>
      </c>
      <c r="D450" t="s">
        <v>115</v>
      </c>
      <c r="F450" t="s">
        <v>285</v>
      </c>
      <c r="G450" t="s">
        <v>1797</v>
      </c>
      <c r="H450" t="s">
        <v>117</v>
      </c>
      <c r="I450" t="s">
        <v>1132</v>
      </c>
      <c r="J450">
        <v>2021</v>
      </c>
      <c r="K450" t="s">
        <v>158</v>
      </c>
      <c r="L450">
        <v>44286</v>
      </c>
      <c r="N450" t="s">
        <v>65</v>
      </c>
      <c r="O450" t="s">
        <v>66</v>
      </c>
      <c r="P450" t="s">
        <v>1798</v>
      </c>
    </row>
    <row r="451" spans="1:16" x14ac:dyDescent="0.2">
      <c r="A451" t="s">
        <v>1795</v>
      </c>
      <c r="B451" t="s">
        <v>1799</v>
      </c>
      <c r="C451" t="s">
        <v>59</v>
      </c>
      <c r="D451" t="s">
        <v>115</v>
      </c>
      <c r="F451" t="s">
        <v>285</v>
      </c>
      <c r="G451" t="s">
        <v>1800</v>
      </c>
      <c r="H451" t="s">
        <v>117</v>
      </c>
      <c r="I451" t="s">
        <v>1132</v>
      </c>
      <c r="J451">
        <v>2021</v>
      </c>
      <c r="K451" t="s">
        <v>158</v>
      </c>
      <c r="L451">
        <v>44286</v>
      </c>
      <c r="N451" t="s">
        <v>65</v>
      </c>
      <c r="O451" t="s">
        <v>66</v>
      </c>
      <c r="P451" t="s">
        <v>1798</v>
      </c>
    </row>
    <row r="452" spans="1:16" x14ac:dyDescent="0.2">
      <c r="A452" t="s">
        <v>1801</v>
      </c>
      <c r="B452" t="s">
        <v>1802</v>
      </c>
      <c r="C452" t="s">
        <v>59</v>
      </c>
      <c r="D452" t="s">
        <v>121</v>
      </c>
      <c r="E452" t="s">
        <v>115</v>
      </c>
      <c r="F452" t="s">
        <v>604</v>
      </c>
      <c r="G452" t="s">
        <v>1803</v>
      </c>
      <c r="H452" t="s">
        <v>604</v>
      </c>
      <c r="I452" t="s">
        <v>1132</v>
      </c>
      <c r="J452">
        <v>2021</v>
      </c>
      <c r="K452" t="s">
        <v>221</v>
      </c>
      <c r="L452">
        <v>44596</v>
      </c>
      <c r="N452" t="s">
        <v>65</v>
      </c>
      <c r="P452" t="s">
        <v>1804</v>
      </c>
    </row>
    <row r="453" spans="1:16" x14ac:dyDescent="0.2">
      <c r="A453" t="s">
        <v>1805</v>
      </c>
      <c r="B453" t="s">
        <v>1806</v>
      </c>
      <c r="C453" t="s">
        <v>59</v>
      </c>
      <c r="D453" t="s">
        <v>253</v>
      </c>
      <c r="F453" t="s">
        <v>505</v>
      </c>
      <c r="H453" t="s">
        <v>134</v>
      </c>
      <c r="I453" t="s">
        <v>1132</v>
      </c>
      <c r="J453">
        <v>2021</v>
      </c>
      <c r="K453" t="s">
        <v>221</v>
      </c>
      <c r="N453" t="s">
        <v>65</v>
      </c>
      <c r="P453" t="s">
        <v>1807</v>
      </c>
    </row>
    <row r="454" spans="1:16" x14ac:dyDescent="0.2">
      <c r="A454" t="s">
        <v>1808</v>
      </c>
      <c r="B454" t="s">
        <v>1809</v>
      </c>
      <c r="C454" t="s">
        <v>59</v>
      </c>
      <c r="D454" t="s">
        <v>1684</v>
      </c>
      <c r="F454" t="s">
        <v>1685</v>
      </c>
      <c r="G454" t="s">
        <v>1810</v>
      </c>
      <c r="H454" t="s">
        <v>117</v>
      </c>
      <c r="I454" t="s">
        <v>1132</v>
      </c>
      <c r="J454">
        <v>2021</v>
      </c>
      <c r="K454" t="s">
        <v>158</v>
      </c>
      <c r="L454">
        <v>44255</v>
      </c>
      <c r="N454" t="s">
        <v>65</v>
      </c>
      <c r="O454" t="s">
        <v>66</v>
      </c>
      <c r="P454" t="s">
        <v>1811</v>
      </c>
    </row>
    <row r="455" spans="1:16" x14ac:dyDescent="0.2">
      <c r="A455" t="s">
        <v>1812</v>
      </c>
      <c r="B455" t="s">
        <v>1813</v>
      </c>
      <c r="C455" t="s">
        <v>59</v>
      </c>
      <c r="D455" t="s">
        <v>167</v>
      </c>
      <c r="E455" t="s">
        <v>184</v>
      </c>
      <c r="F455" t="s">
        <v>185</v>
      </c>
      <c r="H455" t="s">
        <v>186</v>
      </c>
      <c r="I455" t="s">
        <v>1132</v>
      </c>
      <c r="J455">
        <v>2021</v>
      </c>
      <c r="K455" t="s">
        <v>221</v>
      </c>
      <c r="L455">
        <v>44252</v>
      </c>
      <c r="N455" t="s">
        <v>65</v>
      </c>
      <c r="P455" t="s">
        <v>1814</v>
      </c>
    </row>
    <row r="456" spans="1:16" x14ac:dyDescent="0.2">
      <c r="A456" t="s">
        <v>1815</v>
      </c>
      <c r="B456" t="s">
        <v>1816</v>
      </c>
      <c r="C456" t="s">
        <v>59</v>
      </c>
      <c r="D456" t="s">
        <v>1092</v>
      </c>
      <c r="E456" t="s">
        <v>115</v>
      </c>
      <c r="F456" t="s">
        <v>1817</v>
      </c>
      <c r="G456" t="s">
        <v>1818</v>
      </c>
      <c r="H456" t="s">
        <v>338</v>
      </c>
      <c r="I456" t="s">
        <v>1132</v>
      </c>
      <c r="J456">
        <v>2021</v>
      </c>
      <c r="K456" t="s">
        <v>471</v>
      </c>
      <c r="L456">
        <v>44666</v>
      </c>
      <c r="N456" t="s">
        <v>65</v>
      </c>
      <c r="P456" t="s">
        <v>1819</v>
      </c>
    </row>
    <row r="457" spans="1:16" x14ac:dyDescent="0.2">
      <c r="A457" t="s">
        <v>1815</v>
      </c>
      <c r="B457" t="s">
        <v>1820</v>
      </c>
      <c r="C457" t="s">
        <v>59</v>
      </c>
      <c r="D457" t="s">
        <v>1092</v>
      </c>
      <c r="E457" t="s">
        <v>115</v>
      </c>
      <c r="F457" t="s">
        <v>1817</v>
      </c>
      <c r="G457" t="s">
        <v>1821</v>
      </c>
      <c r="H457" t="s">
        <v>338</v>
      </c>
      <c r="I457" t="s">
        <v>1132</v>
      </c>
      <c r="J457">
        <v>2021</v>
      </c>
      <c r="K457" t="s">
        <v>471</v>
      </c>
      <c r="L457">
        <v>44683</v>
      </c>
      <c r="N457" t="s">
        <v>65</v>
      </c>
      <c r="P457" t="s">
        <v>1819</v>
      </c>
    </row>
    <row r="458" spans="1:16" x14ac:dyDescent="0.2">
      <c r="A458" t="s">
        <v>1822</v>
      </c>
      <c r="B458" t="s">
        <v>1823</v>
      </c>
      <c r="C458" t="s">
        <v>59</v>
      </c>
      <c r="D458" t="s">
        <v>60</v>
      </c>
      <c r="E458" t="s">
        <v>1758</v>
      </c>
      <c r="F458" t="s">
        <v>1824</v>
      </c>
      <c r="H458" t="s">
        <v>129</v>
      </c>
      <c r="I458" t="s">
        <v>1132</v>
      </c>
      <c r="J458">
        <v>2021</v>
      </c>
      <c r="K458" t="s">
        <v>158</v>
      </c>
      <c r="L458">
        <v>44679</v>
      </c>
      <c r="N458" t="s">
        <v>65</v>
      </c>
      <c r="O458" t="s">
        <v>66</v>
      </c>
      <c r="P458" t="s">
        <v>1825</v>
      </c>
    </row>
    <row r="459" spans="1:16" x14ac:dyDescent="0.2">
      <c r="A459" t="s">
        <v>1826</v>
      </c>
      <c r="B459" t="s">
        <v>1827</v>
      </c>
      <c r="C459" t="s">
        <v>59</v>
      </c>
      <c r="D459" t="s">
        <v>82</v>
      </c>
      <c r="F459" t="s">
        <v>1758</v>
      </c>
      <c r="H459" t="s">
        <v>129</v>
      </c>
      <c r="I459" t="s">
        <v>1132</v>
      </c>
      <c r="J459">
        <v>2021</v>
      </c>
      <c r="K459" t="s">
        <v>202</v>
      </c>
      <c r="L459">
        <v>44683</v>
      </c>
      <c r="N459" t="s">
        <v>65</v>
      </c>
      <c r="O459" t="s">
        <v>66</v>
      </c>
      <c r="P459" t="s">
        <v>1828</v>
      </c>
    </row>
    <row r="460" spans="1:16" x14ac:dyDescent="0.2">
      <c r="A460" t="s">
        <v>1829</v>
      </c>
      <c r="B460" t="s">
        <v>1830</v>
      </c>
      <c r="C460" t="s">
        <v>59</v>
      </c>
      <c r="D460" t="s">
        <v>60</v>
      </c>
      <c r="E460" t="s">
        <v>253</v>
      </c>
      <c r="F460" t="s">
        <v>1831</v>
      </c>
      <c r="G460" t="s">
        <v>1832</v>
      </c>
      <c r="H460" t="s">
        <v>338</v>
      </c>
      <c r="I460" t="s">
        <v>1132</v>
      </c>
      <c r="J460">
        <v>2021</v>
      </c>
      <c r="K460" t="s">
        <v>158</v>
      </c>
      <c r="L460">
        <v>44519</v>
      </c>
      <c r="N460" t="s">
        <v>71</v>
      </c>
      <c r="P460" t="s">
        <v>1833</v>
      </c>
    </row>
    <row r="461" spans="1:16" x14ac:dyDescent="0.2">
      <c r="A461" t="s">
        <v>1834</v>
      </c>
      <c r="B461" t="s">
        <v>1835</v>
      </c>
      <c r="C461" t="s">
        <v>59</v>
      </c>
      <c r="D461" t="s">
        <v>253</v>
      </c>
      <c r="F461" t="s">
        <v>1836</v>
      </c>
      <c r="H461" t="s">
        <v>63</v>
      </c>
      <c r="I461" t="s">
        <v>1132</v>
      </c>
      <c r="J461">
        <v>2021</v>
      </c>
      <c r="K461" t="s">
        <v>221</v>
      </c>
      <c r="L461">
        <v>44641</v>
      </c>
      <c r="N461" t="s">
        <v>65</v>
      </c>
      <c r="P461" t="s">
        <v>1837</v>
      </c>
    </row>
    <row r="462" spans="1:16" x14ac:dyDescent="0.2">
      <c r="A462" t="s">
        <v>1838</v>
      </c>
      <c r="B462" t="s">
        <v>1839</v>
      </c>
      <c r="C462" t="s">
        <v>59</v>
      </c>
      <c r="D462" t="s">
        <v>358</v>
      </c>
      <c r="H462" t="s">
        <v>77</v>
      </c>
      <c r="I462" t="s">
        <v>1132</v>
      </c>
      <c r="J462">
        <v>2022</v>
      </c>
      <c r="K462" t="s">
        <v>221</v>
      </c>
      <c r="L462">
        <v>44743</v>
      </c>
      <c r="N462" t="s">
        <v>71</v>
      </c>
      <c r="P462" t="s">
        <v>1840</v>
      </c>
    </row>
    <row r="463" spans="1:16" x14ac:dyDescent="0.2">
      <c r="A463" t="s">
        <v>1838</v>
      </c>
      <c r="B463" t="s">
        <v>1841</v>
      </c>
      <c r="C463" t="s">
        <v>59</v>
      </c>
      <c r="D463" t="s">
        <v>358</v>
      </c>
      <c r="I463" t="s">
        <v>1132</v>
      </c>
      <c r="J463">
        <v>2022</v>
      </c>
      <c r="K463" t="s">
        <v>221</v>
      </c>
      <c r="L463">
        <v>44781</v>
      </c>
      <c r="N463" t="s">
        <v>71</v>
      </c>
      <c r="P463" t="s">
        <v>1840</v>
      </c>
    </row>
    <row r="464" spans="1:16" x14ac:dyDescent="0.2">
      <c r="A464" t="s">
        <v>1842</v>
      </c>
      <c r="B464" t="s">
        <v>1843</v>
      </c>
      <c r="C464" t="s">
        <v>59</v>
      </c>
      <c r="D464" t="s">
        <v>167</v>
      </c>
      <c r="E464" t="s">
        <v>1844</v>
      </c>
      <c r="F464" t="s">
        <v>1707</v>
      </c>
      <c r="H464" t="s">
        <v>162</v>
      </c>
      <c r="I464" t="s">
        <v>1132</v>
      </c>
      <c r="J464">
        <v>2021</v>
      </c>
      <c r="K464" t="s">
        <v>221</v>
      </c>
      <c r="L464">
        <v>44712</v>
      </c>
      <c r="N464" t="s">
        <v>65</v>
      </c>
      <c r="P464" t="s">
        <v>1845</v>
      </c>
    </row>
    <row r="465" spans="1:16" x14ac:dyDescent="0.2">
      <c r="A465" t="s">
        <v>1846</v>
      </c>
      <c r="B465" t="s">
        <v>1847</v>
      </c>
      <c r="C465" t="s">
        <v>59</v>
      </c>
      <c r="D465" t="s">
        <v>253</v>
      </c>
      <c r="F465" t="s">
        <v>505</v>
      </c>
      <c r="H465" t="s">
        <v>134</v>
      </c>
      <c r="I465" t="s">
        <v>1132</v>
      </c>
      <c r="J465">
        <v>2021</v>
      </c>
      <c r="K465" t="s">
        <v>221</v>
      </c>
      <c r="L465">
        <v>44585</v>
      </c>
      <c r="N465" t="s">
        <v>65</v>
      </c>
      <c r="P465" t="s">
        <v>1848</v>
      </c>
    </row>
    <row r="466" spans="1:16" x14ac:dyDescent="0.2">
      <c r="A466" t="s">
        <v>1849</v>
      </c>
      <c r="B466" t="s">
        <v>1850</v>
      </c>
      <c r="C466" t="s">
        <v>59</v>
      </c>
      <c r="D466" t="s">
        <v>238</v>
      </c>
      <c r="F466" t="s">
        <v>1209</v>
      </c>
      <c r="G466" t="s">
        <v>1851</v>
      </c>
      <c r="H466" t="s">
        <v>77</v>
      </c>
      <c r="I466" t="s">
        <v>1132</v>
      </c>
      <c r="J466">
        <v>2021</v>
      </c>
      <c r="K466" t="s">
        <v>64</v>
      </c>
      <c r="L466">
        <v>44712</v>
      </c>
      <c r="N466" t="s">
        <v>65</v>
      </c>
      <c r="P466" t="s">
        <v>1852</v>
      </c>
    </row>
    <row r="467" spans="1:16" x14ac:dyDescent="0.2">
      <c r="A467" t="s">
        <v>1853</v>
      </c>
      <c r="B467" t="s">
        <v>1854</v>
      </c>
      <c r="C467" t="s">
        <v>59</v>
      </c>
      <c r="D467" t="s">
        <v>88</v>
      </c>
      <c r="F467" t="s">
        <v>93</v>
      </c>
      <c r="G467" t="s">
        <v>1855</v>
      </c>
      <c r="H467" t="s">
        <v>89</v>
      </c>
      <c r="I467" t="s">
        <v>1132</v>
      </c>
      <c r="J467">
        <v>2021</v>
      </c>
      <c r="K467" t="s">
        <v>221</v>
      </c>
      <c r="N467" t="s">
        <v>65</v>
      </c>
      <c r="P467" t="s">
        <v>1856</v>
      </c>
    </row>
    <row r="468" spans="1:16" x14ac:dyDescent="0.2">
      <c r="A468" t="s">
        <v>1857</v>
      </c>
      <c r="B468" t="s">
        <v>1858</v>
      </c>
      <c r="C468" t="s">
        <v>59</v>
      </c>
      <c r="D468" t="s">
        <v>167</v>
      </c>
      <c r="F468" t="s">
        <v>331</v>
      </c>
      <c r="H468" t="s">
        <v>255</v>
      </c>
      <c r="I468" t="s">
        <v>1132</v>
      </c>
      <c r="J468">
        <v>2021</v>
      </c>
      <c r="K468" t="s">
        <v>471</v>
      </c>
      <c r="L468">
        <v>44651</v>
      </c>
      <c r="N468" t="s">
        <v>65</v>
      </c>
      <c r="P468" t="s">
        <v>1859</v>
      </c>
    </row>
    <row r="469" spans="1:16" x14ac:dyDescent="0.2">
      <c r="A469" t="s">
        <v>1860</v>
      </c>
      <c r="B469" t="s">
        <v>1861</v>
      </c>
      <c r="C469" t="s">
        <v>59</v>
      </c>
      <c r="D469" t="s">
        <v>1862</v>
      </c>
      <c r="F469" t="s">
        <v>1863</v>
      </c>
      <c r="G469" t="s">
        <v>1864</v>
      </c>
      <c r="H469" t="s">
        <v>129</v>
      </c>
      <c r="I469" t="s">
        <v>1132</v>
      </c>
      <c r="J469">
        <v>2021</v>
      </c>
      <c r="K469" t="s">
        <v>158</v>
      </c>
      <c r="L469">
        <v>44767</v>
      </c>
      <c r="N469" t="s">
        <v>65</v>
      </c>
      <c r="O469" t="s">
        <v>66</v>
      </c>
      <c r="P469" t="s">
        <v>1865</v>
      </c>
    </row>
    <row r="470" spans="1:16" x14ac:dyDescent="0.2">
      <c r="A470" t="s">
        <v>1860</v>
      </c>
      <c r="B470" t="s">
        <v>390</v>
      </c>
      <c r="C470" t="s">
        <v>59</v>
      </c>
      <c r="D470" t="s">
        <v>1862</v>
      </c>
      <c r="F470" t="s">
        <v>1863</v>
      </c>
      <c r="G470" t="s">
        <v>1866</v>
      </c>
      <c r="H470" t="s">
        <v>129</v>
      </c>
      <c r="I470" t="s">
        <v>1132</v>
      </c>
      <c r="J470">
        <v>2021</v>
      </c>
      <c r="K470" t="s">
        <v>158</v>
      </c>
      <c r="L470">
        <v>44767</v>
      </c>
      <c r="N470" t="s">
        <v>65</v>
      </c>
      <c r="O470" t="s">
        <v>66</v>
      </c>
      <c r="P470" t="s">
        <v>1865</v>
      </c>
    </row>
    <row r="471" spans="1:16" x14ac:dyDescent="0.2">
      <c r="A471" t="s">
        <v>1867</v>
      </c>
      <c r="B471" t="s">
        <v>1868</v>
      </c>
      <c r="C471" t="s">
        <v>59</v>
      </c>
      <c r="D471" t="s">
        <v>167</v>
      </c>
      <c r="F471" t="s">
        <v>1869</v>
      </c>
      <c r="H471" t="s">
        <v>226</v>
      </c>
      <c r="I471" t="s">
        <v>1132</v>
      </c>
      <c r="J471">
        <v>2021</v>
      </c>
      <c r="K471" t="s">
        <v>202</v>
      </c>
      <c r="L471">
        <v>44725</v>
      </c>
      <c r="N471" t="s">
        <v>65</v>
      </c>
      <c r="O471" t="s">
        <v>66</v>
      </c>
      <c r="P471" t="s">
        <v>1870</v>
      </c>
    </row>
    <row r="472" spans="1:16" x14ac:dyDescent="0.2">
      <c r="A472" t="s">
        <v>1867</v>
      </c>
      <c r="B472" t="s">
        <v>1871</v>
      </c>
      <c r="C472" t="s">
        <v>59</v>
      </c>
      <c r="D472" t="s">
        <v>167</v>
      </c>
      <c r="F472" t="s">
        <v>1869</v>
      </c>
      <c r="H472" t="s">
        <v>226</v>
      </c>
      <c r="I472" t="s">
        <v>1132</v>
      </c>
      <c r="J472">
        <v>2021</v>
      </c>
      <c r="K472" t="s">
        <v>202</v>
      </c>
      <c r="L472">
        <v>44907</v>
      </c>
      <c r="N472" t="s">
        <v>65</v>
      </c>
      <c r="O472" t="s">
        <v>66</v>
      </c>
      <c r="P472" t="s">
        <v>1870</v>
      </c>
    </row>
    <row r="473" spans="1:16" x14ac:dyDescent="0.2">
      <c r="A473" t="s">
        <v>1872</v>
      </c>
      <c r="B473" t="s">
        <v>1873</v>
      </c>
      <c r="C473" t="s">
        <v>59</v>
      </c>
      <c r="D473" t="s">
        <v>82</v>
      </c>
      <c r="E473" t="s">
        <v>1874</v>
      </c>
      <c r="F473" t="s">
        <v>1875</v>
      </c>
      <c r="H473" t="s">
        <v>77</v>
      </c>
      <c r="I473" t="s">
        <v>1132</v>
      </c>
      <c r="J473">
        <v>2021</v>
      </c>
      <c r="K473" t="s">
        <v>202</v>
      </c>
      <c r="L473">
        <v>44715</v>
      </c>
      <c r="N473" t="s">
        <v>65</v>
      </c>
      <c r="O473" t="s">
        <v>66</v>
      </c>
      <c r="P473" t="s">
        <v>1876</v>
      </c>
    </row>
    <row r="474" spans="1:16" x14ac:dyDescent="0.2">
      <c r="A474" t="s">
        <v>1877</v>
      </c>
      <c r="B474" t="s">
        <v>1878</v>
      </c>
      <c r="C474" t="s">
        <v>59</v>
      </c>
      <c r="D474" t="s">
        <v>1879</v>
      </c>
      <c r="F474" t="s">
        <v>711</v>
      </c>
      <c r="G474" t="s">
        <v>1880</v>
      </c>
      <c r="H474" t="s">
        <v>117</v>
      </c>
      <c r="I474" t="s">
        <v>1132</v>
      </c>
      <c r="J474">
        <v>2022</v>
      </c>
      <c r="K474" t="s">
        <v>471</v>
      </c>
      <c r="L474" t="s">
        <v>31</v>
      </c>
      <c r="N474" t="s">
        <v>817</v>
      </c>
      <c r="P474" t="s">
        <v>1881</v>
      </c>
    </row>
    <row r="475" spans="1:16" x14ac:dyDescent="0.2">
      <c r="A475" t="s">
        <v>1877</v>
      </c>
      <c r="B475" t="s">
        <v>1882</v>
      </c>
      <c r="C475" t="s">
        <v>59</v>
      </c>
      <c r="D475" t="s">
        <v>711</v>
      </c>
      <c r="F475" t="s">
        <v>711</v>
      </c>
      <c r="H475" t="s">
        <v>117</v>
      </c>
      <c r="I475" t="s">
        <v>1132</v>
      </c>
      <c r="J475">
        <v>2022</v>
      </c>
      <c r="K475" t="s">
        <v>471</v>
      </c>
      <c r="L475">
        <v>44781</v>
      </c>
      <c r="N475" t="s">
        <v>65</v>
      </c>
      <c r="P475" t="s">
        <v>1881</v>
      </c>
    </row>
    <row r="476" spans="1:16" x14ac:dyDescent="0.2">
      <c r="A476" t="s">
        <v>1883</v>
      </c>
      <c r="B476" t="s">
        <v>1884</v>
      </c>
      <c r="C476" t="s">
        <v>59</v>
      </c>
      <c r="D476" t="s">
        <v>1885</v>
      </c>
      <c r="F476" t="s">
        <v>1886</v>
      </c>
      <c r="H476" t="s">
        <v>367</v>
      </c>
      <c r="I476" t="s">
        <v>1132</v>
      </c>
      <c r="J476">
        <v>2022</v>
      </c>
      <c r="K476" t="s">
        <v>471</v>
      </c>
      <c r="L476">
        <v>44753</v>
      </c>
      <c r="N476" t="s">
        <v>65</v>
      </c>
      <c r="P476" t="s">
        <v>1887</v>
      </c>
    </row>
    <row r="477" spans="1:16" x14ac:dyDescent="0.2">
      <c r="A477" t="s">
        <v>1888</v>
      </c>
      <c r="B477" t="s">
        <v>1889</v>
      </c>
      <c r="C477" t="s">
        <v>59</v>
      </c>
      <c r="D477" t="s">
        <v>115</v>
      </c>
      <c r="F477" t="s">
        <v>1890</v>
      </c>
      <c r="H477" t="s">
        <v>266</v>
      </c>
      <c r="I477" t="s">
        <v>1132</v>
      </c>
      <c r="J477">
        <v>2021</v>
      </c>
      <c r="K477" t="s">
        <v>158</v>
      </c>
      <c r="L477">
        <v>44742</v>
      </c>
      <c r="N477" t="s">
        <v>65</v>
      </c>
      <c r="O477" t="s">
        <v>66</v>
      </c>
      <c r="P477" t="s">
        <v>1891</v>
      </c>
    </row>
    <row r="478" spans="1:16" x14ac:dyDescent="0.2">
      <c r="A478" t="s">
        <v>1892</v>
      </c>
      <c r="B478" t="s">
        <v>1893</v>
      </c>
      <c r="C478" t="s">
        <v>59</v>
      </c>
      <c r="D478" t="s">
        <v>82</v>
      </c>
      <c r="F478" t="s">
        <v>1894</v>
      </c>
      <c r="G478" t="s">
        <v>1895</v>
      </c>
      <c r="H478" t="s">
        <v>338</v>
      </c>
      <c r="I478" t="s">
        <v>1132</v>
      </c>
      <c r="J478">
        <v>2021</v>
      </c>
      <c r="K478" t="s">
        <v>158</v>
      </c>
      <c r="L478">
        <v>44589</v>
      </c>
      <c r="N478" t="s">
        <v>71</v>
      </c>
      <c r="P478" t="s">
        <v>1896</v>
      </c>
    </row>
    <row r="479" spans="1:16" x14ac:dyDescent="0.2">
      <c r="A479" t="s">
        <v>1897</v>
      </c>
      <c r="B479" t="s">
        <v>1898</v>
      </c>
      <c r="C479" t="s">
        <v>59</v>
      </c>
      <c r="D479" t="s">
        <v>167</v>
      </c>
      <c r="F479" t="s">
        <v>1899</v>
      </c>
      <c r="H479" t="s">
        <v>117</v>
      </c>
      <c r="I479" t="s">
        <v>1132</v>
      </c>
      <c r="J479">
        <v>2021</v>
      </c>
      <c r="K479" t="s">
        <v>158</v>
      </c>
      <c r="L479">
        <v>44630</v>
      </c>
      <c r="N479" t="s">
        <v>65</v>
      </c>
      <c r="O479" t="s">
        <v>66</v>
      </c>
      <c r="P479" t="s">
        <v>1900</v>
      </c>
    </row>
    <row r="480" spans="1:16" x14ac:dyDescent="0.2">
      <c r="A480" t="s">
        <v>1897</v>
      </c>
      <c r="B480" t="s">
        <v>1901</v>
      </c>
      <c r="C480" t="s">
        <v>59</v>
      </c>
      <c r="D480" t="s">
        <v>167</v>
      </c>
      <c r="F480" t="s">
        <v>1899</v>
      </c>
      <c r="H480" t="s">
        <v>117</v>
      </c>
      <c r="I480" t="s">
        <v>1132</v>
      </c>
      <c r="J480">
        <v>2021</v>
      </c>
      <c r="K480" t="s">
        <v>158</v>
      </c>
      <c r="L480">
        <v>44883</v>
      </c>
      <c r="N480" t="s">
        <v>817</v>
      </c>
      <c r="O480" t="s">
        <v>1902</v>
      </c>
      <c r="P480" t="s">
        <v>1900</v>
      </c>
    </row>
    <row r="481" spans="1:16" x14ac:dyDescent="0.2">
      <c r="A481" t="s">
        <v>1903</v>
      </c>
      <c r="B481" t="s">
        <v>1904</v>
      </c>
      <c r="C481" t="s">
        <v>59</v>
      </c>
      <c r="D481" t="s">
        <v>1905</v>
      </c>
      <c r="H481" t="s">
        <v>77</v>
      </c>
      <c r="I481" t="s">
        <v>1132</v>
      </c>
      <c r="J481">
        <v>2021</v>
      </c>
      <c r="K481" t="s">
        <v>64</v>
      </c>
      <c r="L481">
        <v>44645</v>
      </c>
      <c r="N481" t="s">
        <v>65</v>
      </c>
      <c r="P481" t="s">
        <v>1906</v>
      </c>
    </row>
    <row r="482" spans="1:16" x14ac:dyDescent="0.2">
      <c r="A482" t="s">
        <v>1907</v>
      </c>
      <c r="B482" t="s">
        <v>1908</v>
      </c>
      <c r="C482" t="s">
        <v>59</v>
      </c>
      <c r="D482" t="s">
        <v>1909</v>
      </c>
      <c r="E482" t="s">
        <v>1910</v>
      </c>
      <c r="F482" t="s">
        <v>1911</v>
      </c>
      <c r="G482" t="s">
        <v>1912</v>
      </c>
      <c r="H482" t="s">
        <v>117</v>
      </c>
      <c r="I482" t="s">
        <v>1132</v>
      </c>
      <c r="J482">
        <v>2021</v>
      </c>
      <c r="K482" t="s">
        <v>64</v>
      </c>
      <c r="L482">
        <v>44722</v>
      </c>
      <c r="N482" t="s">
        <v>65</v>
      </c>
      <c r="P482" t="s">
        <v>1913</v>
      </c>
    </row>
    <row r="483" spans="1:16" x14ac:dyDescent="0.2">
      <c r="A483" t="s">
        <v>1907</v>
      </c>
      <c r="B483" t="s">
        <v>1914</v>
      </c>
      <c r="C483" t="s">
        <v>59</v>
      </c>
      <c r="D483" t="s">
        <v>1909</v>
      </c>
      <c r="E483" t="s">
        <v>1910</v>
      </c>
      <c r="F483" t="s">
        <v>1911</v>
      </c>
      <c r="G483" t="s">
        <v>1912</v>
      </c>
      <c r="H483" t="s">
        <v>117</v>
      </c>
      <c r="I483" t="s">
        <v>1132</v>
      </c>
      <c r="J483">
        <v>2021</v>
      </c>
      <c r="K483" t="s">
        <v>64</v>
      </c>
      <c r="L483">
        <v>44757</v>
      </c>
      <c r="N483" t="s">
        <v>65</v>
      </c>
      <c r="P483" t="s">
        <v>1913</v>
      </c>
    </row>
    <row r="484" spans="1:16" x14ac:dyDescent="0.2">
      <c r="A484" t="s">
        <v>1907</v>
      </c>
      <c r="B484" t="s">
        <v>1915</v>
      </c>
      <c r="C484" t="s">
        <v>59</v>
      </c>
      <c r="D484" t="s">
        <v>1909</v>
      </c>
      <c r="E484" t="s">
        <v>1910</v>
      </c>
      <c r="F484" t="s">
        <v>1911</v>
      </c>
      <c r="G484" t="s">
        <v>1912</v>
      </c>
      <c r="H484" t="s">
        <v>117</v>
      </c>
      <c r="I484" t="s">
        <v>1132</v>
      </c>
      <c r="J484">
        <v>2021</v>
      </c>
      <c r="K484" t="s">
        <v>64</v>
      </c>
      <c r="L484">
        <v>44757</v>
      </c>
      <c r="M484" t="s">
        <v>1916</v>
      </c>
      <c r="N484" t="s">
        <v>31</v>
      </c>
      <c r="P484" t="s">
        <v>1913</v>
      </c>
    </row>
    <row r="485" spans="1:16" x14ac:dyDescent="0.2">
      <c r="A485" t="s">
        <v>1917</v>
      </c>
      <c r="B485" t="s">
        <v>1918</v>
      </c>
      <c r="C485" t="s">
        <v>59</v>
      </c>
      <c r="D485" t="s">
        <v>115</v>
      </c>
      <c r="F485" t="s">
        <v>1919</v>
      </c>
      <c r="G485" t="s">
        <v>1920</v>
      </c>
      <c r="H485" t="s">
        <v>338</v>
      </c>
      <c r="I485" t="s">
        <v>1132</v>
      </c>
      <c r="J485">
        <v>2021</v>
      </c>
      <c r="K485" t="s">
        <v>221</v>
      </c>
      <c r="L485">
        <v>44647</v>
      </c>
      <c r="N485" t="s">
        <v>65</v>
      </c>
      <c r="P485" t="s">
        <v>1921</v>
      </c>
    </row>
    <row r="486" spans="1:16" x14ac:dyDescent="0.2">
      <c r="A486" t="s">
        <v>1922</v>
      </c>
      <c r="B486" t="s">
        <v>1923</v>
      </c>
      <c r="C486" t="s">
        <v>59</v>
      </c>
      <c r="D486" t="s">
        <v>102</v>
      </c>
      <c r="F486" t="s">
        <v>248</v>
      </c>
      <c r="G486" t="s">
        <v>1505</v>
      </c>
      <c r="H486" t="s">
        <v>84</v>
      </c>
      <c r="I486" t="s">
        <v>1132</v>
      </c>
      <c r="J486">
        <v>2021</v>
      </c>
      <c r="K486" t="s">
        <v>221</v>
      </c>
      <c r="L486">
        <v>44718</v>
      </c>
      <c r="N486" t="s">
        <v>65</v>
      </c>
      <c r="P486" t="s">
        <v>1924</v>
      </c>
    </row>
    <row r="487" spans="1:16" x14ac:dyDescent="0.2">
      <c r="A487" t="s">
        <v>1925</v>
      </c>
      <c r="B487" t="s">
        <v>1926</v>
      </c>
      <c r="C487" t="s">
        <v>59</v>
      </c>
      <c r="D487" t="s">
        <v>121</v>
      </c>
      <c r="E487" t="s">
        <v>1910</v>
      </c>
      <c r="F487" t="s">
        <v>1911</v>
      </c>
      <c r="G487" t="s">
        <v>1927</v>
      </c>
      <c r="H487" t="s">
        <v>117</v>
      </c>
      <c r="I487" t="s">
        <v>1132</v>
      </c>
      <c r="J487">
        <v>2021</v>
      </c>
      <c r="K487" t="s">
        <v>158</v>
      </c>
      <c r="L487">
        <v>44742</v>
      </c>
      <c r="N487" t="s">
        <v>65</v>
      </c>
      <c r="O487" t="s">
        <v>66</v>
      </c>
      <c r="P487" t="s">
        <v>1928</v>
      </c>
    </row>
    <row r="488" spans="1:16" x14ac:dyDescent="0.2">
      <c r="A488" t="s">
        <v>1929</v>
      </c>
      <c r="B488" t="s">
        <v>1930</v>
      </c>
      <c r="C488" t="s">
        <v>59</v>
      </c>
      <c r="D488" t="s">
        <v>148</v>
      </c>
      <c r="F488" t="s">
        <v>1931</v>
      </c>
      <c r="H488" t="s">
        <v>134</v>
      </c>
      <c r="I488" t="s">
        <v>1132</v>
      </c>
      <c r="J488">
        <v>2022</v>
      </c>
      <c r="K488" t="s">
        <v>221</v>
      </c>
      <c r="L488">
        <v>44817</v>
      </c>
      <c r="N488" t="s">
        <v>65</v>
      </c>
      <c r="P488" t="s">
        <v>1932</v>
      </c>
    </row>
    <row r="489" spans="1:16" x14ac:dyDescent="0.2">
      <c r="A489" t="s">
        <v>1933</v>
      </c>
      <c r="B489" t="s">
        <v>1934</v>
      </c>
      <c r="C489" t="s">
        <v>59</v>
      </c>
      <c r="D489" t="s">
        <v>60</v>
      </c>
      <c r="F489" t="s">
        <v>1739</v>
      </c>
      <c r="G489" t="s">
        <v>1935</v>
      </c>
      <c r="H489" t="s">
        <v>367</v>
      </c>
      <c r="I489" t="s">
        <v>1132</v>
      </c>
      <c r="J489">
        <v>2022</v>
      </c>
      <c r="K489" t="s">
        <v>202</v>
      </c>
      <c r="L489">
        <v>44733</v>
      </c>
      <c r="N489" t="s">
        <v>65</v>
      </c>
      <c r="O489" t="s">
        <v>66</v>
      </c>
      <c r="P489" t="s">
        <v>1936</v>
      </c>
    </row>
    <row r="490" spans="1:16" x14ac:dyDescent="0.2">
      <c r="A490" t="s">
        <v>1937</v>
      </c>
      <c r="B490" t="s">
        <v>1938</v>
      </c>
      <c r="C490" t="s">
        <v>59</v>
      </c>
      <c r="D490" t="s">
        <v>253</v>
      </c>
      <c r="F490" t="s">
        <v>1836</v>
      </c>
      <c r="H490" t="s">
        <v>63</v>
      </c>
      <c r="I490" t="s">
        <v>1132</v>
      </c>
      <c r="J490">
        <v>2022</v>
      </c>
      <c r="K490" t="s">
        <v>221</v>
      </c>
      <c r="L490">
        <v>44656</v>
      </c>
      <c r="N490" t="s">
        <v>65</v>
      </c>
      <c r="P490" t="s">
        <v>1939</v>
      </c>
    </row>
    <row r="491" spans="1:16" x14ac:dyDescent="0.2">
      <c r="A491" t="s">
        <v>1937</v>
      </c>
      <c r="B491" t="s">
        <v>1940</v>
      </c>
      <c r="C491" t="s">
        <v>59</v>
      </c>
      <c r="D491" t="s">
        <v>253</v>
      </c>
      <c r="F491" t="s">
        <v>1836</v>
      </c>
      <c r="H491" t="s">
        <v>63</v>
      </c>
      <c r="I491" t="s">
        <v>1132</v>
      </c>
      <c r="J491">
        <v>2022</v>
      </c>
      <c r="K491" t="s">
        <v>221</v>
      </c>
      <c r="L491">
        <v>44767</v>
      </c>
      <c r="N491" t="s">
        <v>65</v>
      </c>
      <c r="P491" t="s">
        <v>1939</v>
      </c>
    </row>
    <row r="492" spans="1:16" x14ac:dyDescent="0.2">
      <c r="A492" t="s">
        <v>1941</v>
      </c>
      <c r="B492" t="s">
        <v>1942</v>
      </c>
      <c r="C492" t="s">
        <v>59</v>
      </c>
      <c r="D492" t="s">
        <v>253</v>
      </c>
      <c r="F492" t="s">
        <v>1943</v>
      </c>
      <c r="H492" t="s">
        <v>877</v>
      </c>
      <c r="I492" t="s">
        <v>1132</v>
      </c>
      <c r="J492">
        <v>2022</v>
      </c>
      <c r="K492" t="s">
        <v>221</v>
      </c>
      <c r="L492">
        <v>44693</v>
      </c>
      <c r="N492" t="s">
        <v>65</v>
      </c>
      <c r="P492" t="s">
        <v>1944</v>
      </c>
    </row>
    <row r="493" spans="1:16" x14ac:dyDescent="0.2">
      <c r="A493" t="s">
        <v>1945</v>
      </c>
      <c r="B493" t="s">
        <v>1946</v>
      </c>
      <c r="C493" t="s">
        <v>59</v>
      </c>
      <c r="D493" t="s">
        <v>167</v>
      </c>
      <c r="F493" t="s">
        <v>1947</v>
      </c>
      <c r="H493" t="s">
        <v>255</v>
      </c>
      <c r="I493" t="s">
        <v>1132</v>
      </c>
      <c r="J493">
        <v>2022</v>
      </c>
      <c r="K493" t="s">
        <v>202</v>
      </c>
      <c r="L493">
        <v>44742</v>
      </c>
      <c r="N493" t="s">
        <v>65</v>
      </c>
      <c r="O493" t="s">
        <v>66</v>
      </c>
      <c r="P493" t="s">
        <v>1948</v>
      </c>
    </row>
    <row r="494" spans="1:16" x14ac:dyDescent="0.2">
      <c r="A494" t="s">
        <v>1945</v>
      </c>
      <c r="B494" t="s">
        <v>1949</v>
      </c>
      <c r="C494" t="s">
        <v>59</v>
      </c>
      <c r="D494" t="s">
        <v>167</v>
      </c>
      <c r="F494" t="s">
        <v>1947</v>
      </c>
      <c r="H494" t="s">
        <v>255</v>
      </c>
      <c r="I494" t="s">
        <v>1132</v>
      </c>
      <c r="J494">
        <v>2022</v>
      </c>
      <c r="K494" t="s">
        <v>202</v>
      </c>
      <c r="L494">
        <v>44841</v>
      </c>
      <c r="N494" t="s">
        <v>2905</v>
      </c>
      <c r="O494" t="s">
        <v>66</v>
      </c>
      <c r="P494" t="s">
        <v>1948</v>
      </c>
    </row>
    <row r="495" spans="1:16" x14ac:dyDescent="0.2">
      <c r="A495" t="s">
        <v>1950</v>
      </c>
      <c r="B495" t="s">
        <v>1951</v>
      </c>
      <c r="C495" t="s">
        <v>59</v>
      </c>
      <c r="D495" t="s">
        <v>167</v>
      </c>
      <c r="F495" t="s">
        <v>1952</v>
      </c>
      <c r="H495" t="s">
        <v>1072</v>
      </c>
      <c r="I495" t="s">
        <v>1132</v>
      </c>
      <c r="J495">
        <v>2022</v>
      </c>
      <c r="K495" t="s">
        <v>202</v>
      </c>
      <c r="L495">
        <v>44638</v>
      </c>
      <c r="N495" t="s">
        <v>65</v>
      </c>
      <c r="O495" t="s">
        <v>66</v>
      </c>
      <c r="P495" t="s">
        <v>1953</v>
      </c>
    </row>
    <row r="496" spans="1:16" x14ac:dyDescent="0.2">
      <c r="A496" t="s">
        <v>1954</v>
      </c>
      <c r="B496" t="s">
        <v>1955</v>
      </c>
      <c r="C496" t="s">
        <v>59</v>
      </c>
      <c r="D496" t="s">
        <v>121</v>
      </c>
      <c r="E496" t="s">
        <v>1910</v>
      </c>
      <c r="F496" t="s">
        <v>1911</v>
      </c>
      <c r="G496" t="s">
        <v>1956</v>
      </c>
      <c r="H496" t="s">
        <v>117</v>
      </c>
      <c r="I496" t="s">
        <v>1132</v>
      </c>
      <c r="J496">
        <v>2022</v>
      </c>
      <c r="K496" t="s">
        <v>64</v>
      </c>
      <c r="L496">
        <v>44757</v>
      </c>
      <c r="N496" t="s">
        <v>65</v>
      </c>
      <c r="P496" t="s">
        <v>1957</v>
      </c>
    </row>
    <row r="497" spans="1:16" x14ac:dyDescent="0.2">
      <c r="A497" t="s">
        <v>1958</v>
      </c>
      <c r="B497" t="s">
        <v>1959</v>
      </c>
      <c r="C497" t="s">
        <v>59</v>
      </c>
      <c r="D497" t="s">
        <v>115</v>
      </c>
      <c r="F497" t="s">
        <v>220</v>
      </c>
      <c r="H497" t="s">
        <v>117</v>
      </c>
      <c r="I497" t="s">
        <v>1132</v>
      </c>
      <c r="J497">
        <v>2022</v>
      </c>
      <c r="K497" t="s">
        <v>221</v>
      </c>
      <c r="L497">
        <v>44697</v>
      </c>
      <c r="N497" t="s">
        <v>65</v>
      </c>
      <c r="P497" t="s">
        <v>1960</v>
      </c>
    </row>
    <row r="498" spans="1:16" x14ac:dyDescent="0.2">
      <c r="A498" t="s">
        <v>1961</v>
      </c>
      <c r="B498" t="s">
        <v>1962</v>
      </c>
      <c r="C498" t="s">
        <v>59</v>
      </c>
      <c r="D498" t="s">
        <v>1963</v>
      </c>
      <c r="F498" t="s">
        <v>1964</v>
      </c>
      <c r="G498" t="s">
        <v>1832</v>
      </c>
      <c r="H498" t="s">
        <v>1965</v>
      </c>
      <c r="I498" t="s">
        <v>1132</v>
      </c>
      <c r="J498">
        <v>2022</v>
      </c>
      <c r="K498" t="s">
        <v>158</v>
      </c>
      <c r="L498">
        <v>44599</v>
      </c>
      <c r="N498" t="s">
        <v>65</v>
      </c>
      <c r="O498" t="s">
        <v>66</v>
      </c>
      <c r="P498" t="s">
        <v>1966</v>
      </c>
    </row>
    <row r="499" spans="1:16" x14ac:dyDescent="0.2">
      <c r="A499" t="s">
        <v>1961</v>
      </c>
      <c r="B499" t="s">
        <v>1967</v>
      </c>
      <c r="C499" t="s">
        <v>59</v>
      </c>
      <c r="D499" t="s">
        <v>1963</v>
      </c>
      <c r="F499" t="s">
        <v>1964</v>
      </c>
      <c r="H499" t="s">
        <v>1965</v>
      </c>
      <c r="I499" t="s">
        <v>1132</v>
      </c>
      <c r="J499">
        <v>2022</v>
      </c>
      <c r="K499" t="s">
        <v>158</v>
      </c>
      <c r="L499">
        <v>44599</v>
      </c>
      <c r="N499" t="s">
        <v>65</v>
      </c>
      <c r="O499" t="s">
        <v>66</v>
      </c>
      <c r="P499" t="s">
        <v>1966</v>
      </c>
    </row>
    <row r="500" spans="1:16" x14ac:dyDescent="0.2">
      <c r="A500" t="s">
        <v>1968</v>
      </c>
      <c r="B500" t="s">
        <v>1969</v>
      </c>
      <c r="C500" t="s">
        <v>59</v>
      </c>
      <c r="D500" t="s">
        <v>115</v>
      </c>
      <c r="F500" t="s">
        <v>260</v>
      </c>
      <c r="H500" t="s">
        <v>198</v>
      </c>
      <c r="I500" t="s">
        <v>1132</v>
      </c>
      <c r="J500">
        <v>2022</v>
      </c>
      <c r="K500" t="s">
        <v>221</v>
      </c>
      <c r="L500">
        <v>44809</v>
      </c>
      <c r="N500" t="s">
        <v>65</v>
      </c>
      <c r="P500" t="s">
        <v>1970</v>
      </c>
    </row>
    <row r="501" spans="1:16" x14ac:dyDescent="0.2">
      <c r="A501" t="s">
        <v>1971</v>
      </c>
      <c r="B501" t="s">
        <v>1972</v>
      </c>
      <c r="C501" t="s">
        <v>59</v>
      </c>
      <c r="D501" t="s">
        <v>358</v>
      </c>
      <c r="E501" t="s">
        <v>1973</v>
      </c>
      <c r="F501" t="s">
        <v>871</v>
      </c>
      <c r="G501" t="s">
        <v>1974</v>
      </c>
      <c r="H501" t="s">
        <v>77</v>
      </c>
      <c r="I501" t="s">
        <v>1132</v>
      </c>
      <c r="J501">
        <v>2022</v>
      </c>
      <c r="K501" t="s">
        <v>471</v>
      </c>
      <c r="L501">
        <v>44910</v>
      </c>
      <c r="N501" t="s">
        <v>65</v>
      </c>
      <c r="P501" t="s">
        <v>1975</v>
      </c>
    </row>
    <row r="502" spans="1:16" x14ac:dyDescent="0.2">
      <c r="A502" t="s">
        <v>1976</v>
      </c>
      <c r="B502" t="s">
        <v>1977</v>
      </c>
      <c r="C502" t="s">
        <v>59</v>
      </c>
      <c r="D502" t="s">
        <v>1978</v>
      </c>
      <c r="F502" t="s">
        <v>1979</v>
      </c>
      <c r="H502" t="s">
        <v>338</v>
      </c>
      <c r="I502" t="s">
        <v>1132</v>
      </c>
      <c r="J502">
        <v>2021</v>
      </c>
      <c r="K502" t="s">
        <v>221</v>
      </c>
      <c r="L502">
        <v>44690</v>
      </c>
      <c r="N502" t="s">
        <v>65</v>
      </c>
      <c r="P502" t="s">
        <v>1980</v>
      </c>
    </row>
    <row r="503" spans="1:16" x14ac:dyDescent="0.2">
      <c r="A503" t="s">
        <v>1981</v>
      </c>
      <c r="B503" t="s">
        <v>1982</v>
      </c>
      <c r="C503" t="s">
        <v>59</v>
      </c>
      <c r="D503" t="s">
        <v>253</v>
      </c>
      <c r="F503" t="s">
        <v>254</v>
      </c>
      <c r="H503" t="s">
        <v>255</v>
      </c>
      <c r="I503" t="s">
        <v>1132</v>
      </c>
      <c r="J503">
        <v>2022</v>
      </c>
      <c r="K503" t="s">
        <v>202</v>
      </c>
      <c r="L503">
        <v>44747</v>
      </c>
      <c r="N503" t="s">
        <v>65</v>
      </c>
      <c r="O503" t="s">
        <v>66</v>
      </c>
      <c r="P503" t="s">
        <v>1983</v>
      </c>
    </row>
    <row r="504" spans="1:16" x14ac:dyDescent="0.2">
      <c r="A504" t="s">
        <v>1984</v>
      </c>
      <c r="B504" t="s">
        <v>1985</v>
      </c>
      <c r="C504" t="s">
        <v>59</v>
      </c>
      <c r="D504" t="s">
        <v>561</v>
      </c>
      <c r="F504" t="s">
        <v>108</v>
      </c>
      <c r="G504" t="s">
        <v>1986</v>
      </c>
      <c r="H504" t="s">
        <v>110</v>
      </c>
      <c r="I504" t="s">
        <v>1132</v>
      </c>
      <c r="J504">
        <v>2022</v>
      </c>
      <c r="K504" t="s">
        <v>471</v>
      </c>
      <c r="L504">
        <v>44774</v>
      </c>
      <c r="N504" t="s">
        <v>65</v>
      </c>
      <c r="P504" t="s">
        <v>1987</v>
      </c>
    </row>
    <row r="505" spans="1:16" x14ac:dyDescent="0.2">
      <c r="A505" t="s">
        <v>1988</v>
      </c>
      <c r="B505" t="s">
        <v>1989</v>
      </c>
      <c r="C505" t="s">
        <v>59</v>
      </c>
      <c r="D505" t="s">
        <v>167</v>
      </c>
      <c r="E505" t="s">
        <v>1279</v>
      </c>
      <c r="F505" t="s">
        <v>1990</v>
      </c>
      <c r="H505" t="s">
        <v>134</v>
      </c>
      <c r="I505" t="s">
        <v>1132</v>
      </c>
      <c r="J505">
        <v>2022</v>
      </c>
      <c r="K505" t="s">
        <v>202</v>
      </c>
      <c r="L505">
        <v>44910</v>
      </c>
      <c r="M505" t="s">
        <v>1991</v>
      </c>
      <c r="N505" t="s">
        <v>65</v>
      </c>
      <c r="O505" t="s">
        <v>66</v>
      </c>
      <c r="P505" t="s">
        <v>1992</v>
      </c>
    </row>
    <row r="506" spans="1:16" x14ac:dyDescent="0.2">
      <c r="A506" t="s">
        <v>1993</v>
      </c>
      <c r="B506" t="s">
        <v>1994</v>
      </c>
      <c r="C506" t="s">
        <v>59</v>
      </c>
      <c r="D506" t="s">
        <v>60</v>
      </c>
      <c r="F506" t="s">
        <v>1869</v>
      </c>
      <c r="H506" t="s">
        <v>226</v>
      </c>
      <c r="I506" t="s">
        <v>1132</v>
      </c>
      <c r="J506">
        <v>2022</v>
      </c>
      <c r="K506" t="s">
        <v>221</v>
      </c>
      <c r="L506">
        <v>44834</v>
      </c>
      <c r="N506" t="s">
        <v>65</v>
      </c>
      <c r="P506" t="s">
        <v>1995</v>
      </c>
    </row>
    <row r="507" spans="1:16" x14ac:dyDescent="0.2">
      <c r="A507" t="s">
        <v>1993</v>
      </c>
      <c r="B507" t="s">
        <v>1996</v>
      </c>
      <c r="C507" t="s">
        <v>59</v>
      </c>
      <c r="D507" t="s">
        <v>60</v>
      </c>
      <c r="F507" t="s">
        <v>1869</v>
      </c>
      <c r="H507" t="s">
        <v>226</v>
      </c>
      <c r="I507" t="s">
        <v>1132</v>
      </c>
      <c r="J507">
        <v>2022</v>
      </c>
      <c r="K507" t="s">
        <v>221</v>
      </c>
      <c r="L507">
        <v>44876</v>
      </c>
      <c r="N507" t="s">
        <v>65</v>
      </c>
      <c r="P507" t="s">
        <v>1995</v>
      </c>
    </row>
    <row r="508" spans="1:16" x14ac:dyDescent="0.2">
      <c r="A508" t="s">
        <v>1997</v>
      </c>
      <c r="B508" t="s">
        <v>1998</v>
      </c>
      <c r="C508" t="s">
        <v>59</v>
      </c>
      <c r="D508" t="s">
        <v>167</v>
      </c>
      <c r="F508" t="s">
        <v>1999</v>
      </c>
      <c r="H508" t="s">
        <v>117</v>
      </c>
      <c r="I508" t="s">
        <v>1132</v>
      </c>
      <c r="J508">
        <v>2022</v>
      </c>
      <c r="K508" t="s">
        <v>158</v>
      </c>
      <c r="L508">
        <v>44865</v>
      </c>
      <c r="N508" t="s">
        <v>65</v>
      </c>
      <c r="O508" t="s">
        <v>66</v>
      </c>
      <c r="P508" t="s">
        <v>2000</v>
      </c>
    </row>
    <row r="509" spans="1:16" x14ac:dyDescent="0.2">
      <c r="A509" t="s">
        <v>1997</v>
      </c>
      <c r="B509" t="s">
        <v>2001</v>
      </c>
      <c r="C509" t="s">
        <v>59</v>
      </c>
      <c r="D509" t="s">
        <v>167</v>
      </c>
      <c r="F509" t="s">
        <v>1999</v>
      </c>
      <c r="H509" t="s">
        <v>117</v>
      </c>
      <c r="I509" t="s">
        <v>1132</v>
      </c>
      <c r="J509">
        <v>2022</v>
      </c>
      <c r="K509" t="s">
        <v>158</v>
      </c>
      <c r="L509">
        <v>44742</v>
      </c>
      <c r="N509" t="s">
        <v>65</v>
      </c>
      <c r="O509" t="s">
        <v>66</v>
      </c>
      <c r="P509" t="s">
        <v>2000</v>
      </c>
    </row>
    <row r="510" spans="1:16" x14ac:dyDescent="0.2">
      <c r="A510" t="s">
        <v>1997</v>
      </c>
      <c r="B510" t="s">
        <v>2002</v>
      </c>
      <c r="C510" t="s">
        <v>59</v>
      </c>
      <c r="D510" t="s">
        <v>167</v>
      </c>
      <c r="F510" t="s">
        <v>1999</v>
      </c>
      <c r="G510" t="s">
        <v>2003</v>
      </c>
      <c r="H510" t="s">
        <v>117</v>
      </c>
      <c r="I510" t="s">
        <v>1132</v>
      </c>
      <c r="J510">
        <v>2022</v>
      </c>
      <c r="K510" t="s">
        <v>158</v>
      </c>
      <c r="L510">
        <v>44869</v>
      </c>
      <c r="N510" t="s">
        <v>65</v>
      </c>
      <c r="O510" t="s">
        <v>66</v>
      </c>
      <c r="P510" t="s">
        <v>2000</v>
      </c>
    </row>
    <row r="511" spans="1:16" x14ac:dyDescent="0.2">
      <c r="A511" t="s">
        <v>2004</v>
      </c>
      <c r="B511" t="s">
        <v>2005</v>
      </c>
      <c r="C511" t="s">
        <v>59</v>
      </c>
      <c r="D511" t="s">
        <v>102</v>
      </c>
      <c r="F511" t="s">
        <v>248</v>
      </c>
      <c r="G511" t="s">
        <v>1505</v>
      </c>
      <c r="H511" t="s">
        <v>63</v>
      </c>
      <c r="I511" t="s">
        <v>1132</v>
      </c>
      <c r="J511">
        <v>2022</v>
      </c>
      <c r="K511" t="s">
        <v>221</v>
      </c>
      <c r="L511">
        <v>44789</v>
      </c>
      <c r="N511" t="s">
        <v>65</v>
      </c>
      <c r="P511" t="s">
        <v>2006</v>
      </c>
    </row>
    <row r="512" spans="1:16" x14ac:dyDescent="0.2">
      <c r="A512" t="s">
        <v>2007</v>
      </c>
      <c r="B512" t="s">
        <v>2008</v>
      </c>
      <c r="C512" t="s">
        <v>59</v>
      </c>
      <c r="D512" t="s">
        <v>60</v>
      </c>
      <c r="E512" t="s">
        <v>115</v>
      </c>
      <c r="F512" t="s">
        <v>493</v>
      </c>
      <c r="G512" t="s">
        <v>2009</v>
      </c>
      <c r="H512" t="s">
        <v>494</v>
      </c>
      <c r="I512" t="s">
        <v>1132</v>
      </c>
      <c r="J512">
        <v>2022</v>
      </c>
      <c r="K512" t="s">
        <v>221</v>
      </c>
      <c r="L512">
        <v>44837</v>
      </c>
      <c r="N512" t="s">
        <v>65</v>
      </c>
      <c r="P512" t="s">
        <v>2010</v>
      </c>
    </row>
    <row r="513" spans="1:16" x14ac:dyDescent="0.2">
      <c r="A513" t="s">
        <v>2011</v>
      </c>
      <c r="B513" t="s">
        <v>2012</v>
      </c>
      <c r="C513" t="s">
        <v>59</v>
      </c>
      <c r="D513" t="s">
        <v>2013</v>
      </c>
      <c r="E513" t="s">
        <v>115</v>
      </c>
      <c r="F513" t="s">
        <v>1911</v>
      </c>
      <c r="H513" t="s">
        <v>117</v>
      </c>
      <c r="I513" t="s">
        <v>1132</v>
      </c>
      <c r="J513">
        <v>2022</v>
      </c>
      <c r="K513" t="s">
        <v>64</v>
      </c>
      <c r="N513" t="s">
        <v>31</v>
      </c>
      <c r="P513" t="s">
        <v>2014</v>
      </c>
    </row>
    <row r="514" spans="1:16" x14ac:dyDescent="0.2">
      <c r="A514" t="s">
        <v>2011</v>
      </c>
      <c r="B514" t="s">
        <v>2015</v>
      </c>
      <c r="C514" t="s">
        <v>59</v>
      </c>
      <c r="D514" t="s">
        <v>2013</v>
      </c>
      <c r="E514" t="s">
        <v>115</v>
      </c>
      <c r="F514" t="s">
        <v>1911</v>
      </c>
      <c r="H514" t="s">
        <v>117</v>
      </c>
      <c r="I514" t="s">
        <v>1132</v>
      </c>
      <c r="J514">
        <v>2022</v>
      </c>
      <c r="K514" t="s">
        <v>64</v>
      </c>
      <c r="P514" t="s">
        <v>2014</v>
      </c>
    </row>
    <row r="515" spans="1:16" x14ac:dyDescent="0.2">
      <c r="A515" t="s">
        <v>2016</v>
      </c>
      <c r="B515" t="s">
        <v>2017</v>
      </c>
      <c r="C515" t="s">
        <v>59</v>
      </c>
      <c r="D515" t="s">
        <v>386</v>
      </c>
      <c r="F515" t="s">
        <v>2018</v>
      </c>
      <c r="H515" t="s">
        <v>2019</v>
      </c>
      <c r="I515" t="s">
        <v>1132</v>
      </c>
      <c r="J515">
        <v>2022</v>
      </c>
      <c r="K515" t="s">
        <v>158</v>
      </c>
      <c r="L515">
        <v>44823</v>
      </c>
      <c r="N515" t="s">
        <v>65</v>
      </c>
      <c r="O515" t="s">
        <v>66</v>
      </c>
      <c r="P515" t="s">
        <v>2020</v>
      </c>
    </row>
    <row r="516" spans="1:16" x14ac:dyDescent="0.2">
      <c r="A516" t="s">
        <v>2021</v>
      </c>
      <c r="B516" t="s">
        <v>2022</v>
      </c>
      <c r="C516" t="s">
        <v>59</v>
      </c>
      <c r="D516" t="s">
        <v>828</v>
      </c>
      <c r="F516" t="s">
        <v>2023</v>
      </c>
      <c r="H516" t="s">
        <v>1786</v>
      </c>
      <c r="I516" t="s">
        <v>1132</v>
      </c>
      <c r="J516">
        <v>2022</v>
      </c>
      <c r="K516" t="s">
        <v>202</v>
      </c>
      <c r="L516">
        <v>44869</v>
      </c>
      <c r="N516" t="s">
        <v>65</v>
      </c>
      <c r="O516" t="s">
        <v>66</v>
      </c>
      <c r="P516" t="s">
        <v>2024</v>
      </c>
    </row>
    <row r="517" spans="1:16" x14ac:dyDescent="0.2">
      <c r="A517" t="s">
        <v>2025</v>
      </c>
      <c r="B517" t="s">
        <v>2026</v>
      </c>
      <c r="C517" t="s">
        <v>59</v>
      </c>
      <c r="D517" t="s">
        <v>2027</v>
      </c>
      <c r="G517" t="s">
        <v>2028</v>
      </c>
      <c r="H517" t="s">
        <v>77</v>
      </c>
      <c r="I517" t="s">
        <v>1132</v>
      </c>
      <c r="J517">
        <v>2022</v>
      </c>
      <c r="K517" t="s">
        <v>471</v>
      </c>
      <c r="L517">
        <v>44783</v>
      </c>
      <c r="N517" t="s">
        <v>65</v>
      </c>
      <c r="P517" t="s">
        <v>2029</v>
      </c>
    </row>
    <row r="518" spans="1:16" x14ac:dyDescent="0.2">
      <c r="A518" t="s">
        <v>2030</v>
      </c>
      <c r="B518" t="s">
        <v>2031</v>
      </c>
      <c r="C518" t="s">
        <v>59</v>
      </c>
      <c r="D518" t="s">
        <v>955</v>
      </c>
      <c r="F518" t="s">
        <v>2032</v>
      </c>
      <c r="H518" t="s">
        <v>732</v>
      </c>
      <c r="I518" t="s">
        <v>1132</v>
      </c>
      <c r="J518">
        <v>2022</v>
      </c>
      <c r="K518" t="s">
        <v>158</v>
      </c>
      <c r="L518">
        <v>44767</v>
      </c>
      <c r="N518" t="s">
        <v>71</v>
      </c>
      <c r="P518" t="s">
        <v>2033</v>
      </c>
    </row>
    <row r="519" spans="1:16" x14ac:dyDescent="0.2">
      <c r="A519" t="s">
        <v>2030</v>
      </c>
      <c r="B519" t="s">
        <v>2034</v>
      </c>
      <c r="C519" t="s">
        <v>59</v>
      </c>
      <c r="D519" t="s">
        <v>955</v>
      </c>
      <c r="F519" t="s">
        <v>2032</v>
      </c>
      <c r="H519" t="s">
        <v>732</v>
      </c>
      <c r="I519" t="s">
        <v>1132</v>
      </c>
      <c r="J519">
        <v>2022</v>
      </c>
      <c r="K519" t="s">
        <v>158</v>
      </c>
      <c r="L519">
        <v>44767</v>
      </c>
      <c r="N519" t="s">
        <v>65</v>
      </c>
      <c r="O519" t="s">
        <v>66</v>
      </c>
      <c r="P519" t="s">
        <v>2033</v>
      </c>
    </row>
    <row r="520" spans="1:16" x14ac:dyDescent="0.2">
      <c r="A520" t="s">
        <v>2035</v>
      </c>
      <c r="B520" t="s">
        <v>2036</v>
      </c>
      <c r="C520" t="s">
        <v>59</v>
      </c>
      <c r="D520" t="s">
        <v>60</v>
      </c>
      <c r="F520" t="s">
        <v>2037</v>
      </c>
      <c r="H520" t="s">
        <v>129</v>
      </c>
      <c r="I520" t="s">
        <v>1132</v>
      </c>
      <c r="J520">
        <v>2022</v>
      </c>
      <c r="K520" t="s">
        <v>158</v>
      </c>
      <c r="L520">
        <v>44854</v>
      </c>
      <c r="N520" t="s">
        <v>65</v>
      </c>
      <c r="O520" t="s">
        <v>66</v>
      </c>
      <c r="P520" t="s">
        <v>2038</v>
      </c>
    </row>
    <row r="521" spans="1:16" x14ac:dyDescent="0.2">
      <c r="A521" t="s">
        <v>2039</v>
      </c>
      <c r="B521" t="s">
        <v>2040</v>
      </c>
      <c r="C521" t="s">
        <v>59</v>
      </c>
      <c r="D521" t="s">
        <v>167</v>
      </c>
      <c r="F521" t="s">
        <v>2041</v>
      </c>
      <c r="G521" t="s">
        <v>1895</v>
      </c>
      <c r="H521" t="s">
        <v>367</v>
      </c>
      <c r="I521" t="s">
        <v>1132</v>
      </c>
      <c r="J521">
        <v>2022</v>
      </c>
      <c r="K521" t="s">
        <v>158</v>
      </c>
      <c r="L521">
        <v>44727</v>
      </c>
      <c r="N521" t="s">
        <v>71</v>
      </c>
      <c r="P521" t="s">
        <v>2042</v>
      </c>
    </row>
    <row r="522" spans="1:16" x14ac:dyDescent="0.2">
      <c r="A522" t="s">
        <v>2039</v>
      </c>
      <c r="B522" t="s">
        <v>2043</v>
      </c>
      <c r="C522" t="s">
        <v>59</v>
      </c>
      <c r="D522" t="s">
        <v>167</v>
      </c>
      <c r="F522" t="s">
        <v>2041</v>
      </c>
      <c r="H522" t="s">
        <v>367</v>
      </c>
      <c r="I522" t="s">
        <v>1132</v>
      </c>
      <c r="J522">
        <v>2022</v>
      </c>
      <c r="K522" t="s">
        <v>158</v>
      </c>
      <c r="L522">
        <v>45092</v>
      </c>
      <c r="N522" t="s">
        <v>65</v>
      </c>
      <c r="P522" t="s">
        <v>2042</v>
      </c>
    </row>
    <row r="523" spans="1:16" x14ac:dyDescent="0.2">
      <c r="A523" t="s">
        <v>2039</v>
      </c>
      <c r="B523" t="s">
        <v>2044</v>
      </c>
      <c r="C523" t="s">
        <v>59</v>
      </c>
      <c r="D523" t="s">
        <v>167</v>
      </c>
      <c r="F523" t="s">
        <v>2041</v>
      </c>
      <c r="H523" t="s">
        <v>367</v>
      </c>
      <c r="I523" t="s">
        <v>1132</v>
      </c>
      <c r="J523">
        <v>2022</v>
      </c>
      <c r="K523" t="s">
        <v>158</v>
      </c>
      <c r="L523">
        <v>45061</v>
      </c>
      <c r="N523" t="s">
        <v>65</v>
      </c>
      <c r="O523" t="s">
        <v>2045</v>
      </c>
      <c r="P523" t="s">
        <v>2042</v>
      </c>
    </row>
    <row r="524" spans="1:16" x14ac:dyDescent="0.2">
      <c r="A524" t="s">
        <v>2039</v>
      </c>
      <c r="B524" t="s">
        <v>2046</v>
      </c>
      <c r="C524" t="s">
        <v>59</v>
      </c>
      <c r="D524" t="s">
        <v>167</v>
      </c>
      <c r="F524" t="s">
        <v>2041</v>
      </c>
      <c r="H524" t="s">
        <v>367</v>
      </c>
      <c r="I524" t="s">
        <v>1132</v>
      </c>
      <c r="J524">
        <v>2023</v>
      </c>
      <c r="K524" t="s">
        <v>158</v>
      </c>
      <c r="L524">
        <v>45087</v>
      </c>
      <c r="N524" t="s">
        <v>65</v>
      </c>
      <c r="O524" t="s">
        <v>1380</v>
      </c>
      <c r="P524" t="s">
        <v>2042</v>
      </c>
    </row>
    <row r="525" spans="1:16" x14ac:dyDescent="0.2">
      <c r="A525" t="s">
        <v>2047</v>
      </c>
      <c r="B525" t="s">
        <v>2048</v>
      </c>
      <c r="C525" t="s">
        <v>59</v>
      </c>
      <c r="D525" t="s">
        <v>167</v>
      </c>
      <c r="F525" t="s">
        <v>2049</v>
      </c>
      <c r="H525" t="s">
        <v>2019</v>
      </c>
      <c r="I525" t="s">
        <v>1132</v>
      </c>
      <c r="J525">
        <v>2022</v>
      </c>
      <c r="K525" t="s">
        <v>158</v>
      </c>
      <c r="L525">
        <v>44880</v>
      </c>
      <c r="N525" t="s">
        <v>65</v>
      </c>
      <c r="O525" t="s">
        <v>66</v>
      </c>
      <c r="P525" t="s">
        <v>2050</v>
      </c>
    </row>
    <row r="526" spans="1:16" x14ac:dyDescent="0.2">
      <c r="A526" t="s">
        <v>2051</v>
      </c>
      <c r="B526" t="s">
        <v>2052</v>
      </c>
      <c r="C526" t="s">
        <v>59</v>
      </c>
      <c r="D526" t="s">
        <v>2053</v>
      </c>
      <c r="F526" t="s">
        <v>2054</v>
      </c>
      <c r="H526" t="s">
        <v>418</v>
      </c>
      <c r="I526" t="s">
        <v>1132</v>
      </c>
      <c r="J526">
        <v>2022</v>
      </c>
      <c r="K526" t="s">
        <v>471</v>
      </c>
      <c r="L526">
        <v>44908</v>
      </c>
      <c r="N526" t="s">
        <v>65</v>
      </c>
      <c r="P526" t="s">
        <v>2055</v>
      </c>
    </row>
    <row r="527" spans="1:16" x14ac:dyDescent="0.2">
      <c r="A527" t="s">
        <v>2056</v>
      </c>
      <c r="B527" t="s">
        <v>2057</v>
      </c>
      <c r="C527" t="s">
        <v>59</v>
      </c>
      <c r="D527" t="s">
        <v>167</v>
      </c>
      <c r="F527" t="s">
        <v>936</v>
      </c>
      <c r="H527" t="s">
        <v>117</v>
      </c>
      <c r="I527" t="s">
        <v>1132</v>
      </c>
      <c r="J527">
        <v>2022</v>
      </c>
      <c r="K527" t="s">
        <v>158</v>
      </c>
      <c r="L527">
        <v>44592</v>
      </c>
      <c r="N527" t="s">
        <v>65</v>
      </c>
      <c r="O527" t="s">
        <v>66</v>
      </c>
      <c r="P527" t="s">
        <v>2058</v>
      </c>
    </row>
    <row r="528" spans="1:16" x14ac:dyDescent="0.2">
      <c r="A528" t="s">
        <v>2056</v>
      </c>
      <c r="B528" t="s">
        <v>2059</v>
      </c>
      <c r="C528" t="s">
        <v>59</v>
      </c>
      <c r="D528" t="s">
        <v>167</v>
      </c>
      <c r="F528" t="s">
        <v>936</v>
      </c>
      <c r="H528" t="s">
        <v>117</v>
      </c>
      <c r="I528" t="s">
        <v>1132</v>
      </c>
      <c r="J528">
        <v>2022</v>
      </c>
      <c r="K528" t="s">
        <v>158</v>
      </c>
      <c r="N528" t="s">
        <v>65</v>
      </c>
      <c r="O528" t="s">
        <v>66</v>
      </c>
      <c r="P528" t="s">
        <v>2058</v>
      </c>
    </row>
    <row r="529" spans="1:16" x14ac:dyDescent="0.2">
      <c r="A529" t="s">
        <v>2060</v>
      </c>
      <c r="B529" t="s">
        <v>2061</v>
      </c>
      <c r="C529" t="s">
        <v>59</v>
      </c>
      <c r="D529" t="s">
        <v>386</v>
      </c>
      <c r="E529" t="s">
        <v>270</v>
      </c>
      <c r="F529" t="s">
        <v>1678</v>
      </c>
      <c r="H529" t="s">
        <v>77</v>
      </c>
      <c r="I529" t="s">
        <v>1132</v>
      </c>
      <c r="J529">
        <v>2022</v>
      </c>
      <c r="K529" t="s">
        <v>158</v>
      </c>
      <c r="L529">
        <v>44910</v>
      </c>
      <c r="N529" t="s">
        <v>65</v>
      </c>
      <c r="O529" t="s">
        <v>66</v>
      </c>
      <c r="P529" t="s">
        <v>2062</v>
      </c>
    </row>
    <row r="530" spans="1:16" x14ac:dyDescent="0.2">
      <c r="A530" t="s">
        <v>2063</v>
      </c>
      <c r="B530" t="s">
        <v>2064</v>
      </c>
      <c r="C530" t="s">
        <v>59</v>
      </c>
      <c r="D530" t="s">
        <v>167</v>
      </c>
      <c r="E530" t="s">
        <v>184</v>
      </c>
      <c r="F530" t="s">
        <v>1131</v>
      </c>
      <c r="H530" t="s">
        <v>186</v>
      </c>
      <c r="I530" t="s">
        <v>1132</v>
      </c>
      <c r="J530">
        <v>2022</v>
      </c>
      <c r="K530" t="s">
        <v>471</v>
      </c>
      <c r="L530">
        <v>44721</v>
      </c>
      <c r="N530" t="s">
        <v>65</v>
      </c>
      <c r="P530" t="s">
        <v>2065</v>
      </c>
    </row>
    <row r="531" spans="1:16" x14ac:dyDescent="0.2">
      <c r="A531" t="s">
        <v>2066</v>
      </c>
      <c r="B531" t="s">
        <v>2067</v>
      </c>
      <c r="C531" t="s">
        <v>59</v>
      </c>
      <c r="D531" t="s">
        <v>115</v>
      </c>
      <c r="F531" t="s">
        <v>285</v>
      </c>
      <c r="H531" t="s">
        <v>117</v>
      </c>
      <c r="I531" t="s">
        <v>1132</v>
      </c>
      <c r="J531">
        <v>2022</v>
      </c>
      <c r="K531" t="s">
        <v>64</v>
      </c>
      <c r="L531">
        <v>44875</v>
      </c>
      <c r="N531" t="s">
        <v>65</v>
      </c>
      <c r="P531" t="s">
        <v>2068</v>
      </c>
    </row>
    <row r="532" spans="1:16" x14ac:dyDescent="0.2">
      <c r="A532" t="s">
        <v>2069</v>
      </c>
      <c r="B532" t="s">
        <v>2070</v>
      </c>
      <c r="C532" t="s">
        <v>59</v>
      </c>
      <c r="D532" t="s">
        <v>889</v>
      </c>
      <c r="E532" t="s">
        <v>115</v>
      </c>
      <c r="F532" t="s">
        <v>493</v>
      </c>
      <c r="H532" t="s">
        <v>494</v>
      </c>
      <c r="I532" t="s">
        <v>1132</v>
      </c>
      <c r="J532">
        <v>2022</v>
      </c>
      <c r="K532" t="s">
        <v>471</v>
      </c>
      <c r="L532">
        <v>44901</v>
      </c>
      <c r="N532" t="s">
        <v>65</v>
      </c>
      <c r="P532" t="s">
        <v>2071</v>
      </c>
    </row>
    <row r="533" spans="1:16" x14ac:dyDescent="0.2">
      <c r="A533" t="s">
        <v>2072</v>
      </c>
      <c r="B533" t="s">
        <v>2073</v>
      </c>
      <c r="C533" t="s">
        <v>59</v>
      </c>
      <c r="D533" t="s">
        <v>253</v>
      </c>
      <c r="E533" t="s">
        <v>1037</v>
      </c>
      <c r="F533" t="s">
        <v>476</v>
      </c>
      <c r="H533" t="s">
        <v>409</v>
      </c>
      <c r="I533" t="s">
        <v>1132</v>
      </c>
      <c r="J533">
        <v>2022</v>
      </c>
      <c r="K533" t="s">
        <v>221</v>
      </c>
      <c r="L533">
        <v>44894</v>
      </c>
      <c r="N533" t="s">
        <v>65</v>
      </c>
      <c r="P533" t="s">
        <v>2074</v>
      </c>
    </row>
    <row r="534" spans="1:16" x14ac:dyDescent="0.2">
      <c r="A534" t="s">
        <v>2075</v>
      </c>
      <c r="B534" t="s">
        <v>2076</v>
      </c>
      <c r="C534" t="s">
        <v>59</v>
      </c>
      <c r="D534" t="s">
        <v>82</v>
      </c>
      <c r="F534" t="s">
        <v>1754</v>
      </c>
      <c r="H534" t="s">
        <v>1072</v>
      </c>
      <c r="I534" t="s">
        <v>1132</v>
      </c>
      <c r="J534">
        <v>2022</v>
      </c>
      <c r="K534" t="s">
        <v>64</v>
      </c>
      <c r="L534">
        <v>44834</v>
      </c>
      <c r="N534" t="s">
        <v>65</v>
      </c>
      <c r="P534" t="s">
        <v>2077</v>
      </c>
    </row>
    <row r="535" spans="1:16" x14ac:dyDescent="0.2">
      <c r="A535" t="s">
        <v>2078</v>
      </c>
      <c r="B535" t="s">
        <v>2079</v>
      </c>
      <c r="C535" t="s">
        <v>59</v>
      </c>
      <c r="D535" t="s">
        <v>155</v>
      </c>
      <c r="E535" t="s">
        <v>155</v>
      </c>
      <c r="G535" t="s">
        <v>2080</v>
      </c>
      <c r="H535" t="s">
        <v>157</v>
      </c>
      <c r="I535" t="s">
        <v>1132</v>
      </c>
      <c r="J535">
        <v>2022</v>
      </c>
      <c r="K535" t="s">
        <v>64</v>
      </c>
      <c r="L535">
        <v>44771</v>
      </c>
      <c r="N535" t="s">
        <v>31</v>
      </c>
      <c r="P535" t="s">
        <v>2081</v>
      </c>
    </row>
    <row r="536" spans="1:16" x14ac:dyDescent="0.2">
      <c r="A536" t="s">
        <v>2082</v>
      </c>
      <c r="B536" t="s">
        <v>2083</v>
      </c>
      <c r="C536" t="s">
        <v>59</v>
      </c>
      <c r="D536" t="s">
        <v>253</v>
      </c>
      <c r="F536" t="s">
        <v>2084</v>
      </c>
      <c r="H536" t="s">
        <v>255</v>
      </c>
      <c r="I536" t="s">
        <v>1132</v>
      </c>
      <c r="J536">
        <v>2022</v>
      </c>
      <c r="K536" t="s">
        <v>202</v>
      </c>
      <c r="L536">
        <v>44907</v>
      </c>
      <c r="N536" t="s">
        <v>65</v>
      </c>
      <c r="O536" t="s">
        <v>66</v>
      </c>
      <c r="P536" t="s">
        <v>2085</v>
      </c>
    </row>
    <row r="537" spans="1:16" x14ac:dyDescent="0.2">
      <c r="A537" t="s">
        <v>2086</v>
      </c>
      <c r="B537" t="s">
        <v>2087</v>
      </c>
      <c r="C537" t="s">
        <v>59</v>
      </c>
      <c r="D537" t="s">
        <v>60</v>
      </c>
      <c r="E537" t="s">
        <v>2088</v>
      </c>
      <c r="F537" t="s">
        <v>2089</v>
      </c>
      <c r="H537" t="s">
        <v>2090</v>
      </c>
      <c r="I537" t="s">
        <v>1132</v>
      </c>
      <c r="J537">
        <v>2022</v>
      </c>
      <c r="K537" t="s">
        <v>158</v>
      </c>
      <c r="L537">
        <v>44876</v>
      </c>
      <c r="N537" t="s">
        <v>65</v>
      </c>
      <c r="O537" t="s">
        <v>66</v>
      </c>
      <c r="P537" t="s">
        <v>2091</v>
      </c>
    </row>
    <row r="538" spans="1:16" x14ac:dyDescent="0.2">
      <c r="A538" t="s">
        <v>2092</v>
      </c>
      <c r="B538" t="s">
        <v>2093</v>
      </c>
      <c r="C538" t="s">
        <v>59</v>
      </c>
      <c r="D538" t="s">
        <v>2032</v>
      </c>
      <c r="F538" t="s">
        <v>2094</v>
      </c>
      <c r="G538" t="s">
        <v>2095</v>
      </c>
      <c r="H538" t="s">
        <v>732</v>
      </c>
      <c r="I538" t="s">
        <v>1132</v>
      </c>
      <c r="J538">
        <v>2022</v>
      </c>
      <c r="K538" t="s">
        <v>158</v>
      </c>
      <c r="L538">
        <v>44936</v>
      </c>
      <c r="M538" t="s">
        <v>361</v>
      </c>
      <c r="N538" t="s">
        <v>545</v>
      </c>
      <c r="P538" t="s">
        <v>2096</v>
      </c>
    </row>
    <row r="539" spans="1:16" x14ac:dyDescent="0.2">
      <c r="A539" t="s">
        <v>2097</v>
      </c>
      <c r="B539" t="s">
        <v>2098</v>
      </c>
      <c r="C539" t="s">
        <v>59</v>
      </c>
      <c r="D539" t="s">
        <v>2099</v>
      </c>
      <c r="F539" t="s">
        <v>2037</v>
      </c>
      <c r="H539" t="s">
        <v>129</v>
      </c>
      <c r="I539" t="s">
        <v>1132</v>
      </c>
      <c r="J539">
        <v>2022</v>
      </c>
      <c r="K539" t="s">
        <v>158</v>
      </c>
      <c r="L539">
        <v>44941</v>
      </c>
      <c r="N539" t="s">
        <v>65</v>
      </c>
      <c r="O539" t="s">
        <v>66</v>
      </c>
      <c r="P539" t="s">
        <v>2100</v>
      </c>
    </row>
    <row r="540" spans="1:16" x14ac:dyDescent="0.2">
      <c r="A540" t="s">
        <v>2097</v>
      </c>
      <c r="B540" t="s">
        <v>2101</v>
      </c>
      <c r="C540" t="s">
        <v>59</v>
      </c>
      <c r="D540" t="s">
        <v>2099</v>
      </c>
      <c r="F540" t="s">
        <v>2037</v>
      </c>
      <c r="H540" t="s">
        <v>129</v>
      </c>
      <c r="I540" t="s">
        <v>1132</v>
      </c>
      <c r="J540">
        <v>2022</v>
      </c>
      <c r="K540" t="s">
        <v>158</v>
      </c>
      <c r="L540">
        <v>45092</v>
      </c>
      <c r="N540" t="s">
        <v>65</v>
      </c>
      <c r="O540" t="s">
        <v>66</v>
      </c>
      <c r="P540" t="s">
        <v>2100</v>
      </c>
    </row>
    <row r="541" spans="1:16" x14ac:dyDescent="0.2">
      <c r="A541" t="s">
        <v>2097</v>
      </c>
      <c r="B541" t="s">
        <v>2102</v>
      </c>
      <c r="C541" t="s">
        <v>59</v>
      </c>
      <c r="D541" t="s">
        <v>2099</v>
      </c>
      <c r="F541" t="s">
        <v>2037</v>
      </c>
      <c r="H541" t="s">
        <v>129</v>
      </c>
      <c r="I541" t="s">
        <v>1132</v>
      </c>
      <c r="J541">
        <v>2022</v>
      </c>
      <c r="K541" t="s">
        <v>158</v>
      </c>
      <c r="L541">
        <v>45107</v>
      </c>
      <c r="N541" t="s">
        <v>65</v>
      </c>
      <c r="O541" t="s">
        <v>66</v>
      </c>
      <c r="P541" t="s">
        <v>2100</v>
      </c>
    </row>
    <row r="542" spans="1:16" x14ac:dyDescent="0.2">
      <c r="A542" t="s">
        <v>2103</v>
      </c>
      <c r="B542" t="s">
        <v>2104</v>
      </c>
      <c r="C542" t="s">
        <v>59</v>
      </c>
      <c r="D542" t="s">
        <v>88</v>
      </c>
      <c r="F542" t="s">
        <v>946</v>
      </c>
      <c r="H542" t="s">
        <v>89</v>
      </c>
      <c r="I542" t="s">
        <v>1132</v>
      </c>
      <c r="J542">
        <v>2022</v>
      </c>
      <c r="K542" t="s">
        <v>471</v>
      </c>
      <c r="L542" t="s">
        <v>2105</v>
      </c>
      <c r="M542" t="s">
        <v>1527</v>
      </c>
      <c r="N542" t="s">
        <v>65</v>
      </c>
      <c r="P542" t="s">
        <v>2106</v>
      </c>
    </row>
    <row r="543" spans="1:16" x14ac:dyDescent="0.2">
      <c r="A543" t="s">
        <v>2107</v>
      </c>
      <c r="B543" t="s">
        <v>2108</v>
      </c>
      <c r="C543" t="s">
        <v>59</v>
      </c>
      <c r="D543" t="s">
        <v>1296</v>
      </c>
      <c r="E543" t="s">
        <v>816</v>
      </c>
      <c r="F543" t="s">
        <v>2109</v>
      </c>
      <c r="H543" t="s">
        <v>209</v>
      </c>
      <c r="I543" t="s">
        <v>1132</v>
      </c>
      <c r="J543">
        <v>2022</v>
      </c>
      <c r="K543" t="s">
        <v>471</v>
      </c>
      <c r="L543">
        <v>44936</v>
      </c>
      <c r="N543" t="s">
        <v>65</v>
      </c>
      <c r="P543" t="s">
        <v>2110</v>
      </c>
    </row>
    <row r="544" spans="1:16" x14ac:dyDescent="0.2">
      <c r="A544" t="s">
        <v>2111</v>
      </c>
      <c r="B544" t="s">
        <v>2112</v>
      </c>
      <c r="C544" t="s">
        <v>59</v>
      </c>
      <c r="D544" t="s">
        <v>253</v>
      </c>
      <c r="F544" t="s">
        <v>1535</v>
      </c>
      <c r="G544" t="s">
        <v>2113</v>
      </c>
      <c r="H544" t="s">
        <v>193</v>
      </c>
      <c r="I544" t="s">
        <v>1132</v>
      </c>
      <c r="J544">
        <v>2022</v>
      </c>
      <c r="K544" t="s">
        <v>221</v>
      </c>
      <c r="L544">
        <v>44886</v>
      </c>
      <c r="N544" t="s">
        <v>65</v>
      </c>
      <c r="P544" t="s">
        <v>2114</v>
      </c>
    </row>
    <row r="545" spans="1:16" x14ac:dyDescent="0.2">
      <c r="A545" t="s">
        <v>2111</v>
      </c>
      <c r="B545" t="s">
        <v>2115</v>
      </c>
      <c r="C545" t="s">
        <v>59</v>
      </c>
      <c r="D545" t="s">
        <v>253</v>
      </c>
      <c r="F545" t="s">
        <v>1535</v>
      </c>
      <c r="G545" t="s">
        <v>2116</v>
      </c>
      <c r="H545" t="s">
        <v>193</v>
      </c>
      <c r="I545" t="s">
        <v>1132</v>
      </c>
      <c r="J545">
        <v>2022</v>
      </c>
      <c r="K545" t="s">
        <v>221</v>
      </c>
      <c r="L545">
        <v>44907</v>
      </c>
      <c r="N545" t="s">
        <v>65</v>
      </c>
      <c r="P545" t="s">
        <v>2114</v>
      </c>
    </row>
    <row r="546" spans="1:16" x14ac:dyDescent="0.2">
      <c r="A546" t="s">
        <v>2117</v>
      </c>
      <c r="B546" t="s">
        <v>1531</v>
      </c>
      <c r="C546" t="s">
        <v>59</v>
      </c>
      <c r="D546" t="s">
        <v>2118</v>
      </c>
      <c r="F546" t="s">
        <v>2119</v>
      </c>
      <c r="H546" t="s">
        <v>423</v>
      </c>
      <c r="I546" t="s">
        <v>1132</v>
      </c>
      <c r="J546">
        <v>2022</v>
      </c>
      <c r="K546" t="s">
        <v>221</v>
      </c>
      <c r="M546" t="s">
        <v>2120</v>
      </c>
      <c r="N546" t="s">
        <v>390</v>
      </c>
      <c r="P546" t="s">
        <v>2121</v>
      </c>
    </row>
    <row r="547" spans="1:16" x14ac:dyDescent="0.2">
      <c r="A547" t="s">
        <v>2122</v>
      </c>
      <c r="B547" t="s">
        <v>2123</v>
      </c>
      <c r="C547" t="s">
        <v>59</v>
      </c>
      <c r="D547" t="s">
        <v>167</v>
      </c>
      <c r="F547" t="s">
        <v>2124</v>
      </c>
      <c r="H547" t="s">
        <v>1139</v>
      </c>
      <c r="I547" t="s">
        <v>1132</v>
      </c>
      <c r="J547">
        <v>2022</v>
      </c>
      <c r="K547" t="s">
        <v>64</v>
      </c>
      <c r="L547">
        <v>44957</v>
      </c>
      <c r="N547" t="s">
        <v>65</v>
      </c>
      <c r="P547" t="s">
        <v>2125</v>
      </c>
    </row>
    <row r="548" spans="1:16" x14ac:dyDescent="0.2">
      <c r="A548" t="s">
        <v>2126</v>
      </c>
      <c r="B548" t="s">
        <v>2127</v>
      </c>
      <c r="C548" t="s">
        <v>59</v>
      </c>
      <c r="D548" t="s">
        <v>82</v>
      </c>
      <c r="E548" t="s">
        <v>2037</v>
      </c>
      <c r="F548" t="s">
        <v>2037</v>
      </c>
      <c r="G548" t="s">
        <v>2128</v>
      </c>
      <c r="H548" t="s">
        <v>129</v>
      </c>
      <c r="I548" t="s">
        <v>1132</v>
      </c>
      <c r="J548">
        <v>2022</v>
      </c>
      <c r="K548" t="s">
        <v>64</v>
      </c>
      <c r="L548">
        <v>44985</v>
      </c>
      <c r="N548" t="s">
        <v>65</v>
      </c>
      <c r="P548" t="s">
        <v>2129</v>
      </c>
    </row>
    <row r="549" spans="1:16" x14ac:dyDescent="0.2">
      <c r="A549" t="s">
        <v>2130</v>
      </c>
      <c r="B549" t="s">
        <v>2131</v>
      </c>
      <c r="C549" t="s">
        <v>59</v>
      </c>
      <c r="D549" t="s">
        <v>1296</v>
      </c>
      <c r="E549" t="s">
        <v>270</v>
      </c>
      <c r="F549" t="s">
        <v>2132</v>
      </c>
      <c r="G549" t="s">
        <v>2133</v>
      </c>
      <c r="H549" t="s">
        <v>272</v>
      </c>
      <c r="I549" t="s">
        <v>1132</v>
      </c>
      <c r="J549">
        <v>2022</v>
      </c>
      <c r="K549" t="s">
        <v>64</v>
      </c>
      <c r="N549" t="s">
        <v>65</v>
      </c>
      <c r="P549" t="s">
        <v>2134</v>
      </c>
    </row>
    <row r="550" spans="1:16" x14ac:dyDescent="0.2">
      <c r="A550" t="s">
        <v>2135</v>
      </c>
      <c r="B550" t="s">
        <v>2136</v>
      </c>
      <c r="C550" t="s">
        <v>59</v>
      </c>
      <c r="D550" t="s">
        <v>253</v>
      </c>
      <c r="F550" t="s">
        <v>505</v>
      </c>
      <c r="G550" t="s">
        <v>2137</v>
      </c>
      <c r="H550" t="s">
        <v>134</v>
      </c>
      <c r="I550" t="s">
        <v>1132</v>
      </c>
      <c r="J550">
        <v>2022</v>
      </c>
      <c r="K550" t="s">
        <v>221</v>
      </c>
      <c r="L550">
        <v>45112</v>
      </c>
      <c r="N550" t="s">
        <v>65</v>
      </c>
      <c r="P550" t="s">
        <v>2138</v>
      </c>
    </row>
    <row r="551" spans="1:16" x14ac:dyDescent="0.2">
      <c r="A551" t="s">
        <v>2139</v>
      </c>
      <c r="B551" t="s">
        <v>2140</v>
      </c>
      <c r="C551" t="s">
        <v>59</v>
      </c>
      <c r="D551" t="s">
        <v>1296</v>
      </c>
      <c r="E551" t="s">
        <v>270</v>
      </c>
      <c r="F551" t="s">
        <v>2141</v>
      </c>
      <c r="H551" t="s">
        <v>272</v>
      </c>
      <c r="I551" t="s">
        <v>1132</v>
      </c>
      <c r="J551">
        <v>2022</v>
      </c>
      <c r="K551" t="s">
        <v>221</v>
      </c>
      <c r="L551">
        <v>45026</v>
      </c>
      <c r="N551" t="s">
        <v>65</v>
      </c>
      <c r="P551" t="s">
        <v>2142</v>
      </c>
    </row>
    <row r="552" spans="1:16" x14ac:dyDescent="0.2">
      <c r="A552" t="s">
        <v>2143</v>
      </c>
      <c r="B552" t="s">
        <v>2144</v>
      </c>
      <c r="C552" t="s">
        <v>59</v>
      </c>
      <c r="D552" t="s">
        <v>386</v>
      </c>
      <c r="F552" t="s">
        <v>2145</v>
      </c>
      <c r="H552" t="s">
        <v>255</v>
      </c>
      <c r="I552" t="s">
        <v>1132</v>
      </c>
      <c r="J552">
        <v>2022</v>
      </c>
      <c r="K552" t="s">
        <v>158</v>
      </c>
      <c r="N552" t="s">
        <v>65</v>
      </c>
      <c r="O552" t="s">
        <v>66</v>
      </c>
      <c r="P552" t="s">
        <v>2146</v>
      </c>
    </row>
    <row r="553" spans="1:16" x14ac:dyDescent="0.2">
      <c r="A553" t="s">
        <v>2143</v>
      </c>
      <c r="B553" t="s">
        <v>2147</v>
      </c>
      <c r="C553" t="s">
        <v>59</v>
      </c>
      <c r="D553" t="s">
        <v>386</v>
      </c>
      <c r="F553" t="s">
        <v>2145</v>
      </c>
      <c r="G553" t="s">
        <v>2148</v>
      </c>
      <c r="H553" t="s">
        <v>255</v>
      </c>
      <c r="I553" t="s">
        <v>1132</v>
      </c>
      <c r="J553">
        <v>2022</v>
      </c>
      <c r="K553" t="s">
        <v>158</v>
      </c>
      <c r="L553">
        <v>45212</v>
      </c>
      <c r="N553" t="s">
        <v>71</v>
      </c>
      <c r="P553" t="s">
        <v>2146</v>
      </c>
    </row>
    <row r="554" spans="1:16" x14ac:dyDescent="0.2">
      <c r="A554" t="s">
        <v>2143</v>
      </c>
      <c r="B554" t="s">
        <v>2149</v>
      </c>
      <c r="C554" t="s">
        <v>59</v>
      </c>
      <c r="D554" t="s">
        <v>386</v>
      </c>
      <c r="F554" t="s">
        <v>2145</v>
      </c>
      <c r="G554" t="s">
        <v>2150</v>
      </c>
      <c r="H554" t="s">
        <v>255</v>
      </c>
      <c r="I554" t="s">
        <v>1132</v>
      </c>
      <c r="J554">
        <v>2022</v>
      </c>
      <c r="K554" t="s">
        <v>158</v>
      </c>
      <c r="L554">
        <v>45212</v>
      </c>
      <c r="N554" t="s">
        <v>71</v>
      </c>
      <c r="P554" t="s">
        <v>2146</v>
      </c>
    </row>
    <row r="555" spans="1:16" x14ac:dyDescent="0.2">
      <c r="A555" t="s">
        <v>2143</v>
      </c>
      <c r="B555" t="s">
        <v>2151</v>
      </c>
      <c r="C555" t="s">
        <v>59</v>
      </c>
      <c r="D555" t="s">
        <v>386</v>
      </c>
      <c r="F555" t="s">
        <v>2145</v>
      </c>
      <c r="G555" t="s">
        <v>2152</v>
      </c>
      <c r="H555" t="s">
        <v>255</v>
      </c>
      <c r="I555" t="s">
        <v>1132</v>
      </c>
      <c r="J555">
        <v>2022</v>
      </c>
      <c r="K555" t="s">
        <v>158</v>
      </c>
      <c r="L555">
        <v>45212</v>
      </c>
      <c r="N555" t="s">
        <v>71</v>
      </c>
      <c r="P555" t="s">
        <v>2146</v>
      </c>
    </row>
    <row r="556" spans="1:16" x14ac:dyDescent="0.2">
      <c r="A556" t="s">
        <v>2143</v>
      </c>
      <c r="B556" t="s">
        <v>2153</v>
      </c>
      <c r="C556" t="s">
        <v>59</v>
      </c>
      <c r="D556" t="s">
        <v>386</v>
      </c>
      <c r="F556" t="s">
        <v>2145</v>
      </c>
      <c r="G556" t="s">
        <v>2154</v>
      </c>
      <c r="H556" t="s">
        <v>255</v>
      </c>
      <c r="I556" t="s">
        <v>1132</v>
      </c>
      <c r="J556">
        <v>2024</v>
      </c>
      <c r="K556" t="s">
        <v>221</v>
      </c>
      <c r="L556">
        <v>45390</v>
      </c>
      <c r="N556" t="s">
        <v>71</v>
      </c>
      <c r="P556" t="s">
        <v>2146</v>
      </c>
    </row>
    <row r="557" spans="1:16" x14ac:dyDescent="0.2">
      <c r="A557" t="s">
        <v>2155</v>
      </c>
      <c r="B557" t="s">
        <v>2156</v>
      </c>
      <c r="C557" t="s">
        <v>59</v>
      </c>
      <c r="D557" t="s">
        <v>82</v>
      </c>
      <c r="E557" t="s">
        <v>82</v>
      </c>
      <c r="F557" t="s">
        <v>1701</v>
      </c>
      <c r="G557" t="s">
        <v>2157</v>
      </c>
      <c r="H557" t="s">
        <v>255</v>
      </c>
      <c r="I557" t="s">
        <v>1132</v>
      </c>
      <c r="J557">
        <v>2022</v>
      </c>
      <c r="K557" t="s">
        <v>64</v>
      </c>
      <c r="N557" t="s">
        <v>65</v>
      </c>
      <c r="P557" t="s">
        <v>2158</v>
      </c>
    </row>
    <row r="558" spans="1:16" x14ac:dyDescent="0.2">
      <c r="A558" t="s">
        <v>2159</v>
      </c>
      <c r="B558" t="s">
        <v>2160</v>
      </c>
      <c r="C558" t="s">
        <v>59</v>
      </c>
      <c r="D558" t="s">
        <v>1296</v>
      </c>
      <c r="E558" t="s">
        <v>270</v>
      </c>
      <c r="F558" t="s">
        <v>2161</v>
      </c>
      <c r="H558" t="s">
        <v>554</v>
      </c>
      <c r="I558" t="s">
        <v>1132</v>
      </c>
      <c r="J558">
        <v>2022</v>
      </c>
      <c r="K558" t="s">
        <v>64</v>
      </c>
      <c r="L558">
        <v>44684</v>
      </c>
      <c r="N558" t="s">
        <v>65</v>
      </c>
      <c r="P558" t="s">
        <v>2162</v>
      </c>
    </row>
    <row r="559" spans="1:16" x14ac:dyDescent="0.2">
      <c r="A559" t="s">
        <v>2163</v>
      </c>
      <c r="B559" t="s">
        <v>390</v>
      </c>
      <c r="C559" t="s">
        <v>59</v>
      </c>
      <c r="D559" t="s">
        <v>682</v>
      </c>
      <c r="F559" t="s">
        <v>574</v>
      </c>
      <c r="H559" t="s">
        <v>423</v>
      </c>
      <c r="I559" t="s">
        <v>1132</v>
      </c>
      <c r="J559">
        <v>2023</v>
      </c>
      <c r="K559" t="s">
        <v>31</v>
      </c>
      <c r="N559" t="s">
        <v>31</v>
      </c>
      <c r="P559" t="s">
        <v>2164</v>
      </c>
    </row>
    <row r="560" spans="1:16" x14ac:dyDescent="0.2">
      <c r="A560" t="s">
        <v>2165</v>
      </c>
      <c r="B560" t="s">
        <v>2166</v>
      </c>
      <c r="C560" t="s">
        <v>59</v>
      </c>
      <c r="D560" t="s">
        <v>828</v>
      </c>
      <c r="F560" t="s">
        <v>2167</v>
      </c>
      <c r="H560" t="s">
        <v>255</v>
      </c>
      <c r="I560" t="s">
        <v>1132</v>
      </c>
      <c r="J560">
        <v>2022</v>
      </c>
      <c r="K560" t="s">
        <v>202</v>
      </c>
      <c r="L560">
        <v>45174</v>
      </c>
      <c r="N560" t="s">
        <v>65</v>
      </c>
      <c r="O560" t="s">
        <v>66</v>
      </c>
      <c r="P560" t="s">
        <v>2168</v>
      </c>
    </row>
    <row r="561" spans="1:16" x14ac:dyDescent="0.2">
      <c r="A561" t="s">
        <v>2169</v>
      </c>
      <c r="B561" t="s">
        <v>2170</v>
      </c>
      <c r="C561" t="s">
        <v>59</v>
      </c>
      <c r="D561" t="s">
        <v>2171</v>
      </c>
      <c r="F561" t="s">
        <v>1552</v>
      </c>
      <c r="G561" t="s">
        <v>1552</v>
      </c>
      <c r="H561" t="s">
        <v>157</v>
      </c>
      <c r="I561" t="s">
        <v>1132</v>
      </c>
      <c r="J561">
        <v>2022</v>
      </c>
      <c r="K561" t="s">
        <v>202</v>
      </c>
      <c r="L561">
        <v>45100</v>
      </c>
      <c r="M561" t="s">
        <v>2906</v>
      </c>
      <c r="N561" t="s">
        <v>71</v>
      </c>
      <c r="O561" t="s">
        <v>361</v>
      </c>
      <c r="P561" t="s">
        <v>2172</v>
      </c>
    </row>
    <row r="562" spans="1:16" x14ac:dyDescent="0.2">
      <c r="A562" t="s">
        <v>2169</v>
      </c>
      <c r="B562" t="s">
        <v>2173</v>
      </c>
      <c r="C562" t="s">
        <v>59</v>
      </c>
      <c r="D562" t="s">
        <v>2171</v>
      </c>
      <c r="F562" t="s">
        <v>1552</v>
      </c>
      <c r="G562" t="s">
        <v>2174</v>
      </c>
      <c r="H562" t="s">
        <v>157</v>
      </c>
      <c r="I562" t="s">
        <v>1132</v>
      </c>
      <c r="J562">
        <v>2022</v>
      </c>
      <c r="K562" t="s">
        <v>202</v>
      </c>
      <c r="L562">
        <v>45016</v>
      </c>
      <c r="M562" t="s">
        <v>2906</v>
      </c>
      <c r="N562" t="s">
        <v>71</v>
      </c>
      <c r="O562" t="s">
        <v>361</v>
      </c>
      <c r="P562" t="s">
        <v>2172</v>
      </c>
    </row>
    <row r="563" spans="1:16" x14ac:dyDescent="0.2">
      <c r="A563" t="s">
        <v>2169</v>
      </c>
      <c r="B563" t="s">
        <v>2175</v>
      </c>
      <c r="C563" t="s">
        <v>59</v>
      </c>
      <c r="D563" t="s">
        <v>2171</v>
      </c>
      <c r="F563" t="s">
        <v>1552</v>
      </c>
      <c r="G563" t="s">
        <v>2176</v>
      </c>
      <c r="H563" t="s">
        <v>157</v>
      </c>
      <c r="I563" t="s">
        <v>1132</v>
      </c>
      <c r="J563">
        <v>2022</v>
      </c>
      <c r="K563" t="s">
        <v>202</v>
      </c>
      <c r="L563">
        <v>45100</v>
      </c>
      <c r="N563" t="s">
        <v>65</v>
      </c>
      <c r="O563" t="s">
        <v>66</v>
      </c>
      <c r="P563" t="s">
        <v>2172</v>
      </c>
    </row>
    <row r="564" spans="1:16" x14ac:dyDescent="0.2">
      <c r="A564" t="s">
        <v>2177</v>
      </c>
      <c r="B564" t="s">
        <v>2178</v>
      </c>
      <c r="C564" t="s">
        <v>59</v>
      </c>
      <c r="D564" t="s">
        <v>253</v>
      </c>
      <c r="F564" t="s">
        <v>2179</v>
      </c>
      <c r="G564" t="s">
        <v>2180</v>
      </c>
      <c r="H564" t="s">
        <v>367</v>
      </c>
      <c r="I564" t="s">
        <v>1132</v>
      </c>
      <c r="J564">
        <v>2022</v>
      </c>
      <c r="K564" t="s">
        <v>221</v>
      </c>
      <c r="L564">
        <v>45082</v>
      </c>
      <c r="N564" t="s">
        <v>65</v>
      </c>
      <c r="P564" t="s">
        <v>2181</v>
      </c>
    </row>
    <row r="565" spans="1:16" x14ac:dyDescent="0.2">
      <c r="A565" t="s">
        <v>2182</v>
      </c>
      <c r="B565" t="s">
        <v>2183</v>
      </c>
      <c r="C565" t="s">
        <v>59</v>
      </c>
      <c r="D565" t="s">
        <v>828</v>
      </c>
      <c r="F565" t="s">
        <v>2184</v>
      </c>
      <c r="H565" t="s">
        <v>1786</v>
      </c>
      <c r="I565" t="s">
        <v>1132</v>
      </c>
      <c r="J565">
        <v>2022</v>
      </c>
      <c r="K565" t="s">
        <v>202</v>
      </c>
      <c r="L565">
        <v>45231</v>
      </c>
      <c r="N565" t="s">
        <v>65</v>
      </c>
      <c r="O565" t="s">
        <v>66</v>
      </c>
      <c r="P565" t="s">
        <v>2185</v>
      </c>
    </row>
    <row r="566" spans="1:16" x14ac:dyDescent="0.2">
      <c r="A566" t="s">
        <v>2182</v>
      </c>
      <c r="B566" t="s">
        <v>2186</v>
      </c>
      <c r="C566" t="s">
        <v>59</v>
      </c>
      <c r="D566" t="s">
        <v>828</v>
      </c>
      <c r="F566" t="s">
        <v>2184</v>
      </c>
      <c r="H566" t="s">
        <v>1786</v>
      </c>
      <c r="I566" t="s">
        <v>1132</v>
      </c>
      <c r="J566">
        <v>2022</v>
      </c>
      <c r="K566" t="s">
        <v>202</v>
      </c>
      <c r="L566">
        <v>45049</v>
      </c>
      <c r="N566" t="s">
        <v>65</v>
      </c>
      <c r="O566" t="s">
        <v>66</v>
      </c>
      <c r="P566" t="s">
        <v>2185</v>
      </c>
    </row>
    <row r="567" spans="1:16" x14ac:dyDescent="0.2">
      <c r="A567" t="s">
        <v>2187</v>
      </c>
      <c r="B567" t="s">
        <v>2188</v>
      </c>
      <c r="C567" t="s">
        <v>59</v>
      </c>
      <c r="D567" t="s">
        <v>60</v>
      </c>
      <c r="F567" t="s">
        <v>2189</v>
      </c>
      <c r="H567" t="s">
        <v>129</v>
      </c>
      <c r="I567" t="s">
        <v>1132</v>
      </c>
      <c r="J567">
        <v>2022</v>
      </c>
      <c r="K567" t="s">
        <v>221</v>
      </c>
      <c r="L567">
        <v>45078</v>
      </c>
      <c r="N567" t="s">
        <v>65</v>
      </c>
      <c r="P567" t="s">
        <v>2190</v>
      </c>
    </row>
    <row r="568" spans="1:16" x14ac:dyDescent="0.2">
      <c r="A568" t="s">
        <v>2191</v>
      </c>
      <c r="B568" t="s">
        <v>2192</v>
      </c>
      <c r="C568" t="s">
        <v>59</v>
      </c>
      <c r="D568" t="s">
        <v>167</v>
      </c>
      <c r="E568" t="s">
        <v>1279</v>
      </c>
      <c r="F568" t="s">
        <v>2193</v>
      </c>
      <c r="H568" t="s">
        <v>367</v>
      </c>
      <c r="I568" t="s">
        <v>1132</v>
      </c>
      <c r="J568">
        <v>2022</v>
      </c>
      <c r="K568" t="s">
        <v>158</v>
      </c>
      <c r="L568">
        <v>45006</v>
      </c>
      <c r="N568" t="s">
        <v>65</v>
      </c>
      <c r="O568" t="s">
        <v>66</v>
      </c>
      <c r="P568" t="s">
        <v>2194</v>
      </c>
    </row>
    <row r="569" spans="1:16" x14ac:dyDescent="0.2">
      <c r="A569" t="s">
        <v>2195</v>
      </c>
      <c r="B569" t="s">
        <v>2196</v>
      </c>
      <c r="C569" t="s">
        <v>59</v>
      </c>
      <c r="D569" t="s">
        <v>167</v>
      </c>
      <c r="F569" t="s">
        <v>2197</v>
      </c>
      <c r="H569" t="s">
        <v>77</v>
      </c>
      <c r="I569" t="s">
        <v>1132</v>
      </c>
      <c r="J569">
        <v>2022</v>
      </c>
      <c r="K569" t="s">
        <v>158</v>
      </c>
      <c r="L569" t="s">
        <v>2198</v>
      </c>
      <c r="N569" t="s">
        <v>65</v>
      </c>
      <c r="O569" t="s">
        <v>66</v>
      </c>
      <c r="P569" t="s">
        <v>2199</v>
      </c>
    </row>
    <row r="570" spans="1:16" x14ac:dyDescent="0.2">
      <c r="A570" t="s">
        <v>2200</v>
      </c>
      <c r="B570" t="s">
        <v>2201</v>
      </c>
      <c r="C570" t="s">
        <v>59</v>
      </c>
      <c r="D570" t="s">
        <v>386</v>
      </c>
      <c r="E570" t="s">
        <v>2202</v>
      </c>
      <c r="F570" t="s">
        <v>2203</v>
      </c>
      <c r="H570" t="s">
        <v>255</v>
      </c>
      <c r="I570" t="s">
        <v>1132</v>
      </c>
      <c r="J570">
        <v>2022</v>
      </c>
      <c r="K570" t="s">
        <v>158</v>
      </c>
      <c r="L570">
        <v>45061</v>
      </c>
      <c r="N570" t="s">
        <v>65</v>
      </c>
      <c r="O570" t="s">
        <v>66</v>
      </c>
      <c r="P570" t="s">
        <v>2204</v>
      </c>
    </row>
    <row r="571" spans="1:16" x14ac:dyDescent="0.2">
      <c r="A571" t="s">
        <v>2200</v>
      </c>
      <c r="B571" t="s">
        <v>2205</v>
      </c>
      <c r="C571" t="s">
        <v>59</v>
      </c>
      <c r="D571" t="s">
        <v>386</v>
      </c>
      <c r="E571" t="s">
        <v>2202</v>
      </c>
      <c r="F571" t="s">
        <v>2203</v>
      </c>
      <c r="H571" t="s">
        <v>255</v>
      </c>
      <c r="I571" t="s">
        <v>1132</v>
      </c>
      <c r="J571">
        <v>2023</v>
      </c>
      <c r="K571" t="s">
        <v>158</v>
      </c>
      <c r="L571">
        <v>45107</v>
      </c>
      <c r="N571" t="s">
        <v>65</v>
      </c>
      <c r="O571" t="s">
        <v>66</v>
      </c>
      <c r="P571" t="s">
        <v>2204</v>
      </c>
    </row>
    <row r="572" spans="1:16" x14ac:dyDescent="0.2">
      <c r="A572" t="s">
        <v>2206</v>
      </c>
      <c r="B572" t="s">
        <v>2207</v>
      </c>
      <c r="C572" t="s">
        <v>59</v>
      </c>
      <c r="D572" t="s">
        <v>115</v>
      </c>
      <c r="F572" t="s">
        <v>260</v>
      </c>
      <c r="H572" t="s">
        <v>198</v>
      </c>
      <c r="I572" t="s">
        <v>1132</v>
      </c>
      <c r="J572">
        <v>2022</v>
      </c>
      <c r="K572" t="s">
        <v>221</v>
      </c>
      <c r="L572">
        <v>44718</v>
      </c>
      <c r="N572" t="s">
        <v>65</v>
      </c>
      <c r="P572" t="s">
        <v>2208</v>
      </c>
    </row>
    <row r="573" spans="1:16" x14ac:dyDescent="0.2">
      <c r="A573" t="s">
        <v>2209</v>
      </c>
      <c r="B573" t="s">
        <v>2210</v>
      </c>
      <c r="C573" t="s">
        <v>59</v>
      </c>
      <c r="D573" t="s">
        <v>60</v>
      </c>
      <c r="F573" t="s">
        <v>2211</v>
      </c>
      <c r="H573" t="s">
        <v>2212</v>
      </c>
      <c r="I573" t="s">
        <v>1132</v>
      </c>
      <c r="J573">
        <v>2022</v>
      </c>
      <c r="K573" t="s">
        <v>202</v>
      </c>
      <c r="L573">
        <v>45323</v>
      </c>
      <c r="N573" t="s">
        <v>65</v>
      </c>
      <c r="O573" t="s">
        <v>66</v>
      </c>
      <c r="P573" t="s">
        <v>2213</v>
      </c>
    </row>
    <row r="574" spans="1:16" x14ac:dyDescent="0.2">
      <c r="A574" t="s">
        <v>2209</v>
      </c>
      <c r="B574" t="s">
        <v>2214</v>
      </c>
      <c r="C574" t="s">
        <v>59</v>
      </c>
      <c r="D574" t="s">
        <v>60</v>
      </c>
      <c r="F574" t="s">
        <v>2211</v>
      </c>
      <c r="H574" t="s">
        <v>2212</v>
      </c>
      <c r="I574" t="s">
        <v>1132</v>
      </c>
      <c r="J574">
        <v>2023</v>
      </c>
      <c r="K574" t="s">
        <v>202</v>
      </c>
      <c r="N574" t="s">
        <v>65</v>
      </c>
      <c r="O574" t="s">
        <v>66</v>
      </c>
      <c r="P574" t="s">
        <v>2213</v>
      </c>
    </row>
    <row r="575" spans="1:16" x14ac:dyDescent="0.2">
      <c r="A575" t="s">
        <v>2215</v>
      </c>
      <c r="B575" t="s">
        <v>2216</v>
      </c>
      <c r="C575" t="s">
        <v>59</v>
      </c>
      <c r="D575" t="s">
        <v>2217</v>
      </c>
      <c r="F575" t="s">
        <v>2217</v>
      </c>
      <c r="G575" t="s">
        <v>2218</v>
      </c>
      <c r="H575" t="s">
        <v>77</v>
      </c>
      <c r="I575" t="s">
        <v>1132</v>
      </c>
      <c r="J575">
        <v>2022</v>
      </c>
      <c r="K575" t="s">
        <v>471</v>
      </c>
      <c r="L575">
        <v>45107</v>
      </c>
      <c r="N575" t="s">
        <v>65</v>
      </c>
      <c r="P575" t="s">
        <v>2219</v>
      </c>
    </row>
    <row r="576" spans="1:16" x14ac:dyDescent="0.2">
      <c r="A576" t="s">
        <v>2220</v>
      </c>
      <c r="B576" t="s">
        <v>2221</v>
      </c>
      <c r="C576" t="s">
        <v>59</v>
      </c>
      <c r="D576" t="s">
        <v>115</v>
      </c>
      <c r="F576" t="s">
        <v>1234</v>
      </c>
      <c r="H576" t="s">
        <v>1235</v>
      </c>
      <c r="I576" t="s">
        <v>1132</v>
      </c>
      <c r="J576">
        <v>2023</v>
      </c>
      <c r="K576" t="s">
        <v>221</v>
      </c>
      <c r="L576">
        <v>45107</v>
      </c>
      <c r="N576" t="s">
        <v>65</v>
      </c>
      <c r="P576" t="s">
        <v>2222</v>
      </c>
    </row>
    <row r="577" spans="1:16" x14ac:dyDescent="0.2">
      <c r="A577" t="s">
        <v>2223</v>
      </c>
      <c r="B577" t="s">
        <v>2224</v>
      </c>
      <c r="C577" t="s">
        <v>59</v>
      </c>
      <c r="D577" t="s">
        <v>660</v>
      </c>
      <c r="E577" t="s">
        <v>343</v>
      </c>
      <c r="F577" t="s">
        <v>661</v>
      </c>
      <c r="G577" t="s">
        <v>2225</v>
      </c>
      <c r="H577" t="s">
        <v>77</v>
      </c>
      <c r="I577" t="s">
        <v>1132</v>
      </c>
      <c r="J577">
        <v>2023</v>
      </c>
      <c r="K577" t="s">
        <v>471</v>
      </c>
      <c r="L577">
        <v>45089</v>
      </c>
      <c r="N577" t="s">
        <v>65</v>
      </c>
      <c r="P577" t="s">
        <v>2226</v>
      </c>
    </row>
    <row r="578" spans="1:16" x14ac:dyDescent="0.2">
      <c r="A578" t="s">
        <v>2223</v>
      </c>
      <c r="B578" t="s">
        <v>2227</v>
      </c>
      <c r="C578" t="s">
        <v>59</v>
      </c>
      <c r="D578" t="s">
        <v>660</v>
      </c>
      <c r="E578" t="s">
        <v>343</v>
      </c>
      <c r="F578" t="s">
        <v>661</v>
      </c>
      <c r="G578" t="s">
        <v>2228</v>
      </c>
      <c r="H578" t="s">
        <v>77</v>
      </c>
      <c r="I578" t="s">
        <v>1132</v>
      </c>
      <c r="J578">
        <v>2023</v>
      </c>
      <c r="K578" t="s">
        <v>297</v>
      </c>
      <c r="L578">
        <v>45142</v>
      </c>
      <c r="N578" t="s">
        <v>65</v>
      </c>
      <c r="P578" t="s">
        <v>2226</v>
      </c>
    </row>
    <row r="579" spans="1:16" x14ac:dyDescent="0.2">
      <c r="A579" t="s">
        <v>2229</v>
      </c>
      <c r="B579" t="s">
        <v>2230</v>
      </c>
      <c r="C579" t="s">
        <v>59</v>
      </c>
      <c r="D579" t="s">
        <v>2231</v>
      </c>
      <c r="F579" t="s">
        <v>2232</v>
      </c>
      <c r="H579" t="s">
        <v>255</v>
      </c>
      <c r="I579" t="s">
        <v>1132</v>
      </c>
      <c r="J579">
        <v>2023</v>
      </c>
      <c r="K579" t="s">
        <v>202</v>
      </c>
      <c r="L579">
        <v>45107</v>
      </c>
      <c r="N579" t="s">
        <v>65</v>
      </c>
      <c r="O579" t="s">
        <v>66</v>
      </c>
      <c r="P579" t="s">
        <v>2233</v>
      </c>
    </row>
    <row r="580" spans="1:16" x14ac:dyDescent="0.2">
      <c r="A580" t="s">
        <v>2234</v>
      </c>
      <c r="B580" t="s">
        <v>2235</v>
      </c>
      <c r="C580" t="s">
        <v>59</v>
      </c>
      <c r="D580" t="s">
        <v>498</v>
      </c>
      <c r="F580" t="s">
        <v>499</v>
      </c>
      <c r="G580" t="s">
        <v>2236</v>
      </c>
      <c r="H580" t="s">
        <v>134</v>
      </c>
      <c r="I580" t="s">
        <v>1132</v>
      </c>
      <c r="J580">
        <v>2023</v>
      </c>
      <c r="K580" t="s">
        <v>221</v>
      </c>
      <c r="L580">
        <v>45044</v>
      </c>
      <c r="N580" t="s">
        <v>65</v>
      </c>
      <c r="P580" t="s">
        <v>2237</v>
      </c>
    </row>
    <row r="581" spans="1:16" x14ac:dyDescent="0.2">
      <c r="A581" t="s">
        <v>2238</v>
      </c>
      <c r="B581" t="s">
        <v>2239</v>
      </c>
      <c r="C581" t="s">
        <v>59</v>
      </c>
      <c r="D581" t="s">
        <v>88</v>
      </c>
      <c r="F581" t="s">
        <v>946</v>
      </c>
      <c r="H581" t="s">
        <v>89</v>
      </c>
      <c r="I581" t="s">
        <v>1132</v>
      </c>
      <c r="J581">
        <v>2023</v>
      </c>
      <c r="K581" t="s">
        <v>64</v>
      </c>
      <c r="L581">
        <v>45107</v>
      </c>
      <c r="N581" t="s">
        <v>65</v>
      </c>
      <c r="P581" t="s">
        <v>2240</v>
      </c>
    </row>
    <row r="582" spans="1:16" x14ac:dyDescent="0.2">
      <c r="A582" t="s">
        <v>2238</v>
      </c>
      <c r="B582" t="s">
        <v>2241</v>
      </c>
      <c r="C582" t="s">
        <v>59</v>
      </c>
      <c r="D582" t="s">
        <v>88</v>
      </c>
      <c r="F582" t="s">
        <v>946</v>
      </c>
      <c r="H582" t="s">
        <v>89</v>
      </c>
      <c r="I582" t="s">
        <v>1132</v>
      </c>
      <c r="J582">
        <v>2023</v>
      </c>
      <c r="K582" t="s">
        <v>64</v>
      </c>
      <c r="L582">
        <v>45107</v>
      </c>
      <c r="N582" t="s">
        <v>65</v>
      </c>
      <c r="P582" t="s">
        <v>2240</v>
      </c>
    </row>
    <row r="583" spans="1:16" x14ac:dyDescent="0.2">
      <c r="A583" t="s">
        <v>2242</v>
      </c>
      <c r="B583" t="s">
        <v>2243</v>
      </c>
      <c r="C583" t="s">
        <v>59</v>
      </c>
      <c r="D583" t="s">
        <v>652</v>
      </c>
      <c r="F583" t="s">
        <v>652</v>
      </c>
      <c r="G583" t="s">
        <v>2244</v>
      </c>
      <c r="H583" t="s">
        <v>77</v>
      </c>
      <c r="I583" t="s">
        <v>1132</v>
      </c>
      <c r="J583">
        <v>2023</v>
      </c>
      <c r="K583" t="s">
        <v>221</v>
      </c>
      <c r="L583">
        <v>45047</v>
      </c>
      <c r="N583" t="s">
        <v>65</v>
      </c>
      <c r="P583" t="s">
        <v>2245</v>
      </c>
    </row>
    <row r="584" spans="1:16" x14ac:dyDescent="0.2">
      <c r="A584" t="s">
        <v>2242</v>
      </c>
      <c r="B584" t="s">
        <v>2246</v>
      </c>
      <c r="C584" t="s">
        <v>59</v>
      </c>
      <c r="D584" t="s">
        <v>652</v>
      </c>
      <c r="F584" t="s">
        <v>652</v>
      </c>
      <c r="G584" t="s">
        <v>2247</v>
      </c>
      <c r="H584" t="s">
        <v>77</v>
      </c>
      <c r="I584" t="s">
        <v>1132</v>
      </c>
      <c r="J584">
        <v>2023</v>
      </c>
      <c r="K584" t="s">
        <v>221</v>
      </c>
      <c r="L584">
        <v>45145</v>
      </c>
      <c r="N584" t="s">
        <v>65</v>
      </c>
      <c r="P584" t="s">
        <v>2245</v>
      </c>
    </row>
    <row r="585" spans="1:16" x14ac:dyDescent="0.2">
      <c r="A585" t="s">
        <v>2248</v>
      </c>
      <c r="B585" t="s">
        <v>2249</v>
      </c>
      <c r="C585" t="s">
        <v>59</v>
      </c>
      <c r="D585" t="s">
        <v>102</v>
      </c>
      <c r="F585" t="s">
        <v>248</v>
      </c>
      <c r="G585" t="s">
        <v>1505</v>
      </c>
      <c r="H585" t="s">
        <v>134</v>
      </c>
      <c r="I585" t="s">
        <v>1132</v>
      </c>
      <c r="J585">
        <v>2023</v>
      </c>
      <c r="K585" t="s">
        <v>221</v>
      </c>
      <c r="L585">
        <v>45064</v>
      </c>
      <c r="N585" t="s">
        <v>65</v>
      </c>
      <c r="P585" t="s">
        <v>2250</v>
      </c>
    </row>
    <row r="586" spans="1:16" x14ac:dyDescent="0.2">
      <c r="A586" t="s">
        <v>2251</v>
      </c>
      <c r="B586" t="s">
        <v>2252</v>
      </c>
      <c r="C586" t="s">
        <v>59</v>
      </c>
      <c r="D586" t="s">
        <v>167</v>
      </c>
      <c r="F586" t="s">
        <v>2253</v>
      </c>
      <c r="H586" t="s">
        <v>63</v>
      </c>
      <c r="I586" t="s">
        <v>1132</v>
      </c>
      <c r="J586">
        <v>2023</v>
      </c>
      <c r="K586" t="s">
        <v>202</v>
      </c>
      <c r="L586">
        <v>45198</v>
      </c>
      <c r="N586" t="s">
        <v>65</v>
      </c>
      <c r="O586" t="s">
        <v>66</v>
      </c>
      <c r="P586" t="s">
        <v>2254</v>
      </c>
    </row>
    <row r="587" spans="1:16" x14ac:dyDescent="0.2">
      <c r="A587" t="s">
        <v>2255</v>
      </c>
      <c r="B587" t="s">
        <v>2256</v>
      </c>
      <c r="C587" t="s">
        <v>59</v>
      </c>
      <c r="D587" t="s">
        <v>167</v>
      </c>
      <c r="F587" t="s">
        <v>2037</v>
      </c>
      <c r="G587" t="s">
        <v>2257</v>
      </c>
      <c r="H587" t="s">
        <v>129</v>
      </c>
      <c r="I587" t="s">
        <v>1132</v>
      </c>
      <c r="J587">
        <v>2023</v>
      </c>
      <c r="K587" t="s">
        <v>221</v>
      </c>
      <c r="L587">
        <v>45100</v>
      </c>
      <c r="N587" t="s">
        <v>65</v>
      </c>
      <c r="P587" t="s">
        <v>2258</v>
      </c>
    </row>
    <row r="588" spans="1:16" x14ac:dyDescent="0.2">
      <c r="A588" t="s">
        <v>2259</v>
      </c>
      <c r="B588" t="s">
        <v>2260</v>
      </c>
      <c r="C588" t="s">
        <v>59</v>
      </c>
      <c r="D588" t="s">
        <v>167</v>
      </c>
      <c r="F588" t="s">
        <v>2261</v>
      </c>
      <c r="G588" t="s">
        <v>1601</v>
      </c>
      <c r="H588" t="s">
        <v>423</v>
      </c>
      <c r="I588" t="s">
        <v>1132</v>
      </c>
      <c r="J588">
        <v>2023</v>
      </c>
      <c r="K588" t="s">
        <v>471</v>
      </c>
      <c r="L588">
        <v>45076</v>
      </c>
      <c r="N588" t="s">
        <v>71</v>
      </c>
      <c r="P588" t="s">
        <v>2262</v>
      </c>
    </row>
    <row r="589" spans="1:16" x14ac:dyDescent="0.2">
      <c r="A589" t="s">
        <v>2259</v>
      </c>
      <c r="B589" t="s">
        <v>2263</v>
      </c>
      <c r="C589" t="s">
        <v>59</v>
      </c>
      <c r="D589" t="s">
        <v>167</v>
      </c>
      <c r="F589" t="s">
        <v>2261</v>
      </c>
      <c r="G589" t="s">
        <v>1601</v>
      </c>
      <c r="H589" t="s">
        <v>423</v>
      </c>
      <c r="I589" t="s">
        <v>1132</v>
      </c>
      <c r="J589">
        <v>2023</v>
      </c>
      <c r="K589" t="s">
        <v>471</v>
      </c>
      <c r="L589">
        <v>45076</v>
      </c>
      <c r="N589" t="s">
        <v>545</v>
      </c>
      <c r="P589" t="s">
        <v>2262</v>
      </c>
    </row>
    <row r="590" spans="1:16" x14ac:dyDescent="0.2">
      <c r="A590" t="s">
        <v>2264</v>
      </c>
      <c r="B590" t="s">
        <v>2265</v>
      </c>
      <c r="C590" t="s">
        <v>59</v>
      </c>
      <c r="D590" t="s">
        <v>1296</v>
      </c>
      <c r="E590" t="s">
        <v>115</v>
      </c>
      <c r="F590" t="s">
        <v>2266</v>
      </c>
      <c r="G590" t="s">
        <v>2267</v>
      </c>
      <c r="H590" t="s">
        <v>117</v>
      </c>
      <c r="I590" t="s">
        <v>1132</v>
      </c>
      <c r="J590">
        <v>2023</v>
      </c>
      <c r="K590" t="s">
        <v>158</v>
      </c>
      <c r="L590">
        <v>45072</v>
      </c>
      <c r="N590" t="s">
        <v>71</v>
      </c>
      <c r="P590" t="s">
        <v>2268</v>
      </c>
    </row>
    <row r="591" spans="1:16" x14ac:dyDescent="0.2">
      <c r="A591" t="s">
        <v>2269</v>
      </c>
      <c r="B591" t="s">
        <v>2270</v>
      </c>
      <c r="C591" t="s">
        <v>59</v>
      </c>
      <c r="D591" t="s">
        <v>60</v>
      </c>
      <c r="F591" t="s">
        <v>2271</v>
      </c>
      <c r="H591" t="s">
        <v>2212</v>
      </c>
      <c r="I591" t="s">
        <v>1132</v>
      </c>
      <c r="J591">
        <v>2023</v>
      </c>
      <c r="K591" t="s">
        <v>221</v>
      </c>
      <c r="L591">
        <v>45138</v>
      </c>
      <c r="N591" t="s">
        <v>390</v>
      </c>
      <c r="P591" t="s">
        <v>2272</v>
      </c>
    </row>
    <row r="592" spans="1:16" x14ac:dyDescent="0.2">
      <c r="A592" t="s">
        <v>2273</v>
      </c>
      <c r="B592" t="s">
        <v>2274</v>
      </c>
      <c r="C592" t="s">
        <v>59</v>
      </c>
      <c r="D592" t="s">
        <v>167</v>
      </c>
      <c r="E592" t="s">
        <v>2275</v>
      </c>
      <c r="F592" t="s">
        <v>2276</v>
      </c>
      <c r="H592" t="s">
        <v>901</v>
      </c>
      <c r="I592" t="s">
        <v>1132</v>
      </c>
      <c r="J592">
        <v>2023</v>
      </c>
      <c r="K592" t="s">
        <v>64</v>
      </c>
      <c r="L592">
        <v>45128</v>
      </c>
      <c r="N592" t="s">
        <v>65</v>
      </c>
      <c r="P592" t="s">
        <v>2277</v>
      </c>
    </row>
    <row r="593" spans="1:16" x14ac:dyDescent="0.2">
      <c r="A593" t="s">
        <v>2278</v>
      </c>
      <c r="B593" t="s">
        <v>2279</v>
      </c>
      <c r="C593" t="s">
        <v>59</v>
      </c>
      <c r="D593" t="s">
        <v>82</v>
      </c>
      <c r="E593" t="s">
        <v>253</v>
      </c>
      <c r="F593" t="s">
        <v>539</v>
      </c>
      <c r="G593" t="s">
        <v>2280</v>
      </c>
      <c r="H593" t="s">
        <v>367</v>
      </c>
      <c r="I593" t="s">
        <v>1132</v>
      </c>
      <c r="J593">
        <v>2023</v>
      </c>
      <c r="K593" t="s">
        <v>221</v>
      </c>
      <c r="L593">
        <v>45173</v>
      </c>
      <c r="N593" t="s">
        <v>65</v>
      </c>
      <c r="P593" t="s">
        <v>2281</v>
      </c>
    </row>
    <row r="594" spans="1:16" x14ac:dyDescent="0.2">
      <c r="A594" t="s">
        <v>2282</v>
      </c>
      <c r="B594" t="s">
        <v>2283</v>
      </c>
      <c r="C594" t="s">
        <v>59</v>
      </c>
      <c r="D594" t="s">
        <v>82</v>
      </c>
      <c r="E594" t="s">
        <v>2284</v>
      </c>
      <c r="F594" t="s">
        <v>2284</v>
      </c>
      <c r="H594" t="s">
        <v>489</v>
      </c>
      <c r="I594" t="s">
        <v>1132</v>
      </c>
      <c r="J594">
        <v>2023</v>
      </c>
      <c r="K594" t="s">
        <v>158</v>
      </c>
      <c r="L594">
        <v>45322</v>
      </c>
      <c r="M594" t="s">
        <v>2906</v>
      </c>
      <c r="N594" t="s">
        <v>545</v>
      </c>
      <c r="P594" t="s">
        <v>2285</v>
      </c>
    </row>
    <row r="595" spans="1:16" x14ac:dyDescent="0.2">
      <c r="A595" t="s">
        <v>2286</v>
      </c>
      <c r="B595" t="s">
        <v>2287</v>
      </c>
      <c r="C595" t="s">
        <v>59</v>
      </c>
      <c r="D595" t="s">
        <v>2288</v>
      </c>
      <c r="E595" t="s">
        <v>2275</v>
      </c>
      <c r="F595" t="s">
        <v>2289</v>
      </c>
      <c r="G595" t="s">
        <v>2290</v>
      </c>
      <c r="H595" t="s">
        <v>110</v>
      </c>
      <c r="I595" t="s">
        <v>1132</v>
      </c>
      <c r="J595">
        <v>2023</v>
      </c>
      <c r="K595" t="s">
        <v>64</v>
      </c>
      <c r="L595">
        <v>45107</v>
      </c>
      <c r="N595" t="s">
        <v>65</v>
      </c>
      <c r="P595" t="s">
        <v>2291</v>
      </c>
    </row>
    <row r="596" spans="1:16" x14ac:dyDescent="0.2">
      <c r="A596" t="s">
        <v>2286</v>
      </c>
      <c r="B596" t="s">
        <v>2292</v>
      </c>
      <c r="C596" t="s">
        <v>59</v>
      </c>
      <c r="D596" t="s">
        <v>2288</v>
      </c>
      <c r="E596" t="s">
        <v>2275</v>
      </c>
      <c r="F596" t="s">
        <v>2289</v>
      </c>
      <c r="G596" t="s">
        <v>2293</v>
      </c>
      <c r="H596" t="s">
        <v>110</v>
      </c>
      <c r="I596" t="s">
        <v>1132</v>
      </c>
      <c r="J596">
        <v>2023</v>
      </c>
      <c r="K596" t="s">
        <v>64</v>
      </c>
      <c r="L596">
        <v>45138</v>
      </c>
      <c r="N596" t="s">
        <v>65</v>
      </c>
      <c r="P596" t="s">
        <v>2291</v>
      </c>
    </row>
    <row r="597" spans="1:16" x14ac:dyDescent="0.2">
      <c r="A597" t="s">
        <v>2294</v>
      </c>
      <c r="B597" t="s">
        <v>2295</v>
      </c>
      <c r="C597" t="s">
        <v>59</v>
      </c>
      <c r="D597" t="s">
        <v>167</v>
      </c>
      <c r="F597" t="s">
        <v>366</v>
      </c>
      <c r="H597" t="s">
        <v>134</v>
      </c>
      <c r="I597" t="s">
        <v>1132</v>
      </c>
      <c r="J597">
        <v>2023</v>
      </c>
      <c r="K597" t="s">
        <v>2296</v>
      </c>
      <c r="L597">
        <v>45168</v>
      </c>
      <c r="N597" t="s">
        <v>65</v>
      </c>
      <c r="P597" t="s">
        <v>2297</v>
      </c>
    </row>
    <row r="598" spans="1:16" x14ac:dyDescent="0.2">
      <c r="A598" t="s">
        <v>2298</v>
      </c>
      <c r="B598" t="s">
        <v>2299</v>
      </c>
      <c r="C598" t="s">
        <v>59</v>
      </c>
      <c r="D598" t="s">
        <v>60</v>
      </c>
      <c r="F598" t="s">
        <v>2300</v>
      </c>
      <c r="H598" t="s">
        <v>1965</v>
      </c>
      <c r="I598" t="s">
        <v>1132</v>
      </c>
      <c r="J598">
        <v>2023</v>
      </c>
      <c r="K598" t="s">
        <v>158</v>
      </c>
      <c r="L598">
        <v>45217</v>
      </c>
      <c r="N598" t="s">
        <v>65</v>
      </c>
      <c r="P598" t="s">
        <v>2301</v>
      </c>
    </row>
    <row r="599" spans="1:16" x14ac:dyDescent="0.2">
      <c r="A599" t="s">
        <v>2298</v>
      </c>
      <c r="B599" t="s">
        <v>2302</v>
      </c>
      <c r="C599" t="s">
        <v>59</v>
      </c>
      <c r="D599" t="s">
        <v>60</v>
      </c>
      <c r="F599" t="s">
        <v>2300</v>
      </c>
      <c r="H599" t="s">
        <v>1965</v>
      </c>
      <c r="I599" t="s">
        <v>1132</v>
      </c>
      <c r="J599">
        <v>2023</v>
      </c>
      <c r="K599" t="s">
        <v>158</v>
      </c>
      <c r="L599">
        <v>45217</v>
      </c>
      <c r="N599" t="s">
        <v>65</v>
      </c>
      <c r="P599" t="s">
        <v>2301</v>
      </c>
    </row>
    <row r="600" spans="1:16" x14ac:dyDescent="0.2">
      <c r="A600" t="s">
        <v>2298</v>
      </c>
      <c r="B600" t="s">
        <v>2303</v>
      </c>
      <c r="C600" t="s">
        <v>59</v>
      </c>
      <c r="D600" t="s">
        <v>60</v>
      </c>
      <c r="F600" t="s">
        <v>2300</v>
      </c>
      <c r="H600" t="s">
        <v>1965</v>
      </c>
      <c r="I600" t="s">
        <v>1132</v>
      </c>
      <c r="J600">
        <v>2023</v>
      </c>
      <c r="K600" t="s">
        <v>158</v>
      </c>
      <c r="L600">
        <v>45275</v>
      </c>
      <c r="N600" t="s">
        <v>65</v>
      </c>
      <c r="P600" t="s">
        <v>2301</v>
      </c>
    </row>
    <row r="601" spans="1:16" x14ac:dyDescent="0.2">
      <c r="A601" t="s">
        <v>2304</v>
      </c>
      <c r="B601" t="s">
        <v>2305</v>
      </c>
      <c r="C601" t="s">
        <v>59</v>
      </c>
      <c r="D601" t="s">
        <v>1339</v>
      </c>
      <c r="I601" t="s">
        <v>1132</v>
      </c>
      <c r="K601" t="s">
        <v>221</v>
      </c>
      <c r="L601">
        <v>45205</v>
      </c>
      <c r="N601" t="s">
        <v>65</v>
      </c>
      <c r="P601" t="s">
        <v>2306</v>
      </c>
    </row>
    <row r="602" spans="1:16" x14ac:dyDescent="0.2">
      <c r="A602" t="s">
        <v>2307</v>
      </c>
      <c r="B602" t="s">
        <v>2308</v>
      </c>
      <c r="C602" t="s">
        <v>59</v>
      </c>
      <c r="D602" t="s">
        <v>60</v>
      </c>
      <c r="F602" t="s">
        <v>2309</v>
      </c>
      <c r="G602" t="s">
        <v>2310</v>
      </c>
      <c r="I602" t="s">
        <v>1132</v>
      </c>
      <c r="J602">
        <v>2023</v>
      </c>
      <c r="K602" t="s">
        <v>221</v>
      </c>
      <c r="L602">
        <v>45187</v>
      </c>
      <c r="N602" t="s">
        <v>71</v>
      </c>
      <c r="P602" t="s">
        <v>2311</v>
      </c>
    </row>
    <row r="603" spans="1:16" x14ac:dyDescent="0.2">
      <c r="A603" t="s">
        <v>2312</v>
      </c>
      <c r="B603" t="s">
        <v>2313</v>
      </c>
      <c r="C603" t="s">
        <v>59</v>
      </c>
      <c r="D603" t="s">
        <v>60</v>
      </c>
      <c r="F603" t="s">
        <v>1739</v>
      </c>
      <c r="H603" t="s">
        <v>367</v>
      </c>
      <c r="I603" t="s">
        <v>1132</v>
      </c>
      <c r="J603">
        <v>2023</v>
      </c>
      <c r="K603" t="s">
        <v>202</v>
      </c>
      <c r="L603">
        <v>45169</v>
      </c>
      <c r="N603" t="s">
        <v>65</v>
      </c>
      <c r="O603" t="s">
        <v>66</v>
      </c>
      <c r="P603" t="s">
        <v>2314</v>
      </c>
    </row>
    <row r="604" spans="1:16" x14ac:dyDescent="0.2">
      <c r="A604" t="s">
        <v>2315</v>
      </c>
      <c r="B604" t="s">
        <v>2316</v>
      </c>
      <c r="C604" t="s">
        <v>59</v>
      </c>
      <c r="D604" t="s">
        <v>850</v>
      </c>
      <c r="E604" t="s">
        <v>850</v>
      </c>
      <c r="F604" t="s">
        <v>2317</v>
      </c>
      <c r="G604" t="s">
        <v>2318</v>
      </c>
      <c r="H604" t="s">
        <v>272</v>
      </c>
      <c r="I604" t="s">
        <v>1132</v>
      </c>
      <c r="J604">
        <v>2023</v>
      </c>
      <c r="K604" t="s">
        <v>64</v>
      </c>
      <c r="L604">
        <v>45198</v>
      </c>
      <c r="N604" t="s">
        <v>65</v>
      </c>
      <c r="P604" t="s">
        <v>2319</v>
      </c>
    </row>
    <row r="605" spans="1:16" x14ac:dyDescent="0.2">
      <c r="A605" t="s">
        <v>2320</v>
      </c>
      <c r="B605" t="s">
        <v>2321</v>
      </c>
      <c r="C605" t="s">
        <v>59</v>
      </c>
      <c r="D605" t="s">
        <v>2322</v>
      </c>
      <c r="E605" t="s">
        <v>115</v>
      </c>
      <c r="F605" t="s">
        <v>2323</v>
      </c>
      <c r="G605" t="s">
        <v>2324</v>
      </c>
      <c r="H605" t="s">
        <v>117</v>
      </c>
      <c r="I605" t="s">
        <v>1132</v>
      </c>
      <c r="J605">
        <v>2023</v>
      </c>
      <c r="K605" t="s">
        <v>158</v>
      </c>
      <c r="L605">
        <v>45198</v>
      </c>
      <c r="N605" t="s">
        <v>65</v>
      </c>
      <c r="P605" t="s">
        <v>2325</v>
      </c>
    </row>
    <row r="606" spans="1:16" x14ac:dyDescent="0.2">
      <c r="A606" t="s">
        <v>2326</v>
      </c>
      <c r="B606" t="s">
        <v>2327</v>
      </c>
      <c r="C606" t="s">
        <v>59</v>
      </c>
      <c r="D606" t="s">
        <v>167</v>
      </c>
      <c r="E606" t="s">
        <v>561</v>
      </c>
      <c r="F606" t="s">
        <v>2328</v>
      </c>
      <c r="G606" t="s">
        <v>2329</v>
      </c>
      <c r="H606" t="s">
        <v>117</v>
      </c>
      <c r="I606" t="s">
        <v>1132</v>
      </c>
      <c r="J606">
        <v>2023</v>
      </c>
      <c r="K606" t="s">
        <v>2296</v>
      </c>
      <c r="L606">
        <v>45142</v>
      </c>
      <c r="N606" t="s">
        <v>65</v>
      </c>
      <c r="P606" t="s">
        <v>2330</v>
      </c>
    </row>
    <row r="607" spans="1:16" x14ac:dyDescent="0.2">
      <c r="A607" t="s">
        <v>2331</v>
      </c>
      <c r="B607" t="s">
        <v>2332</v>
      </c>
      <c r="C607" t="s">
        <v>59</v>
      </c>
      <c r="D607" t="s">
        <v>2333</v>
      </c>
      <c r="E607" t="s">
        <v>2334</v>
      </c>
      <c r="F607" t="s">
        <v>2335</v>
      </c>
      <c r="H607" t="s">
        <v>77</v>
      </c>
      <c r="I607" t="s">
        <v>1132</v>
      </c>
      <c r="J607">
        <v>2023</v>
      </c>
      <c r="K607" t="s">
        <v>471</v>
      </c>
      <c r="L607">
        <v>45199</v>
      </c>
      <c r="N607" t="s">
        <v>65</v>
      </c>
      <c r="P607" t="s">
        <v>2336</v>
      </c>
    </row>
    <row r="608" spans="1:16" x14ac:dyDescent="0.2">
      <c r="A608" t="s">
        <v>2331</v>
      </c>
      <c r="B608" t="s">
        <v>2337</v>
      </c>
      <c r="C608" t="s">
        <v>59</v>
      </c>
      <c r="D608" t="s">
        <v>2333</v>
      </c>
      <c r="E608" t="s">
        <v>2334</v>
      </c>
      <c r="F608" t="s">
        <v>2335</v>
      </c>
      <c r="G608" t="s">
        <v>2338</v>
      </c>
      <c r="H608" t="s">
        <v>77</v>
      </c>
      <c r="I608" t="s">
        <v>1132</v>
      </c>
      <c r="J608">
        <v>2023</v>
      </c>
      <c r="K608" t="s">
        <v>471</v>
      </c>
      <c r="L608">
        <v>45229</v>
      </c>
      <c r="N608" t="s">
        <v>65</v>
      </c>
      <c r="P608" t="s">
        <v>2336</v>
      </c>
    </row>
    <row r="609" spans="1:16" x14ac:dyDescent="0.2">
      <c r="A609" t="s">
        <v>2339</v>
      </c>
      <c r="B609" t="s">
        <v>2340</v>
      </c>
      <c r="C609" t="s">
        <v>59</v>
      </c>
      <c r="D609" t="s">
        <v>2341</v>
      </c>
      <c r="E609" t="s">
        <v>2341</v>
      </c>
      <c r="F609" t="s">
        <v>2342</v>
      </c>
      <c r="H609" t="s">
        <v>2343</v>
      </c>
      <c r="I609" t="s">
        <v>1132</v>
      </c>
      <c r="J609">
        <v>2023</v>
      </c>
      <c r="K609" t="s">
        <v>2296</v>
      </c>
      <c r="L609">
        <v>45187</v>
      </c>
      <c r="N609" t="s">
        <v>65</v>
      </c>
      <c r="P609" t="s">
        <v>2344</v>
      </c>
    </row>
    <row r="610" spans="1:16" x14ac:dyDescent="0.2">
      <c r="A610" t="s">
        <v>2345</v>
      </c>
      <c r="B610" t="s">
        <v>2346</v>
      </c>
      <c r="C610" t="s">
        <v>59</v>
      </c>
      <c r="D610" t="s">
        <v>154</v>
      </c>
      <c r="E610" t="s">
        <v>2347</v>
      </c>
      <c r="G610" t="s">
        <v>2348</v>
      </c>
      <c r="H610" t="s">
        <v>2349</v>
      </c>
      <c r="I610" t="s">
        <v>1132</v>
      </c>
      <c r="J610">
        <v>2023</v>
      </c>
      <c r="K610" t="s">
        <v>64</v>
      </c>
      <c r="N610" t="s">
        <v>65</v>
      </c>
      <c r="P610" t="s">
        <v>2350</v>
      </c>
    </row>
    <row r="611" spans="1:16" x14ac:dyDescent="0.2">
      <c r="A611" t="s">
        <v>2345</v>
      </c>
      <c r="B611" t="s">
        <v>2351</v>
      </c>
      <c r="C611" t="s">
        <v>59</v>
      </c>
      <c r="D611" t="s">
        <v>154</v>
      </c>
      <c r="E611" t="s">
        <v>2347</v>
      </c>
      <c r="H611" t="s">
        <v>2349</v>
      </c>
      <c r="I611" t="s">
        <v>1132</v>
      </c>
      <c r="J611">
        <v>2023</v>
      </c>
      <c r="K611" t="s">
        <v>64</v>
      </c>
      <c r="N611" t="s">
        <v>71</v>
      </c>
      <c r="P611" t="s">
        <v>2350</v>
      </c>
    </row>
    <row r="612" spans="1:16" x14ac:dyDescent="0.2">
      <c r="A612" t="s">
        <v>2352</v>
      </c>
      <c r="B612" t="s">
        <v>2353</v>
      </c>
      <c r="C612" t="s">
        <v>59</v>
      </c>
      <c r="D612" t="s">
        <v>561</v>
      </c>
      <c r="F612" t="s">
        <v>2289</v>
      </c>
      <c r="G612" t="s">
        <v>2354</v>
      </c>
      <c r="H612" t="s">
        <v>110</v>
      </c>
      <c r="I612" t="s">
        <v>1132</v>
      </c>
      <c r="J612">
        <v>2023</v>
      </c>
      <c r="K612" t="s">
        <v>221</v>
      </c>
      <c r="L612">
        <v>45223</v>
      </c>
      <c r="N612" t="s">
        <v>71</v>
      </c>
      <c r="P612" t="s">
        <v>2355</v>
      </c>
    </row>
    <row r="613" spans="1:16" x14ac:dyDescent="0.2">
      <c r="A613" t="s">
        <v>2356</v>
      </c>
      <c r="C613" t="s">
        <v>59</v>
      </c>
      <c r="D613" t="s">
        <v>2189</v>
      </c>
      <c r="F613" t="s">
        <v>2357</v>
      </c>
      <c r="G613" t="s">
        <v>2358</v>
      </c>
      <c r="H613" t="s">
        <v>129</v>
      </c>
      <c r="I613" t="s">
        <v>1132</v>
      </c>
      <c r="J613">
        <v>2023</v>
      </c>
      <c r="K613" t="s">
        <v>471</v>
      </c>
      <c r="M613" t="s">
        <v>2359</v>
      </c>
      <c r="N613" t="s">
        <v>65</v>
      </c>
      <c r="P613" t="s">
        <v>2360</v>
      </c>
    </row>
    <row r="614" spans="1:16" x14ac:dyDescent="0.2">
      <c r="A614" t="s">
        <v>2356</v>
      </c>
      <c r="C614" t="s">
        <v>59</v>
      </c>
      <c r="D614" t="s">
        <v>2189</v>
      </c>
      <c r="F614" t="s">
        <v>2357</v>
      </c>
      <c r="G614" t="s">
        <v>2361</v>
      </c>
      <c r="H614" t="s">
        <v>129</v>
      </c>
      <c r="I614" t="s">
        <v>1132</v>
      </c>
      <c r="J614">
        <v>2023</v>
      </c>
      <c r="K614" t="s">
        <v>471</v>
      </c>
      <c r="M614" t="s">
        <v>2359</v>
      </c>
      <c r="N614" t="s">
        <v>65</v>
      </c>
      <c r="P614" t="s">
        <v>2360</v>
      </c>
    </row>
    <row r="615" spans="1:16" x14ac:dyDescent="0.2">
      <c r="A615" t="s">
        <v>2362</v>
      </c>
      <c r="B615" t="s">
        <v>2363</v>
      </c>
      <c r="C615" t="s">
        <v>59</v>
      </c>
      <c r="D615" t="s">
        <v>60</v>
      </c>
      <c r="F615" t="s">
        <v>1739</v>
      </c>
      <c r="H615" t="s">
        <v>367</v>
      </c>
      <c r="I615" t="s">
        <v>1132</v>
      </c>
      <c r="J615">
        <v>2023</v>
      </c>
      <c r="K615" t="s">
        <v>202</v>
      </c>
      <c r="L615">
        <v>45132</v>
      </c>
      <c r="N615" t="s">
        <v>65</v>
      </c>
      <c r="O615" t="s">
        <v>66</v>
      </c>
      <c r="P615" t="s">
        <v>2364</v>
      </c>
    </row>
    <row r="616" spans="1:16" x14ac:dyDescent="0.2">
      <c r="A616" t="s">
        <v>2365</v>
      </c>
      <c r="B616" t="s">
        <v>2366</v>
      </c>
      <c r="C616" t="s">
        <v>59</v>
      </c>
      <c r="D616" t="s">
        <v>828</v>
      </c>
      <c r="F616" t="s">
        <v>2367</v>
      </c>
      <c r="H616" t="s">
        <v>1786</v>
      </c>
      <c r="I616" t="s">
        <v>1132</v>
      </c>
      <c r="J616">
        <v>2023</v>
      </c>
      <c r="K616" t="s">
        <v>202</v>
      </c>
      <c r="L616">
        <v>45497</v>
      </c>
      <c r="N616" t="s">
        <v>65</v>
      </c>
      <c r="O616" t="s">
        <v>66</v>
      </c>
      <c r="P616" t="s">
        <v>2368</v>
      </c>
    </row>
    <row r="617" spans="1:16" x14ac:dyDescent="0.2">
      <c r="A617" t="s">
        <v>2369</v>
      </c>
      <c r="B617" t="s">
        <v>2370</v>
      </c>
      <c r="C617" t="s">
        <v>59</v>
      </c>
      <c r="D617" t="s">
        <v>1067</v>
      </c>
      <c r="E617" t="s">
        <v>1067</v>
      </c>
      <c r="F617" t="s">
        <v>1678</v>
      </c>
      <c r="G617" t="s">
        <v>2371</v>
      </c>
      <c r="H617" t="s">
        <v>77</v>
      </c>
      <c r="I617" t="s">
        <v>1132</v>
      </c>
      <c r="J617">
        <v>2023</v>
      </c>
      <c r="K617" t="s">
        <v>64</v>
      </c>
      <c r="N617" t="s">
        <v>31</v>
      </c>
      <c r="P617" t="s">
        <v>2372</v>
      </c>
    </row>
    <row r="618" spans="1:16" x14ac:dyDescent="0.2">
      <c r="A618" t="s">
        <v>2373</v>
      </c>
      <c r="B618" t="s">
        <v>2374</v>
      </c>
      <c r="C618" t="s">
        <v>59</v>
      </c>
      <c r="D618" t="s">
        <v>82</v>
      </c>
      <c r="E618" t="s">
        <v>2375</v>
      </c>
      <c r="F618" t="s">
        <v>2375</v>
      </c>
      <c r="H618" t="s">
        <v>2019</v>
      </c>
      <c r="I618" t="s">
        <v>1132</v>
      </c>
      <c r="J618">
        <v>2023</v>
      </c>
      <c r="K618" t="s">
        <v>2296</v>
      </c>
      <c r="L618">
        <v>45260</v>
      </c>
      <c r="N618" t="s">
        <v>817</v>
      </c>
      <c r="P618" t="s">
        <v>2376</v>
      </c>
    </row>
    <row r="619" spans="1:16" x14ac:dyDescent="0.2">
      <c r="A619" t="s">
        <v>2377</v>
      </c>
      <c r="B619" t="s">
        <v>2378</v>
      </c>
      <c r="C619" t="s">
        <v>59</v>
      </c>
      <c r="D619" t="s">
        <v>82</v>
      </c>
      <c r="E619" t="s">
        <v>2379</v>
      </c>
      <c r="F619" t="s">
        <v>2379</v>
      </c>
      <c r="H619" t="s">
        <v>732</v>
      </c>
      <c r="I619" t="s">
        <v>1132</v>
      </c>
      <c r="J619">
        <v>2023</v>
      </c>
      <c r="K619" t="s">
        <v>2296</v>
      </c>
      <c r="L619">
        <v>45229</v>
      </c>
      <c r="N619" t="s">
        <v>65</v>
      </c>
      <c r="P619" t="s">
        <v>2380</v>
      </c>
    </row>
    <row r="620" spans="1:16" x14ac:dyDescent="0.2">
      <c r="A620" t="s">
        <v>2381</v>
      </c>
      <c r="B620" t="s">
        <v>2382</v>
      </c>
      <c r="C620" t="s">
        <v>59</v>
      </c>
      <c r="D620" t="s">
        <v>2383</v>
      </c>
      <c r="F620" t="s">
        <v>2384</v>
      </c>
      <c r="H620" t="s">
        <v>255</v>
      </c>
      <c r="I620" t="s">
        <v>1132</v>
      </c>
      <c r="J620">
        <v>2023</v>
      </c>
      <c r="K620" t="s">
        <v>202</v>
      </c>
      <c r="L620">
        <v>45229</v>
      </c>
      <c r="N620" t="s">
        <v>65</v>
      </c>
      <c r="O620" t="s">
        <v>66</v>
      </c>
      <c r="P620" t="s">
        <v>2385</v>
      </c>
    </row>
    <row r="621" spans="1:16" x14ac:dyDescent="0.2">
      <c r="A621" t="s">
        <v>2386</v>
      </c>
      <c r="B621" t="s">
        <v>2387</v>
      </c>
      <c r="C621" t="s">
        <v>59</v>
      </c>
      <c r="D621" t="s">
        <v>253</v>
      </c>
      <c r="F621" t="s">
        <v>2179</v>
      </c>
      <c r="G621" t="s">
        <v>2388</v>
      </c>
      <c r="H621" t="s">
        <v>367</v>
      </c>
      <c r="I621" t="s">
        <v>1132</v>
      </c>
      <c r="J621">
        <v>2023</v>
      </c>
      <c r="K621" t="s">
        <v>221</v>
      </c>
      <c r="L621">
        <v>45198</v>
      </c>
      <c r="N621" t="s">
        <v>65</v>
      </c>
      <c r="P621" t="s">
        <v>2389</v>
      </c>
    </row>
    <row r="622" spans="1:16" x14ac:dyDescent="0.2">
      <c r="A622" t="s">
        <v>2390</v>
      </c>
      <c r="B622" t="s">
        <v>2391</v>
      </c>
      <c r="C622" t="s">
        <v>59</v>
      </c>
      <c r="D622" t="s">
        <v>1296</v>
      </c>
      <c r="E622" t="s">
        <v>115</v>
      </c>
      <c r="F622" t="s">
        <v>2266</v>
      </c>
      <c r="H622" t="s">
        <v>117</v>
      </c>
      <c r="I622" t="s">
        <v>1132</v>
      </c>
      <c r="J622">
        <v>2023</v>
      </c>
      <c r="K622" t="s">
        <v>2296</v>
      </c>
      <c r="N622" t="s">
        <v>65</v>
      </c>
      <c r="P622" t="s">
        <v>2392</v>
      </c>
    </row>
    <row r="623" spans="1:16" x14ac:dyDescent="0.2">
      <c r="A623" t="s">
        <v>2393</v>
      </c>
      <c r="B623" t="s">
        <v>2394</v>
      </c>
      <c r="C623" t="s">
        <v>59</v>
      </c>
      <c r="D623" t="s">
        <v>60</v>
      </c>
      <c r="F623" t="s">
        <v>331</v>
      </c>
      <c r="H623" t="s">
        <v>255</v>
      </c>
      <c r="I623" t="s">
        <v>1132</v>
      </c>
      <c r="J623">
        <v>2023</v>
      </c>
      <c r="K623" t="s">
        <v>202</v>
      </c>
      <c r="L623">
        <v>45251</v>
      </c>
      <c r="N623" t="s">
        <v>65</v>
      </c>
      <c r="O623" t="s">
        <v>66</v>
      </c>
      <c r="P623" t="s">
        <v>2395</v>
      </c>
    </row>
    <row r="624" spans="1:16" x14ac:dyDescent="0.2">
      <c r="A624" t="s">
        <v>2396</v>
      </c>
      <c r="B624" t="s">
        <v>2397</v>
      </c>
      <c r="C624" t="s">
        <v>59</v>
      </c>
      <c r="D624" t="s">
        <v>60</v>
      </c>
      <c r="F624" t="s">
        <v>2398</v>
      </c>
      <c r="H624" t="s">
        <v>1480</v>
      </c>
      <c r="I624" t="s">
        <v>1132</v>
      </c>
      <c r="J624">
        <v>2023</v>
      </c>
      <c r="K624" t="s">
        <v>158</v>
      </c>
      <c r="L624">
        <v>45275</v>
      </c>
      <c r="N624" t="s">
        <v>65</v>
      </c>
      <c r="P624" t="s">
        <v>2399</v>
      </c>
    </row>
    <row r="625" spans="1:16" x14ac:dyDescent="0.2">
      <c r="A625" t="s">
        <v>2400</v>
      </c>
      <c r="B625" t="s">
        <v>2401</v>
      </c>
      <c r="C625" t="s">
        <v>59</v>
      </c>
      <c r="D625" t="s">
        <v>386</v>
      </c>
      <c r="F625" t="s">
        <v>2402</v>
      </c>
      <c r="H625" t="s">
        <v>2403</v>
      </c>
      <c r="I625" t="s">
        <v>1132</v>
      </c>
      <c r="J625">
        <v>2023</v>
      </c>
      <c r="K625" t="s">
        <v>31</v>
      </c>
      <c r="L625">
        <v>45231</v>
      </c>
      <c r="M625" t="s">
        <v>2404</v>
      </c>
      <c r="N625" t="s">
        <v>545</v>
      </c>
      <c r="P625" t="s">
        <v>2405</v>
      </c>
    </row>
    <row r="626" spans="1:16" x14ac:dyDescent="0.2">
      <c r="A626" t="s">
        <v>2406</v>
      </c>
      <c r="B626" t="s">
        <v>2407</v>
      </c>
      <c r="C626" t="s">
        <v>59</v>
      </c>
      <c r="D626" t="s">
        <v>121</v>
      </c>
      <c r="F626" t="s">
        <v>731</v>
      </c>
      <c r="G626" t="s">
        <v>2408</v>
      </c>
      <c r="H626" t="s">
        <v>732</v>
      </c>
      <c r="I626" t="s">
        <v>1132</v>
      </c>
      <c r="J626">
        <v>2023</v>
      </c>
      <c r="K626" t="s">
        <v>2296</v>
      </c>
      <c r="L626">
        <v>45236</v>
      </c>
      <c r="N626" t="s">
        <v>65</v>
      </c>
      <c r="P626" t="s">
        <v>2409</v>
      </c>
    </row>
    <row r="627" spans="1:16" x14ac:dyDescent="0.2">
      <c r="A627" t="s">
        <v>2410</v>
      </c>
      <c r="B627" t="s">
        <v>2411</v>
      </c>
      <c r="C627" t="s">
        <v>59</v>
      </c>
      <c r="D627" t="s">
        <v>386</v>
      </c>
      <c r="F627" t="s">
        <v>1678</v>
      </c>
      <c r="G627" t="s">
        <v>2412</v>
      </c>
      <c r="H627" t="s">
        <v>77</v>
      </c>
      <c r="I627" t="s">
        <v>1132</v>
      </c>
      <c r="J627">
        <v>2023</v>
      </c>
      <c r="K627" t="s">
        <v>221</v>
      </c>
      <c r="L627">
        <v>45212</v>
      </c>
      <c r="N627" t="s">
        <v>65</v>
      </c>
      <c r="P627" t="s">
        <v>2413</v>
      </c>
    </row>
    <row r="628" spans="1:16" x14ac:dyDescent="0.2">
      <c r="A628" t="s">
        <v>2414</v>
      </c>
      <c r="B628" t="s">
        <v>2415</v>
      </c>
      <c r="C628" t="s">
        <v>59</v>
      </c>
      <c r="D628" t="s">
        <v>358</v>
      </c>
      <c r="E628" t="s">
        <v>871</v>
      </c>
      <c r="F628" t="s">
        <v>871</v>
      </c>
      <c r="G628" t="s">
        <v>2416</v>
      </c>
      <c r="H628" t="s">
        <v>77</v>
      </c>
      <c r="I628" t="s">
        <v>1132</v>
      </c>
      <c r="J628">
        <v>2023</v>
      </c>
      <c r="K628" t="s">
        <v>297</v>
      </c>
      <c r="L628">
        <v>45271</v>
      </c>
      <c r="N628" t="s">
        <v>65</v>
      </c>
      <c r="P628" t="s">
        <v>2417</v>
      </c>
    </row>
    <row r="629" spans="1:16" x14ac:dyDescent="0.2">
      <c r="A629" t="s">
        <v>2418</v>
      </c>
      <c r="B629" t="s">
        <v>2419</v>
      </c>
      <c r="C629" t="s">
        <v>59</v>
      </c>
      <c r="D629" t="s">
        <v>2420</v>
      </c>
      <c r="F629" t="s">
        <v>2421</v>
      </c>
      <c r="H629" t="s">
        <v>732</v>
      </c>
      <c r="I629" t="s">
        <v>1132</v>
      </c>
      <c r="J629">
        <v>2023</v>
      </c>
      <c r="K629" t="s">
        <v>158</v>
      </c>
      <c r="L629">
        <v>45260</v>
      </c>
      <c r="N629" t="s">
        <v>65</v>
      </c>
      <c r="P629" t="s">
        <v>2422</v>
      </c>
    </row>
    <row r="630" spans="1:16" x14ac:dyDescent="0.2">
      <c r="A630" t="s">
        <v>2423</v>
      </c>
      <c r="B630" t="s">
        <v>2424</v>
      </c>
      <c r="C630" t="s">
        <v>59</v>
      </c>
      <c r="D630" t="s">
        <v>1296</v>
      </c>
      <c r="E630" t="s">
        <v>115</v>
      </c>
      <c r="F630" t="s">
        <v>2109</v>
      </c>
      <c r="G630" t="s">
        <v>2425</v>
      </c>
      <c r="H630" t="s">
        <v>209</v>
      </c>
      <c r="I630" t="s">
        <v>1132</v>
      </c>
      <c r="J630">
        <v>2023</v>
      </c>
      <c r="K630" t="s">
        <v>471</v>
      </c>
      <c r="L630">
        <v>45259</v>
      </c>
      <c r="N630" t="s">
        <v>65</v>
      </c>
      <c r="P630" t="s">
        <v>2426</v>
      </c>
    </row>
    <row r="631" spans="1:16" x14ac:dyDescent="0.2">
      <c r="A631" t="s">
        <v>2427</v>
      </c>
      <c r="B631" t="s">
        <v>2428</v>
      </c>
      <c r="C631" t="s">
        <v>59</v>
      </c>
      <c r="D631" t="s">
        <v>167</v>
      </c>
      <c r="F631" t="s">
        <v>2429</v>
      </c>
      <c r="G631" t="s">
        <v>2430</v>
      </c>
      <c r="H631" t="s">
        <v>77</v>
      </c>
      <c r="I631" t="s">
        <v>1132</v>
      </c>
      <c r="J631">
        <v>2023</v>
      </c>
      <c r="K631" t="s">
        <v>221</v>
      </c>
      <c r="L631">
        <v>45219</v>
      </c>
      <c r="N631" t="s">
        <v>65</v>
      </c>
      <c r="P631" t="s">
        <v>2431</v>
      </c>
    </row>
    <row r="632" spans="1:16" x14ac:dyDescent="0.2">
      <c r="A632" t="s">
        <v>2432</v>
      </c>
      <c r="B632" t="s">
        <v>2433</v>
      </c>
      <c r="C632" t="s">
        <v>59</v>
      </c>
      <c r="D632" t="s">
        <v>167</v>
      </c>
      <c r="E632" t="s">
        <v>1279</v>
      </c>
      <c r="F632" t="s">
        <v>1931</v>
      </c>
      <c r="G632" t="s">
        <v>2434</v>
      </c>
      <c r="H632" t="s">
        <v>134</v>
      </c>
      <c r="I632" t="s">
        <v>1132</v>
      </c>
      <c r="J632">
        <v>2023</v>
      </c>
      <c r="K632" t="s">
        <v>2296</v>
      </c>
      <c r="L632">
        <v>45046</v>
      </c>
      <c r="N632" t="s">
        <v>65</v>
      </c>
      <c r="P632" t="s">
        <v>2435</v>
      </c>
    </row>
    <row r="633" spans="1:16" x14ac:dyDescent="0.2">
      <c r="A633" t="s">
        <v>2436</v>
      </c>
      <c r="B633" t="s">
        <v>2437</v>
      </c>
      <c r="C633" t="s">
        <v>59</v>
      </c>
      <c r="D633" t="s">
        <v>167</v>
      </c>
      <c r="E633" t="s">
        <v>561</v>
      </c>
      <c r="F633" t="s">
        <v>2328</v>
      </c>
      <c r="H633" t="s">
        <v>117</v>
      </c>
      <c r="I633" t="s">
        <v>1132</v>
      </c>
      <c r="J633">
        <v>2023</v>
      </c>
      <c r="K633" t="s">
        <v>221</v>
      </c>
      <c r="L633">
        <v>45257</v>
      </c>
      <c r="N633" t="s">
        <v>65</v>
      </c>
      <c r="P633" t="s">
        <v>2438</v>
      </c>
    </row>
    <row r="634" spans="1:16" x14ac:dyDescent="0.2">
      <c r="A634" t="s">
        <v>2439</v>
      </c>
      <c r="B634" t="s">
        <v>2440</v>
      </c>
      <c r="C634" t="s">
        <v>59</v>
      </c>
      <c r="D634" t="s">
        <v>2441</v>
      </c>
      <c r="F634" t="s">
        <v>2442</v>
      </c>
      <c r="G634" t="s">
        <v>2443</v>
      </c>
      <c r="H634" t="s">
        <v>2444</v>
      </c>
      <c r="I634" t="s">
        <v>1132</v>
      </c>
      <c r="J634">
        <v>2023</v>
      </c>
      <c r="K634" t="s">
        <v>471</v>
      </c>
      <c r="L634">
        <v>45245</v>
      </c>
      <c r="N634" t="s">
        <v>390</v>
      </c>
      <c r="P634" t="s">
        <v>2445</v>
      </c>
    </row>
    <row r="635" spans="1:16" x14ac:dyDescent="0.2">
      <c r="A635" t="s">
        <v>2446</v>
      </c>
      <c r="B635" t="s">
        <v>2447</v>
      </c>
      <c r="C635" t="s">
        <v>59</v>
      </c>
      <c r="D635" t="s">
        <v>167</v>
      </c>
      <c r="F635" t="s">
        <v>331</v>
      </c>
      <c r="G635" t="s">
        <v>2448</v>
      </c>
      <c r="H635" t="s">
        <v>255</v>
      </c>
      <c r="I635" t="s">
        <v>1132</v>
      </c>
      <c r="J635">
        <v>2023</v>
      </c>
      <c r="K635" t="s">
        <v>64</v>
      </c>
      <c r="L635">
        <v>45366</v>
      </c>
      <c r="M635" t="s">
        <v>1832</v>
      </c>
      <c r="N635" t="s">
        <v>31</v>
      </c>
      <c r="P635" t="s">
        <v>2449</v>
      </c>
    </row>
    <row r="636" spans="1:16" x14ac:dyDescent="0.2">
      <c r="A636" t="s">
        <v>2446</v>
      </c>
      <c r="B636" t="s">
        <v>2450</v>
      </c>
      <c r="C636" t="s">
        <v>59</v>
      </c>
      <c r="D636" t="s">
        <v>167</v>
      </c>
      <c r="F636" t="s">
        <v>331</v>
      </c>
      <c r="G636" t="s">
        <v>2451</v>
      </c>
      <c r="H636" t="s">
        <v>255</v>
      </c>
      <c r="I636" t="s">
        <v>1132</v>
      </c>
      <c r="J636">
        <v>2023</v>
      </c>
      <c r="K636" t="s">
        <v>64</v>
      </c>
      <c r="L636">
        <v>45366</v>
      </c>
      <c r="M636" t="s">
        <v>1832</v>
      </c>
      <c r="N636" t="s">
        <v>31</v>
      </c>
      <c r="P636" t="s">
        <v>2449</v>
      </c>
    </row>
    <row r="637" spans="1:16" x14ac:dyDescent="0.2">
      <c r="A637" t="s">
        <v>2446</v>
      </c>
      <c r="B637" t="s">
        <v>2452</v>
      </c>
      <c r="C637" t="s">
        <v>59</v>
      </c>
      <c r="D637" t="s">
        <v>167</v>
      </c>
      <c r="F637" t="s">
        <v>331</v>
      </c>
      <c r="G637" t="s">
        <v>2453</v>
      </c>
      <c r="H637" t="s">
        <v>255</v>
      </c>
      <c r="I637" t="s">
        <v>1132</v>
      </c>
      <c r="J637">
        <v>2023</v>
      </c>
      <c r="K637" t="s">
        <v>64</v>
      </c>
      <c r="L637">
        <v>45366</v>
      </c>
      <c r="N637" t="s">
        <v>65</v>
      </c>
      <c r="P637" t="s">
        <v>2449</v>
      </c>
    </row>
    <row r="638" spans="1:16" x14ac:dyDescent="0.2">
      <c r="A638" t="s">
        <v>2454</v>
      </c>
      <c r="B638" t="s">
        <v>2346</v>
      </c>
      <c r="C638" t="s">
        <v>59</v>
      </c>
      <c r="D638" t="s">
        <v>154</v>
      </c>
      <c r="E638" t="s">
        <v>2347</v>
      </c>
      <c r="G638" t="s">
        <v>2455</v>
      </c>
      <c r="H638" t="s">
        <v>2349</v>
      </c>
      <c r="I638" t="s">
        <v>1132</v>
      </c>
      <c r="J638">
        <v>2023</v>
      </c>
      <c r="K638" t="s">
        <v>64</v>
      </c>
      <c r="N638" t="s">
        <v>65</v>
      </c>
      <c r="P638" t="s">
        <v>2456</v>
      </c>
    </row>
    <row r="639" spans="1:16" x14ac:dyDescent="0.2">
      <c r="A639" t="s">
        <v>2457</v>
      </c>
      <c r="B639" t="s">
        <v>2458</v>
      </c>
      <c r="C639" t="s">
        <v>59</v>
      </c>
      <c r="D639" t="s">
        <v>102</v>
      </c>
      <c r="I639" t="s">
        <v>1132</v>
      </c>
      <c r="J639">
        <v>2023</v>
      </c>
      <c r="K639" t="s">
        <v>221</v>
      </c>
      <c r="L639">
        <v>45287</v>
      </c>
      <c r="N639" t="s">
        <v>65</v>
      </c>
      <c r="P639" t="s">
        <v>2459</v>
      </c>
    </row>
    <row r="640" spans="1:16" x14ac:dyDescent="0.2">
      <c r="A640" t="s">
        <v>2460</v>
      </c>
      <c r="B640" t="s">
        <v>2461</v>
      </c>
      <c r="C640" t="s">
        <v>59</v>
      </c>
      <c r="D640" t="s">
        <v>253</v>
      </c>
      <c r="F640" t="s">
        <v>1943</v>
      </c>
      <c r="H640" t="s">
        <v>877</v>
      </c>
      <c r="I640" t="s">
        <v>1132</v>
      </c>
      <c r="J640">
        <v>2023</v>
      </c>
      <c r="K640" t="s">
        <v>202</v>
      </c>
      <c r="L640">
        <v>45397</v>
      </c>
      <c r="N640" t="s">
        <v>65</v>
      </c>
      <c r="O640" t="s">
        <v>66</v>
      </c>
      <c r="P640" t="s">
        <v>2462</v>
      </c>
    </row>
    <row r="641" spans="1:16" x14ac:dyDescent="0.2">
      <c r="A641" t="s">
        <v>2463</v>
      </c>
      <c r="B641" t="s">
        <v>2464</v>
      </c>
      <c r="C641" t="s">
        <v>59</v>
      </c>
      <c r="D641" t="s">
        <v>828</v>
      </c>
      <c r="F641" t="s">
        <v>2465</v>
      </c>
      <c r="H641" t="s">
        <v>255</v>
      </c>
      <c r="I641" t="s">
        <v>1132</v>
      </c>
      <c r="J641">
        <v>2024</v>
      </c>
      <c r="K641" t="s">
        <v>202</v>
      </c>
      <c r="L641">
        <v>45489</v>
      </c>
      <c r="N641" t="s">
        <v>65</v>
      </c>
      <c r="O641" t="s">
        <v>66</v>
      </c>
      <c r="P641" t="s">
        <v>2466</v>
      </c>
    </row>
    <row r="642" spans="1:16" x14ac:dyDescent="0.2">
      <c r="A642" t="s">
        <v>2467</v>
      </c>
      <c r="B642" t="s">
        <v>2468</v>
      </c>
      <c r="C642" t="s">
        <v>59</v>
      </c>
      <c r="D642" t="s">
        <v>2469</v>
      </c>
      <c r="F642" t="s">
        <v>2469</v>
      </c>
      <c r="H642" t="s">
        <v>1072</v>
      </c>
      <c r="I642" t="s">
        <v>1132</v>
      </c>
      <c r="J642">
        <v>2023</v>
      </c>
      <c r="K642" t="s">
        <v>158</v>
      </c>
      <c r="L642">
        <v>45366</v>
      </c>
      <c r="N642" t="s">
        <v>390</v>
      </c>
      <c r="P642" t="s">
        <v>2470</v>
      </c>
    </row>
    <row r="643" spans="1:16" x14ac:dyDescent="0.2">
      <c r="A643" t="s">
        <v>2471</v>
      </c>
      <c r="B643" t="s">
        <v>2472</v>
      </c>
      <c r="C643" t="s">
        <v>59</v>
      </c>
      <c r="D643" t="s">
        <v>115</v>
      </c>
      <c r="F643" t="s">
        <v>2323</v>
      </c>
      <c r="H643" t="s">
        <v>117</v>
      </c>
      <c r="I643" t="s">
        <v>1132</v>
      </c>
      <c r="J643">
        <v>2023</v>
      </c>
      <c r="K643" t="s">
        <v>64</v>
      </c>
      <c r="L643">
        <v>45355</v>
      </c>
      <c r="N643" t="s">
        <v>65</v>
      </c>
      <c r="P643" t="s">
        <v>2473</v>
      </c>
    </row>
    <row r="644" spans="1:16" x14ac:dyDescent="0.2">
      <c r="A644" t="s">
        <v>2474</v>
      </c>
      <c r="B644" t="s">
        <v>2475</v>
      </c>
      <c r="C644" t="s">
        <v>59</v>
      </c>
      <c r="D644" t="s">
        <v>82</v>
      </c>
      <c r="F644" t="s">
        <v>331</v>
      </c>
      <c r="G644" t="s">
        <v>2476</v>
      </c>
      <c r="H644" t="s">
        <v>255</v>
      </c>
      <c r="I644" t="s">
        <v>1132</v>
      </c>
      <c r="J644">
        <v>2023</v>
      </c>
      <c r="K644" t="s">
        <v>64</v>
      </c>
      <c r="N644" t="s">
        <v>65</v>
      </c>
      <c r="P644" t="s">
        <v>2477</v>
      </c>
    </row>
    <row r="645" spans="1:16" x14ac:dyDescent="0.2">
      <c r="A645" t="s">
        <v>2478</v>
      </c>
      <c r="B645" t="s">
        <v>2479</v>
      </c>
      <c r="C645" t="s">
        <v>59</v>
      </c>
      <c r="D645" t="s">
        <v>82</v>
      </c>
      <c r="F645" t="s">
        <v>2480</v>
      </c>
      <c r="H645" t="s">
        <v>367</v>
      </c>
      <c r="I645" t="s">
        <v>1132</v>
      </c>
      <c r="J645">
        <v>2023</v>
      </c>
      <c r="K645" t="s">
        <v>202</v>
      </c>
      <c r="L645">
        <v>45366</v>
      </c>
      <c r="N645" t="s">
        <v>65</v>
      </c>
      <c r="O645" t="s">
        <v>66</v>
      </c>
      <c r="P645" t="s">
        <v>2481</v>
      </c>
    </row>
    <row r="646" spans="1:16" x14ac:dyDescent="0.2">
      <c r="A646" t="s">
        <v>2478</v>
      </c>
      <c r="B646" t="s">
        <v>2479</v>
      </c>
      <c r="C646" t="s">
        <v>59</v>
      </c>
      <c r="D646" t="s">
        <v>82</v>
      </c>
      <c r="F646" t="s">
        <v>2480</v>
      </c>
      <c r="H646" t="s">
        <v>367</v>
      </c>
      <c r="I646" t="s">
        <v>1132</v>
      </c>
      <c r="J646">
        <v>2023</v>
      </c>
      <c r="K646" t="s">
        <v>202</v>
      </c>
      <c r="L646">
        <v>45000</v>
      </c>
      <c r="N646" t="s">
        <v>65</v>
      </c>
      <c r="O646" t="s">
        <v>66</v>
      </c>
      <c r="P646" t="s">
        <v>2481</v>
      </c>
    </row>
    <row r="647" spans="1:16" x14ac:dyDescent="0.2">
      <c r="A647" t="s">
        <v>2478</v>
      </c>
      <c r="B647" t="s">
        <v>2482</v>
      </c>
      <c r="C647" t="s">
        <v>59</v>
      </c>
      <c r="D647" t="s">
        <v>82</v>
      </c>
      <c r="F647" t="s">
        <v>2480</v>
      </c>
      <c r="H647" t="s">
        <v>367</v>
      </c>
      <c r="I647" t="s">
        <v>1132</v>
      </c>
      <c r="J647">
        <v>2023</v>
      </c>
      <c r="K647" t="s">
        <v>202</v>
      </c>
      <c r="L647">
        <v>45000</v>
      </c>
      <c r="N647" t="s">
        <v>65</v>
      </c>
      <c r="O647" t="s">
        <v>66</v>
      </c>
      <c r="P647" t="s">
        <v>2481</v>
      </c>
    </row>
    <row r="648" spans="1:16" x14ac:dyDescent="0.2">
      <c r="A648" t="s">
        <v>2478</v>
      </c>
      <c r="B648" t="s">
        <v>2483</v>
      </c>
      <c r="C648" t="s">
        <v>59</v>
      </c>
      <c r="D648" t="s">
        <v>82</v>
      </c>
      <c r="F648" t="s">
        <v>2480</v>
      </c>
      <c r="H648" t="s">
        <v>367</v>
      </c>
      <c r="I648" t="s">
        <v>1132</v>
      </c>
      <c r="J648">
        <v>2024</v>
      </c>
      <c r="K648" t="s">
        <v>202</v>
      </c>
      <c r="L648">
        <v>45562</v>
      </c>
      <c r="N648" t="s">
        <v>65</v>
      </c>
      <c r="O648" t="s">
        <v>66</v>
      </c>
      <c r="P648" t="s">
        <v>2481</v>
      </c>
    </row>
    <row r="649" spans="1:16" x14ac:dyDescent="0.2">
      <c r="A649" t="s">
        <v>2484</v>
      </c>
      <c r="B649" t="s">
        <v>2485</v>
      </c>
      <c r="C649" t="s">
        <v>59</v>
      </c>
      <c r="D649" t="s">
        <v>2486</v>
      </c>
      <c r="F649" t="s">
        <v>2487</v>
      </c>
      <c r="G649" t="s">
        <v>2488</v>
      </c>
      <c r="H649" t="s">
        <v>77</v>
      </c>
      <c r="I649" t="s">
        <v>1132</v>
      </c>
      <c r="J649">
        <v>2023</v>
      </c>
      <c r="K649" t="s">
        <v>471</v>
      </c>
      <c r="L649">
        <v>44985</v>
      </c>
      <c r="N649" t="s">
        <v>65</v>
      </c>
      <c r="P649" t="s">
        <v>2489</v>
      </c>
    </row>
    <row r="650" spans="1:16" x14ac:dyDescent="0.2">
      <c r="A650" t="s">
        <v>2484</v>
      </c>
      <c r="B650" t="s">
        <v>2490</v>
      </c>
      <c r="C650" t="s">
        <v>59</v>
      </c>
      <c r="D650" t="s">
        <v>2486</v>
      </c>
      <c r="F650" t="s">
        <v>2487</v>
      </c>
      <c r="G650" t="s">
        <v>2491</v>
      </c>
      <c r="H650" t="s">
        <v>77</v>
      </c>
      <c r="I650" t="s">
        <v>1132</v>
      </c>
      <c r="J650">
        <v>2024</v>
      </c>
      <c r="K650" t="s">
        <v>471</v>
      </c>
      <c r="L650">
        <v>45580</v>
      </c>
      <c r="N650" t="s">
        <v>65</v>
      </c>
      <c r="P650" t="s">
        <v>2489</v>
      </c>
    </row>
    <row r="651" spans="1:16" x14ac:dyDescent="0.2">
      <c r="A651" t="s">
        <v>2492</v>
      </c>
      <c r="B651" t="s">
        <v>2493</v>
      </c>
      <c r="C651" t="s">
        <v>59</v>
      </c>
      <c r="D651" t="s">
        <v>121</v>
      </c>
      <c r="E651" t="s">
        <v>115</v>
      </c>
      <c r="F651" t="s">
        <v>583</v>
      </c>
      <c r="H651" t="s">
        <v>209</v>
      </c>
      <c r="I651" t="s">
        <v>1132</v>
      </c>
      <c r="J651">
        <v>2023</v>
      </c>
      <c r="K651" t="s">
        <v>221</v>
      </c>
      <c r="L651">
        <v>45313</v>
      </c>
      <c r="N651" t="s">
        <v>65</v>
      </c>
      <c r="P651" t="s">
        <v>2494</v>
      </c>
    </row>
    <row r="652" spans="1:16" x14ac:dyDescent="0.2">
      <c r="A652" t="s">
        <v>2495</v>
      </c>
      <c r="B652" t="s">
        <v>2496</v>
      </c>
      <c r="C652" t="s">
        <v>59</v>
      </c>
      <c r="D652" t="s">
        <v>253</v>
      </c>
      <c r="E652" t="s">
        <v>253</v>
      </c>
      <c r="F652" t="s">
        <v>928</v>
      </c>
      <c r="G652" t="s">
        <v>2497</v>
      </c>
      <c r="H652" t="s">
        <v>186</v>
      </c>
      <c r="I652" t="s">
        <v>1132</v>
      </c>
      <c r="J652">
        <v>2023</v>
      </c>
      <c r="K652" t="s">
        <v>2296</v>
      </c>
      <c r="L652">
        <v>45488</v>
      </c>
      <c r="N652" t="s">
        <v>65</v>
      </c>
      <c r="P652" t="s">
        <v>2498</v>
      </c>
    </row>
    <row r="653" spans="1:16" x14ac:dyDescent="0.2">
      <c r="A653" t="s">
        <v>2499</v>
      </c>
      <c r="B653" t="s">
        <v>2500</v>
      </c>
      <c r="C653" t="s">
        <v>59</v>
      </c>
      <c r="D653" t="s">
        <v>60</v>
      </c>
      <c r="F653" t="s">
        <v>2300</v>
      </c>
      <c r="G653" t="s">
        <v>2501</v>
      </c>
      <c r="H653" t="s">
        <v>1965</v>
      </c>
      <c r="I653" t="s">
        <v>1132</v>
      </c>
      <c r="J653">
        <v>2024</v>
      </c>
      <c r="K653" t="s">
        <v>221</v>
      </c>
      <c r="L653">
        <v>45412</v>
      </c>
      <c r="N653" t="s">
        <v>390</v>
      </c>
      <c r="P653" t="s">
        <v>2502</v>
      </c>
    </row>
    <row r="654" spans="1:16" x14ac:dyDescent="0.2">
      <c r="A654" t="s">
        <v>2499</v>
      </c>
      <c r="B654" t="s">
        <v>2503</v>
      </c>
      <c r="C654" t="s">
        <v>59</v>
      </c>
      <c r="D654" t="s">
        <v>60</v>
      </c>
      <c r="F654" t="s">
        <v>2300</v>
      </c>
      <c r="G654" t="s">
        <v>2504</v>
      </c>
      <c r="H654" t="s">
        <v>1965</v>
      </c>
      <c r="I654" t="s">
        <v>1132</v>
      </c>
      <c r="J654">
        <v>2024</v>
      </c>
      <c r="K654" t="s">
        <v>221</v>
      </c>
      <c r="L654">
        <v>45468</v>
      </c>
      <c r="N654" t="s">
        <v>390</v>
      </c>
      <c r="P654" t="s">
        <v>2502</v>
      </c>
    </row>
    <row r="655" spans="1:16" x14ac:dyDescent="0.2">
      <c r="A655" t="s">
        <v>2505</v>
      </c>
      <c r="B655" t="s">
        <v>2506</v>
      </c>
      <c r="C655" t="s">
        <v>59</v>
      </c>
      <c r="D655" t="s">
        <v>2507</v>
      </c>
      <c r="E655" t="s">
        <v>816</v>
      </c>
      <c r="F655" t="s">
        <v>2109</v>
      </c>
      <c r="G655" t="s">
        <v>2508</v>
      </c>
      <c r="H655" t="s">
        <v>209</v>
      </c>
      <c r="I655" t="s">
        <v>1132</v>
      </c>
      <c r="J655">
        <v>2023</v>
      </c>
      <c r="K655" t="s">
        <v>471</v>
      </c>
      <c r="L655">
        <v>45322</v>
      </c>
      <c r="N655" t="s">
        <v>65</v>
      </c>
      <c r="P655" t="s">
        <v>2509</v>
      </c>
    </row>
    <row r="656" spans="1:16" x14ac:dyDescent="0.2">
      <c r="A656" t="s">
        <v>2510</v>
      </c>
      <c r="B656" t="s">
        <v>2511</v>
      </c>
      <c r="C656" t="s">
        <v>59</v>
      </c>
      <c r="D656" t="s">
        <v>60</v>
      </c>
      <c r="E656" t="s">
        <v>561</v>
      </c>
      <c r="F656" t="s">
        <v>2512</v>
      </c>
      <c r="H656" t="s">
        <v>367</v>
      </c>
      <c r="I656" t="s">
        <v>1132</v>
      </c>
      <c r="J656">
        <v>2023</v>
      </c>
      <c r="K656" t="s">
        <v>2296</v>
      </c>
      <c r="L656">
        <v>45478</v>
      </c>
      <c r="N656" t="s">
        <v>65</v>
      </c>
      <c r="P656" t="s">
        <v>2513</v>
      </c>
    </row>
    <row r="657" spans="1:16" x14ac:dyDescent="0.2">
      <c r="A657" t="s">
        <v>2514</v>
      </c>
      <c r="B657" t="s">
        <v>2515</v>
      </c>
      <c r="C657" t="s">
        <v>59</v>
      </c>
      <c r="D657" t="s">
        <v>60</v>
      </c>
      <c r="F657" t="s">
        <v>2516</v>
      </c>
      <c r="H657" t="s">
        <v>367</v>
      </c>
      <c r="I657" t="s">
        <v>1132</v>
      </c>
      <c r="J657">
        <v>2023</v>
      </c>
      <c r="K657" t="s">
        <v>202</v>
      </c>
      <c r="L657">
        <v>45350</v>
      </c>
      <c r="N657" t="s">
        <v>65</v>
      </c>
      <c r="O657" t="s">
        <v>66</v>
      </c>
      <c r="P657" t="s">
        <v>2517</v>
      </c>
    </row>
    <row r="658" spans="1:16" x14ac:dyDescent="0.2">
      <c r="A658" t="s">
        <v>2518</v>
      </c>
      <c r="B658" t="s">
        <v>2519</v>
      </c>
      <c r="C658" t="s">
        <v>59</v>
      </c>
      <c r="D658" t="s">
        <v>2520</v>
      </c>
      <c r="F658" t="s">
        <v>2521</v>
      </c>
      <c r="H658" t="s">
        <v>129</v>
      </c>
      <c r="I658" t="s">
        <v>129</v>
      </c>
      <c r="J658">
        <v>2023</v>
      </c>
      <c r="K658" t="s">
        <v>471</v>
      </c>
      <c r="L658">
        <v>45412</v>
      </c>
      <c r="N658" t="s">
        <v>2522</v>
      </c>
      <c r="O658" t="s">
        <v>2907</v>
      </c>
      <c r="P658" t="s">
        <v>2523</v>
      </c>
    </row>
    <row r="659" spans="1:16" x14ac:dyDescent="0.2">
      <c r="A659" t="s">
        <v>2524</v>
      </c>
      <c r="B659" t="s">
        <v>2525</v>
      </c>
      <c r="C659" t="s">
        <v>59</v>
      </c>
      <c r="D659" t="s">
        <v>1067</v>
      </c>
      <c r="F659" t="s">
        <v>1297</v>
      </c>
      <c r="G659" t="s">
        <v>2329</v>
      </c>
      <c r="H659" t="s">
        <v>272</v>
      </c>
      <c r="I659" t="s">
        <v>1132</v>
      </c>
      <c r="J659">
        <v>2024</v>
      </c>
      <c r="K659" t="s">
        <v>221</v>
      </c>
      <c r="L659">
        <v>45595</v>
      </c>
      <c r="N659" t="s">
        <v>65</v>
      </c>
      <c r="P659" t="s">
        <v>2526</v>
      </c>
    </row>
    <row r="660" spans="1:16" x14ac:dyDescent="0.2">
      <c r="A660" t="s">
        <v>2527</v>
      </c>
      <c r="B660" t="s">
        <v>2528</v>
      </c>
      <c r="C660" t="s">
        <v>59</v>
      </c>
      <c r="D660" t="s">
        <v>1296</v>
      </c>
      <c r="E660" t="s">
        <v>850</v>
      </c>
      <c r="G660" t="s">
        <v>2529</v>
      </c>
      <c r="H660" t="s">
        <v>272</v>
      </c>
      <c r="I660" t="s">
        <v>1132</v>
      </c>
      <c r="J660">
        <v>2024</v>
      </c>
      <c r="K660" t="s">
        <v>64</v>
      </c>
      <c r="L660">
        <v>45481</v>
      </c>
      <c r="N660" t="s">
        <v>65</v>
      </c>
      <c r="P660" t="s">
        <v>2530</v>
      </c>
    </row>
    <row r="661" spans="1:16" x14ac:dyDescent="0.2">
      <c r="A661" t="s">
        <v>2531</v>
      </c>
      <c r="B661" t="s">
        <v>2532</v>
      </c>
      <c r="C661" t="s">
        <v>59</v>
      </c>
      <c r="D661" t="s">
        <v>154</v>
      </c>
      <c r="E661" t="s">
        <v>2533</v>
      </c>
      <c r="F661" t="s">
        <v>2534</v>
      </c>
      <c r="H661" t="s">
        <v>423</v>
      </c>
      <c r="I661" t="s">
        <v>2535</v>
      </c>
      <c r="J661">
        <v>2024</v>
      </c>
      <c r="K661" t="s">
        <v>2536</v>
      </c>
      <c r="L661">
        <v>45505</v>
      </c>
      <c r="N661" t="s">
        <v>65</v>
      </c>
      <c r="P661" t="s">
        <v>2537</v>
      </c>
    </row>
    <row r="662" spans="1:16" x14ac:dyDescent="0.2">
      <c r="A662" t="s">
        <v>2531</v>
      </c>
      <c r="C662" t="s">
        <v>59</v>
      </c>
      <c r="D662" t="s">
        <v>154</v>
      </c>
      <c r="E662" t="s">
        <v>2533</v>
      </c>
      <c r="F662" t="s">
        <v>2534</v>
      </c>
      <c r="G662" t="s">
        <v>2538</v>
      </c>
      <c r="H662" t="s">
        <v>423</v>
      </c>
      <c r="I662" t="s">
        <v>2535</v>
      </c>
      <c r="J662">
        <v>2024</v>
      </c>
      <c r="K662" t="s">
        <v>2536</v>
      </c>
      <c r="N662" t="s">
        <v>65</v>
      </c>
      <c r="P662" t="s">
        <v>2537</v>
      </c>
    </row>
    <row r="663" spans="1:16" x14ac:dyDescent="0.2">
      <c r="A663" t="s">
        <v>2539</v>
      </c>
      <c r="B663" t="s">
        <v>2540</v>
      </c>
      <c r="C663" t="s">
        <v>59</v>
      </c>
      <c r="D663" t="s">
        <v>1296</v>
      </c>
      <c r="E663" t="s">
        <v>270</v>
      </c>
      <c r="F663" t="s">
        <v>2141</v>
      </c>
      <c r="G663" t="s">
        <v>1340</v>
      </c>
      <c r="H663" t="s">
        <v>272</v>
      </c>
      <c r="I663" t="s">
        <v>1132</v>
      </c>
      <c r="J663">
        <v>2024</v>
      </c>
      <c r="K663" t="s">
        <v>64</v>
      </c>
      <c r="L663">
        <v>45425</v>
      </c>
      <c r="N663" t="s">
        <v>65</v>
      </c>
      <c r="P663" t="s">
        <v>2541</v>
      </c>
    </row>
    <row r="664" spans="1:16" x14ac:dyDescent="0.2">
      <c r="A664" t="s">
        <v>2542</v>
      </c>
      <c r="B664" t="s">
        <v>2543</v>
      </c>
      <c r="C664" t="s">
        <v>59</v>
      </c>
      <c r="D664" t="s">
        <v>828</v>
      </c>
      <c r="F664" t="s">
        <v>2544</v>
      </c>
      <c r="H664" t="s">
        <v>255</v>
      </c>
      <c r="I664" t="s">
        <v>1132</v>
      </c>
      <c r="J664">
        <v>2024</v>
      </c>
      <c r="K664" t="s">
        <v>202</v>
      </c>
      <c r="L664">
        <v>46114</v>
      </c>
      <c r="N664" t="s">
        <v>545</v>
      </c>
      <c r="P664" t="s">
        <v>2545</v>
      </c>
    </row>
    <row r="665" spans="1:16" x14ac:dyDescent="0.2">
      <c r="A665" t="s">
        <v>2546</v>
      </c>
      <c r="B665" t="s">
        <v>2547</v>
      </c>
      <c r="C665" t="s">
        <v>59</v>
      </c>
      <c r="D665" t="s">
        <v>1296</v>
      </c>
      <c r="E665" t="s">
        <v>270</v>
      </c>
      <c r="F665" t="s">
        <v>2548</v>
      </c>
      <c r="H665" t="s">
        <v>272</v>
      </c>
      <c r="I665" t="s">
        <v>1132</v>
      </c>
      <c r="J665">
        <v>2024</v>
      </c>
      <c r="K665" t="s">
        <v>64</v>
      </c>
      <c r="L665">
        <v>45478</v>
      </c>
      <c r="N665" t="s">
        <v>65</v>
      </c>
      <c r="P665" t="s">
        <v>2549</v>
      </c>
    </row>
    <row r="666" spans="1:16" x14ac:dyDescent="0.2">
      <c r="A666" t="s">
        <v>2550</v>
      </c>
      <c r="B666" t="s">
        <v>2551</v>
      </c>
      <c r="C666" t="s">
        <v>59</v>
      </c>
      <c r="D666" t="s">
        <v>253</v>
      </c>
      <c r="F666" t="s">
        <v>254</v>
      </c>
      <c r="H666" t="s">
        <v>255</v>
      </c>
      <c r="I666" t="s">
        <v>1132</v>
      </c>
      <c r="J666">
        <v>2024</v>
      </c>
      <c r="K666" t="s">
        <v>221</v>
      </c>
      <c r="L666">
        <v>45471</v>
      </c>
      <c r="N666" t="s">
        <v>65</v>
      </c>
      <c r="P666" t="s">
        <v>2552</v>
      </c>
    </row>
    <row r="667" spans="1:16" x14ac:dyDescent="0.2">
      <c r="A667" t="s">
        <v>2553</v>
      </c>
      <c r="B667" t="s">
        <v>2554</v>
      </c>
      <c r="C667" t="s">
        <v>59</v>
      </c>
      <c r="D667" t="s">
        <v>2555</v>
      </c>
      <c r="F667" t="s">
        <v>2555</v>
      </c>
      <c r="H667" t="s">
        <v>77</v>
      </c>
      <c r="I667" t="s">
        <v>1132</v>
      </c>
      <c r="J667">
        <v>2024</v>
      </c>
      <c r="K667" t="s">
        <v>471</v>
      </c>
      <c r="L667">
        <v>45488</v>
      </c>
      <c r="N667" t="s">
        <v>65</v>
      </c>
      <c r="P667" t="s">
        <v>2556</v>
      </c>
    </row>
    <row r="668" spans="1:16" x14ac:dyDescent="0.2">
      <c r="A668" t="s">
        <v>2557</v>
      </c>
      <c r="B668" t="s">
        <v>2558</v>
      </c>
      <c r="C668" t="s">
        <v>59</v>
      </c>
      <c r="D668" t="s">
        <v>816</v>
      </c>
      <c r="E668" t="s">
        <v>816</v>
      </c>
      <c r="F668" t="s">
        <v>2323</v>
      </c>
      <c r="G668" t="s">
        <v>2559</v>
      </c>
      <c r="H668" t="s">
        <v>117</v>
      </c>
      <c r="I668" t="s">
        <v>1132</v>
      </c>
      <c r="J668">
        <v>2024</v>
      </c>
      <c r="K668" t="s">
        <v>64</v>
      </c>
      <c r="L668">
        <v>45446</v>
      </c>
      <c r="N668" t="s">
        <v>65</v>
      </c>
      <c r="P668" t="s">
        <v>2560</v>
      </c>
    </row>
    <row r="669" spans="1:16" x14ac:dyDescent="0.2">
      <c r="A669" t="s">
        <v>2561</v>
      </c>
      <c r="B669" t="s">
        <v>2562</v>
      </c>
      <c r="C669" t="s">
        <v>59</v>
      </c>
      <c r="D669" t="s">
        <v>82</v>
      </c>
      <c r="F669" t="s">
        <v>2563</v>
      </c>
      <c r="H669" t="s">
        <v>1019</v>
      </c>
      <c r="I669" t="s">
        <v>1132</v>
      </c>
      <c r="J669">
        <v>2024</v>
      </c>
      <c r="K669" t="s">
        <v>297</v>
      </c>
      <c r="L669">
        <v>45474</v>
      </c>
      <c r="N669" t="s">
        <v>65</v>
      </c>
      <c r="P669" t="s">
        <v>2564</v>
      </c>
    </row>
    <row r="670" spans="1:16" x14ac:dyDescent="0.2">
      <c r="A670" t="s">
        <v>2561</v>
      </c>
      <c r="B670" t="s">
        <v>2565</v>
      </c>
      <c r="C670" t="s">
        <v>59</v>
      </c>
      <c r="D670" t="s">
        <v>82</v>
      </c>
      <c r="F670" t="s">
        <v>2563</v>
      </c>
      <c r="G670" t="s">
        <v>2566</v>
      </c>
      <c r="H670" t="s">
        <v>1019</v>
      </c>
      <c r="I670" t="s">
        <v>1132</v>
      </c>
      <c r="J670">
        <v>2024</v>
      </c>
      <c r="K670" t="s">
        <v>297</v>
      </c>
      <c r="L670">
        <v>45474</v>
      </c>
      <c r="N670" t="s">
        <v>71</v>
      </c>
      <c r="P670" t="s">
        <v>2564</v>
      </c>
    </row>
    <row r="671" spans="1:16" x14ac:dyDescent="0.2">
      <c r="A671" t="s">
        <v>2567</v>
      </c>
      <c r="B671" t="s">
        <v>2568</v>
      </c>
      <c r="C671" t="s">
        <v>59</v>
      </c>
      <c r="D671" t="s">
        <v>154</v>
      </c>
      <c r="E671" t="s">
        <v>2569</v>
      </c>
      <c r="F671" t="s">
        <v>2570</v>
      </c>
      <c r="H671" t="s">
        <v>162</v>
      </c>
      <c r="I671" t="s">
        <v>1132</v>
      </c>
      <c r="J671">
        <v>2024</v>
      </c>
      <c r="K671" t="s">
        <v>31</v>
      </c>
      <c r="N671" t="s">
        <v>390</v>
      </c>
      <c r="P671" t="s">
        <v>2571</v>
      </c>
    </row>
    <row r="672" spans="1:16" x14ac:dyDescent="0.2">
      <c r="A672" t="s">
        <v>2572</v>
      </c>
      <c r="B672" t="s">
        <v>2573</v>
      </c>
      <c r="C672" t="s">
        <v>59</v>
      </c>
      <c r="D672" t="s">
        <v>2574</v>
      </c>
      <c r="E672" t="s">
        <v>2575</v>
      </c>
      <c r="F672" t="s">
        <v>2521</v>
      </c>
      <c r="H672" t="s">
        <v>129</v>
      </c>
      <c r="I672" t="s">
        <v>129</v>
      </c>
      <c r="J672">
        <v>2024</v>
      </c>
      <c r="K672" t="s">
        <v>471</v>
      </c>
      <c r="L672">
        <v>45565</v>
      </c>
      <c r="N672" t="s">
        <v>65</v>
      </c>
      <c r="O672" t="s">
        <v>2908</v>
      </c>
      <c r="P672" t="s">
        <v>2576</v>
      </c>
    </row>
    <row r="673" spans="1:16" x14ac:dyDescent="0.2">
      <c r="A673" t="s">
        <v>2577</v>
      </c>
      <c r="B673" t="s">
        <v>2578</v>
      </c>
      <c r="C673" t="s">
        <v>59</v>
      </c>
      <c r="D673" t="s">
        <v>2520</v>
      </c>
      <c r="F673" t="s">
        <v>2579</v>
      </c>
      <c r="G673" t="s">
        <v>2580</v>
      </c>
      <c r="H673" t="s">
        <v>129</v>
      </c>
      <c r="I673" t="s">
        <v>129</v>
      </c>
      <c r="J673">
        <v>2024</v>
      </c>
      <c r="K673" t="s">
        <v>471</v>
      </c>
      <c r="L673" t="s">
        <v>2581</v>
      </c>
      <c r="N673" t="s">
        <v>390</v>
      </c>
      <c r="O673" t="s">
        <v>2908</v>
      </c>
      <c r="P673" t="s">
        <v>2582</v>
      </c>
    </row>
    <row r="674" spans="1:16" x14ac:dyDescent="0.2">
      <c r="A674" t="s">
        <v>2583</v>
      </c>
      <c r="B674" t="s">
        <v>2584</v>
      </c>
      <c r="C674" t="s">
        <v>59</v>
      </c>
      <c r="D674" t="s">
        <v>2585</v>
      </c>
      <c r="F674" t="s">
        <v>488</v>
      </c>
      <c r="G674" t="s">
        <v>2586</v>
      </c>
      <c r="H674" t="s">
        <v>489</v>
      </c>
      <c r="I674" t="s">
        <v>1132</v>
      </c>
      <c r="J674">
        <v>2024</v>
      </c>
      <c r="K674" t="s">
        <v>64</v>
      </c>
      <c r="N674" t="s">
        <v>65</v>
      </c>
      <c r="P674" t="s">
        <v>2587</v>
      </c>
    </row>
    <row r="675" spans="1:16" x14ac:dyDescent="0.2">
      <c r="A675" t="s">
        <v>2588</v>
      </c>
      <c r="B675" t="s">
        <v>2589</v>
      </c>
      <c r="C675" t="s">
        <v>59</v>
      </c>
      <c r="D675" t="s">
        <v>115</v>
      </c>
      <c r="F675" t="s">
        <v>1910</v>
      </c>
      <c r="G675" t="s">
        <v>2590</v>
      </c>
      <c r="H675" t="s">
        <v>117</v>
      </c>
      <c r="I675" t="s">
        <v>1132</v>
      </c>
      <c r="J675">
        <v>2024</v>
      </c>
      <c r="K675" t="s">
        <v>64</v>
      </c>
      <c r="N675" t="s">
        <v>65</v>
      </c>
      <c r="P675" t="s">
        <v>2591</v>
      </c>
    </row>
    <row r="676" spans="1:16" x14ac:dyDescent="0.2">
      <c r="A676" t="s">
        <v>2592</v>
      </c>
      <c r="B676" t="s">
        <v>2593</v>
      </c>
      <c r="C676" t="s">
        <v>59</v>
      </c>
      <c r="D676" t="s">
        <v>2189</v>
      </c>
      <c r="E676" t="s">
        <v>2594</v>
      </c>
      <c r="F676" t="s">
        <v>2595</v>
      </c>
      <c r="H676" t="s">
        <v>129</v>
      </c>
      <c r="I676" t="s">
        <v>1132</v>
      </c>
      <c r="J676">
        <v>2024</v>
      </c>
      <c r="K676" t="s">
        <v>471</v>
      </c>
      <c r="L676">
        <v>45458</v>
      </c>
      <c r="M676" t="s">
        <v>2359</v>
      </c>
      <c r="N676" t="s">
        <v>65</v>
      </c>
      <c r="P676" t="s">
        <v>2596</v>
      </c>
    </row>
    <row r="677" spans="1:16" x14ac:dyDescent="0.2">
      <c r="A677" t="s">
        <v>2597</v>
      </c>
      <c r="B677" t="s">
        <v>2598</v>
      </c>
      <c r="C677" t="s">
        <v>59</v>
      </c>
      <c r="D677" t="s">
        <v>660</v>
      </c>
      <c r="G677" t="s">
        <v>2599</v>
      </c>
      <c r="H677" t="s">
        <v>77</v>
      </c>
      <c r="I677" t="s">
        <v>1132</v>
      </c>
      <c r="J677">
        <v>2024</v>
      </c>
      <c r="K677" t="s">
        <v>297</v>
      </c>
      <c r="L677">
        <v>45497</v>
      </c>
      <c r="N677" t="s">
        <v>65</v>
      </c>
      <c r="P677" t="s">
        <v>2600</v>
      </c>
    </row>
    <row r="678" spans="1:16" x14ac:dyDescent="0.2">
      <c r="A678" t="s">
        <v>2597</v>
      </c>
      <c r="B678" t="s">
        <v>2601</v>
      </c>
      <c r="C678" t="s">
        <v>59</v>
      </c>
      <c r="D678" t="s">
        <v>660</v>
      </c>
      <c r="G678" t="s">
        <v>2599</v>
      </c>
      <c r="H678" t="s">
        <v>77</v>
      </c>
      <c r="I678" t="s">
        <v>1132</v>
      </c>
      <c r="J678">
        <v>2024</v>
      </c>
      <c r="K678" t="s">
        <v>297</v>
      </c>
      <c r="L678">
        <v>45497</v>
      </c>
      <c r="N678" t="s">
        <v>65</v>
      </c>
      <c r="P678" t="s">
        <v>2600</v>
      </c>
    </row>
    <row r="679" spans="1:16" x14ac:dyDescent="0.2">
      <c r="A679" t="s">
        <v>2597</v>
      </c>
      <c r="B679" t="s">
        <v>2602</v>
      </c>
      <c r="C679" t="s">
        <v>59</v>
      </c>
      <c r="D679" t="s">
        <v>660</v>
      </c>
      <c r="G679" t="s">
        <v>2599</v>
      </c>
      <c r="H679" t="s">
        <v>77</v>
      </c>
      <c r="I679" t="s">
        <v>1132</v>
      </c>
      <c r="J679">
        <v>2024</v>
      </c>
      <c r="K679" t="s">
        <v>297</v>
      </c>
      <c r="L679">
        <v>45628</v>
      </c>
      <c r="N679" t="s">
        <v>65</v>
      </c>
      <c r="P679" t="s">
        <v>2600</v>
      </c>
    </row>
    <row r="680" spans="1:16" x14ac:dyDescent="0.2">
      <c r="A680" t="s">
        <v>2597</v>
      </c>
      <c r="B680" t="s">
        <v>2603</v>
      </c>
      <c r="C680" t="s">
        <v>59</v>
      </c>
      <c r="D680" t="s">
        <v>660</v>
      </c>
      <c r="G680" t="s">
        <v>2604</v>
      </c>
      <c r="H680" t="s">
        <v>77</v>
      </c>
      <c r="I680" t="s">
        <v>1132</v>
      </c>
      <c r="J680">
        <v>2024</v>
      </c>
      <c r="K680" t="s">
        <v>471</v>
      </c>
      <c r="L680">
        <v>45801</v>
      </c>
      <c r="N680" t="s">
        <v>65</v>
      </c>
      <c r="P680" t="s">
        <v>2600</v>
      </c>
    </row>
    <row r="681" spans="1:16" x14ac:dyDescent="0.2">
      <c r="A681" t="s">
        <v>2605</v>
      </c>
      <c r="B681" t="s">
        <v>2606</v>
      </c>
      <c r="C681" t="s">
        <v>59</v>
      </c>
      <c r="D681" t="s">
        <v>386</v>
      </c>
      <c r="E681" t="s">
        <v>2607</v>
      </c>
      <c r="G681" t="s">
        <v>2608</v>
      </c>
      <c r="H681" t="s">
        <v>367</v>
      </c>
      <c r="I681" t="s">
        <v>1132</v>
      </c>
      <c r="J681">
        <v>2024</v>
      </c>
      <c r="K681" t="s">
        <v>2536</v>
      </c>
      <c r="L681">
        <v>45427</v>
      </c>
      <c r="N681" t="s">
        <v>65</v>
      </c>
      <c r="P681" t="s">
        <v>2609</v>
      </c>
    </row>
    <row r="682" spans="1:16" x14ac:dyDescent="0.2">
      <c r="A682" t="s">
        <v>2610</v>
      </c>
      <c r="B682" t="s">
        <v>2611</v>
      </c>
      <c r="C682" t="s">
        <v>59</v>
      </c>
      <c r="D682" t="s">
        <v>358</v>
      </c>
      <c r="E682" t="s">
        <v>652</v>
      </c>
      <c r="G682" t="s">
        <v>2244</v>
      </c>
      <c r="H682" t="s">
        <v>77</v>
      </c>
      <c r="I682" t="s">
        <v>1132</v>
      </c>
      <c r="J682">
        <v>2024</v>
      </c>
      <c r="K682" t="s">
        <v>297</v>
      </c>
      <c r="L682">
        <v>45419</v>
      </c>
      <c r="N682" t="s">
        <v>65</v>
      </c>
      <c r="P682" t="s">
        <v>2612</v>
      </c>
    </row>
    <row r="683" spans="1:16" x14ac:dyDescent="0.2">
      <c r="A683" t="s">
        <v>2613</v>
      </c>
      <c r="B683" t="s">
        <v>2614</v>
      </c>
      <c r="C683" t="s">
        <v>59</v>
      </c>
      <c r="D683" t="s">
        <v>386</v>
      </c>
      <c r="E683" t="s">
        <v>1999</v>
      </c>
      <c r="F683" t="s">
        <v>1999</v>
      </c>
      <c r="G683" t="s">
        <v>2615</v>
      </c>
      <c r="H683" t="s">
        <v>117</v>
      </c>
      <c r="I683" t="s">
        <v>2535</v>
      </c>
      <c r="J683">
        <v>2024</v>
      </c>
      <c r="K683" t="s">
        <v>221</v>
      </c>
      <c r="L683">
        <v>45443</v>
      </c>
      <c r="N683" t="s">
        <v>65</v>
      </c>
      <c r="P683" t="s">
        <v>2616</v>
      </c>
    </row>
    <row r="684" spans="1:16" x14ac:dyDescent="0.2">
      <c r="A684" t="s">
        <v>2617</v>
      </c>
      <c r="B684" t="s">
        <v>2618</v>
      </c>
      <c r="C684" t="s">
        <v>59</v>
      </c>
      <c r="D684" t="s">
        <v>1296</v>
      </c>
      <c r="E684" t="s">
        <v>444</v>
      </c>
      <c r="F684" t="s">
        <v>2619</v>
      </c>
      <c r="G684" t="s">
        <v>765</v>
      </c>
      <c r="H684" t="s">
        <v>272</v>
      </c>
      <c r="I684" t="s">
        <v>1132</v>
      </c>
      <c r="J684">
        <v>2024</v>
      </c>
      <c r="K684" t="s">
        <v>297</v>
      </c>
      <c r="L684">
        <v>45550</v>
      </c>
      <c r="N684" t="s">
        <v>65</v>
      </c>
      <c r="P684" t="s">
        <v>2620</v>
      </c>
    </row>
    <row r="685" spans="1:16" x14ac:dyDescent="0.2">
      <c r="A685" t="s">
        <v>2621</v>
      </c>
      <c r="B685" t="s">
        <v>2622</v>
      </c>
      <c r="C685" t="s">
        <v>59</v>
      </c>
      <c r="D685" t="s">
        <v>115</v>
      </c>
      <c r="E685" t="s">
        <v>115</v>
      </c>
      <c r="F685" t="s">
        <v>2623</v>
      </c>
      <c r="G685" t="s">
        <v>2624</v>
      </c>
      <c r="H685" t="s">
        <v>117</v>
      </c>
      <c r="I685" t="s">
        <v>1132</v>
      </c>
      <c r="J685">
        <v>2024</v>
      </c>
      <c r="K685" t="s">
        <v>64</v>
      </c>
      <c r="N685" t="s">
        <v>65</v>
      </c>
      <c r="P685" t="s">
        <v>2625</v>
      </c>
    </row>
    <row r="686" spans="1:16" x14ac:dyDescent="0.2">
      <c r="A686" t="s">
        <v>2626</v>
      </c>
      <c r="B686" t="s">
        <v>2627</v>
      </c>
      <c r="C686" t="s">
        <v>59</v>
      </c>
      <c r="D686" t="s">
        <v>60</v>
      </c>
      <c r="E686" t="s">
        <v>60</v>
      </c>
      <c r="F686" t="s">
        <v>2628</v>
      </c>
      <c r="H686" t="s">
        <v>149</v>
      </c>
      <c r="I686" t="s">
        <v>1132</v>
      </c>
      <c r="J686">
        <v>2025</v>
      </c>
      <c r="K686" t="s">
        <v>2296</v>
      </c>
      <c r="L686">
        <v>45789</v>
      </c>
      <c r="N686" t="s">
        <v>65</v>
      </c>
      <c r="P686" t="s">
        <v>2629</v>
      </c>
    </row>
    <row r="687" spans="1:16" x14ac:dyDescent="0.2">
      <c r="A687" t="s">
        <v>2630</v>
      </c>
      <c r="B687" t="s">
        <v>2631</v>
      </c>
      <c r="C687" t="s">
        <v>59</v>
      </c>
      <c r="D687" t="s">
        <v>60</v>
      </c>
      <c r="F687" t="s">
        <v>2211</v>
      </c>
      <c r="H687" t="s">
        <v>2212</v>
      </c>
      <c r="I687" t="s">
        <v>1132</v>
      </c>
      <c r="J687">
        <v>2024</v>
      </c>
      <c r="K687" t="s">
        <v>221</v>
      </c>
      <c r="L687">
        <v>45442</v>
      </c>
      <c r="N687" t="s">
        <v>65</v>
      </c>
      <c r="P687" t="s">
        <v>2632</v>
      </c>
    </row>
    <row r="688" spans="1:16" x14ac:dyDescent="0.2">
      <c r="A688" t="s">
        <v>2633</v>
      </c>
      <c r="B688" t="s">
        <v>2637</v>
      </c>
      <c r="C688" t="s">
        <v>59</v>
      </c>
      <c r="D688" t="s">
        <v>167</v>
      </c>
      <c r="E688" t="s">
        <v>2634</v>
      </c>
      <c r="F688" t="s">
        <v>1131</v>
      </c>
      <c r="H688" t="s">
        <v>193</v>
      </c>
      <c r="I688" t="s">
        <v>1132</v>
      </c>
      <c r="J688">
        <v>2024</v>
      </c>
      <c r="K688" t="s">
        <v>221</v>
      </c>
      <c r="L688">
        <v>45432</v>
      </c>
      <c r="N688" t="s">
        <v>65</v>
      </c>
      <c r="P688" t="s">
        <v>2635</v>
      </c>
    </row>
    <row r="689" spans="1:16" x14ac:dyDescent="0.2">
      <c r="A689" t="s">
        <v>2636</v>
      </c>
      <c r="C689" t="s">
        <v>59</v>
      </c>
      <c r="D689" t="s">
        <v>2638</v>
      </c>
      <c r="E689" t="s">
        <v>2638</v>
      </c>
      <c r="F689" t="s">
        <v>2639</v>
      </c>
      <c r="G689" t="s">
        <v>2640</v>
      </c>
      <c r="H689" t="s">
        <v>255</v>
      </c>
      <c r="I689" t="s">
        <v>1132</v>
      </c>
      <c r="J689">
        <v>2024</v>
      </c>
      <c r="K689" t="s">
        <v>221</v>
      </c>
      <c r="L689">
        <v>45442</v>
      </c>
      <c r="N689" t="s">
        <v>65</v>
      </c>
      <c r="P689" t="s">
        <v>2641</v>
      </c>
    </row>
    <row r="690" spans="1:16" x14ac:dyDescent="0.2">
      <c r="A690" t="s">
        <v>2642</v>
      </c>
      <c r="B690" t="s">
        <v>2643</v>
      </c>
      <c r="C690" t="s">
        <v>59</v>
      </c>
      <c r="D690" t="s">
        <v>60</v>
      </c>
      <c r="F690" t="s">
        <v>2644</v>
      </c>
      <c r="H690" t="s">
        <v>1527</v>
      </c>
      <c r="I690" t="s">
        <v>1132</v>
      </c>
      <c r="J690">
        <v>2024</v>
      </c>
      <c r="K690" t="s">
        <v>221</v>
      </c>
      <c r="L690">
        <v>45449</v>
      </c>
      <c r="N690" t="s">
        <v>65</v>
      </c>
      <c r="P690" t="s">
        <v>2645</v>
      </c>
    </row>
    <row r="691" spans="1:16" x14ac:dyDescent="0.2">
      <c r="A691" t="s">
        <v>2646</v>
      </c>
      <c r="B691" t="s">
        <v>2647</v>
      </c>
      <c r="C691" t="s">
        <v>59</v>
      </c>
      <c r="D691" t="s">
        <v>253</v>
      </c>
      <c r="E691" t="s">
        <v>253</v>
      </c>
      <c r="F691" t="s">
        <v>928</v>
      </c>
      <c r="G691" t="s">
        <v>2648</v>
      </c>
      <c r="H691" t="s">
        <v>186</v>
      </c>
      <c r="I691" t="s">
        <v>1132</v>
      </c>
      <c r="J691">
        <v>2024</v>
      </c>
      <c r="K691" t="s">
        <v>2296</v>
      </c>
      <c r="L691">
        <v>45376</v>
      </c>
      <c r="N691" t="s">
        <v>71</v>
      </c>
      <c r="P691" t="s">
        <v>2649</v>
      </c>
    </row>
    <row r="692" spans="1:16" x14ac:dyDescent="0.2">
      <c r="A692" t="s">
        <v>2650</v>
      </c>
      <c r="B692" t="s">
        <v>2651</v>
      </c>
      <c r="C692" t="s">
        <v>59</v>
      </c>
      <c r="D692" t="s">
        <v>1279</v>
      </c>
      <c r="E692" t="s">
        <v>1279</v>
      </c>
      <c r="F692" t="s">
        <v>1931</v>
      </c>
      <c r="G692" t="s">
        <v>2652</v>
      </c>
      <c r="H692" t="s">
        <v>134</v>
      </c>
      <c r="I692" t="s">
        <v>1132</v>
      </c>
      <c r="J692">
        <v>2024</v>
      </c>
      <c r="K692" t="s">
        <v>2296</v>
      </c>
      <c r="L692">
        <v>45565</v>
      </c>
      <c r="N692" t="s">
        <v>65</v>
      </c>
      <c r="P692" t="s">
        <v>2653</v>
      </c>
    </row>
    <row r="693" spans="1:16" x14ac:dyDescent="0.2">
      <c r="A693" t="s">
        <v>2654</v>
      </c>
      <c r="B693" t="s">
        <v>2655</v>
      </c>
      <c r="C693" t="s">
        <v>59</v>
      </c>
      <c r="D693" t="s">
        <v>386</v>
      </c>
      <c r="E693" t="s">
        <v>2261</v>
      </c>
      <c r="F693" t="s">
        <v>2656</v>
      </c>
      <c r="G693" t="s">
        <v>765</v>
      </c>
      <c r="H693" t="s">
        <v>423</v>
      </c>
      <c r="I693" t="s">
        <v>2535</v>
      </c>
      <c r="J693">
        <v>2024</v>
      </c>
      <c r="K693" t="s">
        <v>471</v>
      </c>
      <c r="L693" t="s">
        <v>31</v>
      </c>
      <c r="N693" t="s">
        <v>65</v>
      </c>
      <c r="P693" t="s">
        <v>2657</v>
      </c>
    </row>
    <row r="694" spans="1:16" x14ac:dyDescent="0.2">
      <c r="A694" t="s">
        <v>2658</v>
      </c>
      <c r="B694" t="s">
        <v>2659</v>
      </c>
      <c r="C694" t="s">
        <v>59</v>
      </c>
      <c r="D694" t="s">
        <v>306</v>
      </c>
      <c r="E694" t="s">
        <v>301</v>
      </c>
      <c r="F694" t="s">
        <v>325</v>
      </c>
      <c r="G694" t="s">
        <v>2660</v>
      </c>
      <c r="H694" t="s">
        <v>117</v>
      </c>
      <c r="I694" t="s">
        <v>1132</v>
      </c>
      <c r="J694">
        <v>2024</v>
      </c>
      <c r="K694" t="s">
        <v>64</v>
      </c>
      <c r="L694">
        <v>45583</v>
      </c>
      <c r="N694" t="s">
        <v>65</v>
      </c>
      <c r="P694" t="s">
        <v>2661</v>
      </c>
    </row>
    <row r="695" spans="1:16" x14ac:dyDescent="0.2">
      <c r="A695" t="s">
        <v>2658</v>
      </c>
      <c r="B695" t="s">
        <v>2662</v>
      </c>
      <c r="C695" t="s">
        <v>59</v>
      </c>
      <c r="D695" t="s">
        <v>306</v>
      </c>
      <c r="E695" t="s">
        <v>301</v>
      </c>
      <c r="F695" t="s">
        <v>325</v>
      </c>
      <c r="G695" t="s">
        <v>2660</v>
      </c>
      <c r="H695" t="s">
        <v>117</v>
      </c>
      <c r="I695" t="s">
        <v>1132</v>
      </c>
      <c r="J695">
        <v>2024</v>
      </c>
      <c r="K695" t="s">
        <v>64</v>
      </c>
      <c r="L695">
        <v>45583</v>
      </c>
      <c r="N695" t="s">
        <v>65</v>
      </c>
      <c r="P695" t="s">
        <v>2661</v>
      </c>
    </row>
    <row r="696" spans="1:16" x14ac:dyDescent="0.2">
      <c r="A696" t="s">
        <v>2663</v>
      </c>
      <c r="B696" t="s">
        <v>2664</v>
      </c>
      <c r="C696" t="s">
        <v>59</v>
      </c>
      <c r="D696" t="s">
        <v>386</v>
      </c>
      <c r="E696" t="s">
        <v>2665</v>
      </c>
      <c r="H696" t="s">
        <v>255</v>
      </c>
      <c r="I696" t="s">
        <v>2535</v>
      </c>
      <c r="J696">
        <v>2024</v>
      </c>
      <c r="K696" t="s">
        <v>31</v>
      </c>
      <c r="L696">
        <v>45478</v>
      </c>
      <c r="N696" t="s">
        <v>390</v>
      </c>
      <c r="P696" t="s">
        <v>2666</v>
      </c>
    </row>
    <row r="697" spans="1:16" x14ac:dyDescent="0.2">
      <c r="A697" t="s">
        <v>2667</v>
      </c>
      <c r="B697" t="s">
        <v>2668</v>
      </c>
      <c r="C697" t="s">
        <v>59</v>
      </c>
      <c r="D697" t="s">
        <v>1296</v>
      </c>
      <c r="E697" t="s">
        <v>270</v>
      </c>
      <c r="F697" t="s">
        <v>409</v>
      </c>
      <c r="H697" t="s">
        <v>272</v>
      </c>
      <c r="I697" t="s">
        <v>1132</v>
      </c>
      <c r="J697">
        <v>2024</v>
      </c>
      <c r="K697" t="s">
        <v>64</v>
      </c>
      <c r="L697">
        <v>45548</v>
      </c>
      <c r="N697" t="s">
        <v>65</v>
      </c>
      <c r="P697" t="s">
        <v>2669</v>
      </c>
    </row>
    <row r="698" spans="1:16" x14ac:dyDescent="0.2">
      <c r="A698" t="s">
        <v>2670</v>
      </c>
      <c r="B698" t="s">
        <v>2671</v>
      </c>
      <c r="C698" t="s">
        <v>59</v>
      </c>
      <c r="D698" t="s">
        <v>386</v>
      </c>
      <c r="F698" t="s">
        <v>2672</v>
      </c>
      <c r="H698" t="s">
        <v>255</v>
      </c>
      <c r="I698" t="s">
        <v>2535</v>
      </c>
      <c r="J698">
        <v>2024</v>
      </c>
      <c r="K698" t="s">
        <v>2536</v>
      </c>
      <c r="L698">
        <v>45463</v>
      </c>
      <c r="N698" t="s">
        <v>65</v>
      </c>
      <c r="P698" t="s">
        <v>2673</v>
      </c>
    </row>
    <row r="699" spans="1:16" x14ac:dyDescent="0.2">
      <c r="A699" t="s">
        <v>2674</v>
      </c>
      <c r="B699" t="s">
        <v>2675</v>
      </c>
      <c r="C699" t="s">
        <v>59</v>
      </c>
      <c r="D699" t="s">
        <v>386</v>
      </c>
      <c r="F699" t="s">
        <v>2676</v>
      </c>
      <c r="H699" t="s">
        <v>84</v>
      </c>
      <c r="I699" t="s">
        <v>2535</v>
      </c>
      <c r="J699">
        <v>2024</v>
      </c>
      <c r="K699" t="s">
        <v>2536</v>
      </c>
      <c r="L699">
        <v>45460</v>
      </c>
      <c r="N699" t="s">
        <v>65</v>
      </c>
      <c r="P699" t="s">
        <v>2677</v>
      </c>
    </row>
    <row r="700" spans="1:16" x14ac:dyDescent="0.2">
      <c r="A700" t="s">
        <v>2678</v>
      </c>
      <c r="B700" t="s">
        <v>2679</v>
      </c>
      <c r="C700" t="s">
        <v>59</v>
      </c>
      <c r="D700" t="s">
        <v>2680</v>
      </c>
      <c r="F700" t="s">
        <v>2681</v>
      </c>
      <c r="H700" t="s">
        <v>77</v>
      </c>
      <c r="I700" t="s">
        <v>1132</v>
      </c>
      <c r="J700">
        <v>2024</v>
      </c>
      <c r="K700" t="s">
        <v>202</v>
      </c>
      <c r="L700">
        <v>45611</v>
      </c>
      <c r="N700" t="s">
        <v>65</v>
      </c>
      <c r="O700" t="s">
        <v>66</v>
      </c>
      <c r="P700" t="s">
        <v>2682</v>
      </c>
    </row>
    <row r="701" spans="1:16" x14ac:dyDescent="0.2">
      <c r="A701" t="s">
        <v>2683</v>
      </c>
      <c r="B701" t="s">
        <v>2684</v>
      </c>
      <c r="C701" t="s">
        <v>59</v>
      </c>
      <c r="D701" t="s">
        <v>238</v>
      </c>
      <c r="F701" t="s">
        <v>2685</v>
      </c>
      <c r="H701" t="s">
        <v>77</v>
      </c>
      <c r="I701" t="s">
        <v>1132</v>
      </c>
      <c r="J701">
        <v>2024</v>
      </c>
      <c r="K701" t="s">
        <v>221</v>
      </c>
      <c r="L701">
        <v>45513</v>
      </c>
      <c r="N701" t="s">
        <v>65</v>
      </c>
      <c r="P701" t="s">
        <v>2686</v>
      </c>
    </row>
    <row r="702" spans="1:16" x14ac:dyDescent="0.2">
      <c r="A702" t="s">
        <v>2687</v>
      </c>
      <c r="B702" t="s">
        <v>2688</v>
      </c>
      <c r="C702" t="s">
        <v>59</v>
      </c>
      <c r="D702" t="s">
        <v>386</v>
      </c>
      <c r="F702" t="s">
        <v>2689</v>
      </c>
      <c r="G702" t="s">
        <v>2690</v>
      </c>
      <c r="H702" t="s">
        <v>117</v>
      </c>
      <c r="I702" t="s">
        <v>2535</v>
      </c>
      <c r="J702">
        <v>2024</v>
      </c>
      <c r="K702" t="s">
        <v>31</v>
      </c>
      <c r="L702">
        <v>45483</v>
      </c>
      <c r="N702" t="s">
        <v>65</v>
      </c>
      <c r="P702" t="s">
        <v>2691</v>
      </c>
    </row>
    <row r="703" spans="1:16" x14ac:dyDescent="0.2">
      <c r="A703" t="s">
        <v>2692</v>
      </c>
      <c r="B703" t="s">
        <v>2693</v>
      </c>
      <c r="C703" t="s">
        <v>59</v>
      </c>
      <c r="D703" t="s">
        <v>2694</v>
      </c>
      <c r="F703" t="s">
        <v>2480</v>
      </c>
      <c r="G703" t="s">
        <v>2695</v>
      </c>
      <c r="H703" t="s">
        <v>367</v>
      </c>
      <c r="I703" t="s">
        <v>1132</v>
      </c>
      <c r="J703">
        <v>2024</v>
      </c>
      <c r="K703" t="s">
        <v>202</v>
      </c>
      <c r="L703">
        <v>45544</v>
      </c>
      <c r="N703" t="s">
        <v>65</v>
      </c>
      <c r="O703" t="s">
        <v>66</v>
      </c>
      <c r="P703" t="s">
        <v>2696</v>
      </c>
    </row>
    <row r="704" spans="1:16" x14ac:dyDescent="0.2">
      <c r="A704" t="s">
        <v>2697</v>
      </c>
      <c r="B704" t="s">
        <v>2698</v>
      </c>
      <c r="C704" t="s">
        <v>59</v>
      </c>
      <c r="D704" t="s">
        <v>2520</v>
      </c>
      <c r="F704" t="s">
        <v>2699</v>
      </c>
      <c r="G704" t="s">
        <v>2580</v>
      </c>
      <c r="H704" t="s">
        <v>129</v>
      </c>
      <c r="I704" t="s">
        <v>129</v>
      </c>
      <c r="J704">
        <v>2024</v>
      </c>
      <c r="K704" t="s">
        <v>471</v>
      </c>
      <c r="L704" t="s">
        <v>2581</v>
      </c>
      <c r="M704" t="s">
        <v>2909</v>
      </c>
      <c r="N704" t="s">
        <v>390</v>
      </c>
      <c r="O704" t="s">
        <v>2908</v>
      </c>
      <c r="P704" t="s">
        <v>2700</v>
      </c>
    </row>
    <row r="705" spans="1:16" x14ac:dyDescent="0.2">
      <c r="A705" t="s">
        <v>2701</v>
      </c>
      <c r="B705" t="s">
        <v>2702</v>
      </c>
      <c r="C705" t="s">
        <v>59</v>
      </c>
      <c r="D705" t="s">
        <v>2703</v>
      </c>
      <c r="E705" t="s">
        <v>2704</v>
      </c>
      <c r="F705" t="s">
        <v>2705</v>
      </c>
      <c r="H705" t="s">
        <v>157</v>
      </c>
      <c r="I705" t="s">
        <v>2535</v>
      </c>
      <c r="J705">
        <v>2024</v>
      </c>
      <c r="K705" t="s">
        <v>2296</v>
      </c>
      <c r="N705" t="s">
        <v>65</v>
      </c>
      <c r="P705" t="s">
        <v>2706</v>
      </c>
    </row>
    <row r="706" spans="1:16" x14ac:dyDescent="0.2">
      <c r="A706" t="s">
        <v>2707</v>
      </c>
      <c r="B706" t="s">
        <v>2708</v>
      </c>
      <c r="C706" t="s">
        <v>59</v>
      </c>
      <c r="D706" t="s">
        <v>386</v>
      </c>
      <c r="E706" t="s">
        <v>2018</v>
      </c>
      <c r="F706" t="s">
        <v>2709</v>
      </c>
      <c r="H706" t="s">
        <v>2019</v>
      </c>
      <c r="I706" t="s">
        <v>2535</v>
      </c>
      <c r="J706">
        <v>2024</v>
      </c>
      <c r="K706" t="s">
        <v>2536</v>
      </c>
      <c r="L706">
        <v>45597</v>
      </c>
      <c r="N706" t="s">
        <v>390</v>
      </c>
      <c r="P706" t="s">
        <v>2710</v>
      </c>
    </row>
    <row r="707" spans="1:16" x14ac:dyDescent="0.2">
      <c r="A707" t="s">
        <v>2711</v>
      </c>
      <c r="B707" t="s">
        <v>2712</v>
      </c>
      <c r="C707" t="s">
        <v>59</v>
      </c>
      <c r="D707" t="s">
        <v>386</v>
      </c>
      <c r="F707" t="s">
        <v>2713</v>
      </c>
      <c r="G707" t="s">
        <v>2714</v>
      </c>
      <c r="H707" t="s">
        <v>2715</v>
      </c>
      <c r="I707" t="s">
        <v>1132</v>
      </c>
      <c r="J707">
        <v>2024</v>
      </c>
      <c r="K707" t="s">
        <v>221</v>
      </c>
      <c r="L707">
        <v>45485</v>
      </c>
      <c r="N707" t="s">
        <v>65</v>
      </c>
      <c r="P707" t="s">
        <v>2716</v>
      </c>
    </row>
    <row r="708" spans="1:16" x14ac:dyDescent="0.2">
      <c r="A708" t="s">
        <v>2717</v>
      </c>
      <c r="B708" t="s">
        <v>2718</v>
      </c>
      <c r="C708" t="s">
        <v>59</v>
      </c>
      <c r="D708" t="s">
        <v>2719</v>
      </c>
      <c r="E708" t="s">
        <v>2720</v>
      </c>
      <c r="H708" t="s">
        <v>129</v>
      </c>
      <c r="I708" t="s">
        <v>129</v>
      </c>
      <c r="J708">
        <v>2024</v>
      </c>
      <c r="K708" t="s">
        <v>471</v>
      </c>
      <c r="L708" t="s">
        <v>2581</v>
      </c>
      <c r="N708" t="s">
        <v>65</v>
      </c>
      <c r="O708" t="s">
        <v>2908</v>
      </c>
      <c r="P708" t="s">
        <v>2721</v>
      </c>
    </row>
    <row r="709" spans="1:16" x14ac:dyDescent="0.2">
      <c r="A709" t="s">
        <v>2722</v>
      </c>
      <c r="B709" t="s">
        <v>2723</v>
      </c>
      <c r="C709" t="s">
        <v>59</v>
      </c>
      <c r="D709" t="s">
        <v>2724</v>
      </c>
      <c r="F709" t="s">
        <v>2725</v>
      </c>
      <c r="H709" t="s">
        <v>2726</v>
      </c>
      <c r="I709" t="s">
        <v>2535</v>
      </c>
      <c r="J709">
        <v>2024</v>
      </c>
      <c r="K709" t="s">
        <v>202</v>
      </c>
      <c r="L709">
        <v>45717</v>
      </c>
      <c r="N709" t="s">
        <v>545</v>
      </c>
      <c r="O709" t="s">
        <v>1305</v>
      </c>
      <c r="P709" t="s">
        <v>2727</v>
      </c>
    </row>
    <row r="710" spans="1:16" x14ac:dyDescent="0.2">
      <c r="A710" t="s">
        <v>2728</v>
      </c>
      <c r="B710" t="s">
        <v>2729</v>
      </c>
      <c r="C710" t="s">
        <v>59</v>
      </c>
      <c r="D710" t="s">
        <v>301</v>
      </c>
      <c r="F710" t="s">
        <v>312</v>
      </c>
      <c r="G710" t="s">
        <v>765</v>
      </c>
      <c r="H710" t="s">
        <v>117</v>
      </c>
      <c r="I710" t="s">
        <v>1132</v>
      </c>
      <c r="J710">
        <v>2024</v>
      </c>
      <c r="K710" t="s">
        <v>202</v>
      </c>
      <c r="L710" t="s">
        <v>2730</v>
      </c>
      <c r="N710" t="s">
        <v>65</v>
      </c>
      <c r="O710" t="s">
        <v>66</v>
      </c>
      <c r="P710" t="s">
        <v>2731</v>
      </c>
    </row>
    <row r="711" spans="1:16" x14ac:dyDescent="0.2">
      <c r="A711" t="s">
        <v>2732</v>
      </c>
      <c r="B711" t="s">
        <v>2733</v>
      </c>
      <c r="C711" t="s">
        <v>59</v>
      </c>
      <c r="D711" t="s">
        <v>306</v>
      </c>
      <c r="F711" t="s">
        <v>325</v>
      </c>
      <c r="H711" t="s">
        <v>117</v>
      </c>
      <c r="I711" t="s">
        <v>1132</v>
      </c>
      <c r="J711">
        <v>2024</v>
      </c>
      <c r="K711" t="s">
        <v>471</v>
      </c>
      <c r="L711">
        <v>45595</v>
      </c>
      <c r="N711" t="s">
        <v>65</v>
      </c>
      <c r="P711" t="s">
        <v>2734</v>
      </c>
    </row>
    <row r="712" spans="1:16" x14ac:dyDescent="0.2">
      <c r="A712" t="s">
        <v>2735</v>
      </c>
      <c r="B712" t="s">
        <v>2736</v>
      </c>
      <c r="C712" t="s">
        <v>59</v>
      </c>
      <c r="D712" t="s">
        <v>2737</v>
      </c>
      <c r="E712" t="s">
        <v>2737</v>
      </c>
      <c r="H712" t="s">
        <v>129</v>
      </c>
      <c r="I712" t="s">
        <v>129</v>
      </c>
      <c r="J712">
        <v>2024</v>
      </c>
      <c r="K712" t="s">
        <v>471</v>
      </c>
      <c r="L712">
        <v>45606</v>
      </c>
      <c r="N712" t="s">
        <v>65</v>
      </c>
      <c r="O712" t="s">
        <v>2908</v>
      </c>
      <c r="P712" t="s">
        <v>2738</v>
      </c>
    </row>
    <row r="713" spans="1:16" x14ac:dyDescent="0.2">
      <c r="A713" t="s">
        <v>2739</v>
      </c>
      <c r="B713" t="s">
        <v>2740</v>
      </c>
      <c r="C713" t="s">
        <v>59</v>
      </c>
      <c r="D713" t="s">
        <v>386</v>
      </c>
      <c r="F713" t="s">
        <v>2741</v>
      </c>
      <c r="G713" t="s">
        <v>2742</v>
      </c>
      <c r="H713" t="s">
        <v>117</v>
      </c>
      <c r="I713" t="s">
        <v>2535</v>
      </c>
      <c r="J713">
        <v>2024</v>
      </c>
      <c r="K713" t="s">
        <v>2536</v>
      </c>
      <c r="M713" t="s">
        <v>2743</v>
      </c>
      <c r="N713" t="s">
        <v>65</v>
      </c>
      <c r="P713" t="s">
        <v>2744</v>
      </c>
    </row>
    <row r="714" spans="1:16" x14ac:dyDescent="0.2">
      <c r="A714" t="s">
        <v>2745</v>
      </c>
      <c r="B714" t="s">
        <v>2746</v>
      </c>
      <c r="C714" t="s">
        <v>59</v>
      </c>
      <c r="D714" t="s">
        <v>167</v>
      </c>
      <c r="F714" t="s">
        <v>2747</v>
      </c>
      <c r="H714" t="s">
        <v>1235</v>
      </c>
      <c r="I714" t="s">
        <v>1132</v>
      </c>
      <c r="J714">
        <v>2024</v>
      </c>
      <c r="K714" t="s">
        <v>202</v>
      </c>
      <c r="L714">
        <v>45636</v>
      </c>
      <c r="N714" t="s">
        <v>71</v>
      </c>
      <c r="O714" t="s">
        <v>1305</v>
      </c>
      <c r="P714" t="s">
        <v>2748</v>
      </c>
    </row>
    <row r="715" spans="1:16" x14ac:dyDescent="0.2">
      <c r="A715" t="s">
        <v>2749</v>
      </c>
      <c r="B715" t="s">
        <v>2750</v>
      </c>
      <c r="C715" t="s">
        <v>59</v>
      </c>
      <c r="D715" t="s">
        <v>2751</v>
      </c>
      <c r="F715" t="s">
        <v>2752</v>
      </c>
      <c r="G715" t="s">
        <v>35</v>
      </c>
      <c r="H715" t="s">
        <v>77</v>
      </c>
      <c r="I715" t="s">
        <v>1132</v>
      </c>
      <c r="J715">
        <v>2024</v>
      </c>
      <c r="K715" t="s">
        <v>297</v>
      </c>
      <c r="L715">
        <v>45611</v>
      </c>
      <c r="N715" t="s">
        <v>65</v>
      </c>
      <c r="P715" t="s">
        <v>2753</v>
      </c>
    </row>
    <row r="716" spans="1:16" x14ac:dyDescent="0.2">
      <c r="A716" t="s">
        <v>2754</v>
      </c>
      <c r="B716" t="s">
        <v>2755</v>
      </c>
      <c r="C716" t="s">
        <v>59</v>
      </c>
      <c r="D716" t="s">
        <v>253</v>
      </c>
      <c r="F716" t="s">
        <v>2756</v>
      </c>
      <c r="H716" t="s">
        <v>367</v>
      </c>
      <c r="I716" t="s">
        <v>1132</v>
      </c>
      <c r="J716">
        <v>2024</v>
      </c>
      <c r="K716" t="s">
        <v>471</v>
      </c>
      <c r="N716" t="s">
        <v>65</v>
      </c>
      <c r="P716" t="s">
        <v>2757</v>
      </c>
    </row>
    <row r="717" spans="1:16" x14ac:dyDescent="0.2">
      <c r="A717" t="s">
        <v>2758</v>
      </c>
      <c r="B717" t="s">
        <v>2759</v>
      </c>
      <c r="C717" t="s">
        <v>59</v>
      </c>
      <c r="D717" t="s">
        <v>2760</v>
      </c>
      <c r="E717" t="s">
        <v>2761</v>
      </c>
      <c r="F717" t="s">
        <v>2762</v>
      </c>
      <c r="G717" t="s">
        <v>2763</v>
      </c>
      <c r="H717" t="s">
        <v>129</v>
      </c>
      <c r="I717" t="s">
        <v>129</v>
      </c>
      <c r="J717">
        <v>2024</v>
      </c>
      <c r="K717" t="s">
        <v>471</v>
      </c>
      <c r="L717" t="s">
        <v>2581</v>
      </c>
      <c r="N717" t="s">
        <v>65</v>
      </c>
      <c r="O717" t="s">
        <v>2908</v>
      </c>
      <c r="P717" t="s">
        <v>2764</v>
      </c>
    </row>
    <row r="718" spans="1:16" x14ac:dyDescent="0.2">
      <c r="A718" t="s">
        <v>2765</v>
      </c>
      <c r="B718" t="s">
        <v>2766</v>
      </c>
      <c r="C718" t="s">
        <v>59</v>
      </c>
      <c r="D718" t="s">
        <v>253</v>
      </c>
      <c r="F718" t="s">
        <v>1535</v>
      </c>
      <c r="H718" t="s">
        <v>193</v>
      </c>
      <c r="I718" t="s">
        <v>1132</v>
      </c>
      <c r="J718">
        <v>2024</v>
      </c>
      <c r="K718" t="s">
        <v>221</v>
      </c>
      <c r="L718">
        <v>45604</v>
      </c>
      <c r="N718" t="s">
        <v>65</v>
      </c>
      <c r="P718" t="s">
        <v>2767</v>
      </c>
    </row>
    <row r="719" spans="1:16" x14ac:dyDescent="0.2">
      <c r="A719" t="s">
        <v>2768</v>
      </c>
      <c r="B719" t="s">
        <v>2769</v>
      </c>
      <c r="C719" t="s">
        <v>59</v>
      </c>
      <c r="D719" t="s">
        <v>253</v>
      </c>
      <c r="F719" t="s">
        <v>1836</v>
      </c>
      <c r="H719" t="s">
        <v>63</v>
      </c>
      <c r="I719" t="s">
        <v>1132</v>
      </c>
      <c r="J719">
        <v>2024</v>
      </c>
      <c r="K719" t="s">
        <v>221</v>
      </c>
      <c r="L719">
        <v>45604</v>
      </c>
      <c r="N719" t="s">
        <v>65</v>
      </c>
      <c r="P719" t="s">
        <v>2770</v>
      </c>
    </row>
    <row r="720" spans="1:16" x14ac:dyDescent="0.2">
      <c r="A720" t="s">
        <v>2771</v>
      </c>
      <c r="B720" t="s">
        <v>2772</v>
      </c>
      <c r="C720" t="s">
        <v>59</v>
      </c>
      <c r="D720" t="s">
        <v>60</v>
      </c>
      <c r="F720" t="s">
        <v>2773</v>
      </c>
      <c r="H720" t="s">
        <v>877</v>
      </c>
      <c r="I720" t="s">
        <v>1132</v>
      </c>
      <c r="J720">
        <v>2024</v>
      </c>
      <c r="K720" t="s">
        <v>221</v>
      </c>
      <c r="L720">
        <v>45629</v>
      </c>
      <c r="N720" t="s">
        <v>65</v>
      </c>
      <c r="P720" t="s">
        <v>2774</v>
      </c>
    </row>
    <row r="721" spans="1:16" x14ac:dyDescent="0.2">
      <c r="A721" t="s">
        <v>2775</v>
      </c>
      <c r="B721" t="s">
        <v>2776</v>
      </c>
      <c r="C721" t="s">
        <v>59</v>
      </c>
      <c r="D721" t="s">
        <v>167</v>
      </c>
      <c r="F721" t="s">
        <v>331</v>
      </c>
      <c r="G721" t="s">
        <v>2777</v>
      </c>
      <c r="H721" t="s">
        <v>255</v>
      </c>
      <c r="I721" t="s">
        <v>1132</v>
      </c>
      <c r="J721">
        <v>2024</v>
      </c>
      <c r="K721" t="s">
        <v>64</v>
      </c>
      <c r="N721" t="s">
        <v>31</v>
      </c>
      <c r="P721" t="s">
        <v>2778</v>
      </c>
    </row>
    <row r="722" spans="1:16" x14ac:dyDescent="0.2">
      <c r="A722" t="s">
        <v>2779</v>
      </c>
      <c r="B722" t="s">
        <v>2780</v>
      </c>
      <c r="C722" t="s">
        <v>59</v>
      </c>
      <c r="D722" t="s">
        <v>167</v>
      </c>
      <c r="E722" t="s">
        <v>1355</v>
      </c>
      <c r="F722" t="s">
        <v>2781</v>
      </c>
      <c r="G722" t="s">
        <v>2782</v>
      </c>
      <c r="H722" t="s">
        <v>77</v>
      </c>
      <c r="I722" t="s">
        <v>1132</v>
      </c>
      <c r="J722">
        <v>2024</v>
      </c>
      <c r="K722" t="s">
        <v>64</v>
      </c>
      <c r="N722" t="s">
        <v>31</v>
      </c>
      <c r="P722" t="s">
        <v>2783</v>
      </c>
    </row>
    <row r="723" spans="1:16" x14ac:dyDescent="0.2">
      <c r="A723" t="s">
        <v>2784</v>
      </c>
      <c r="B723" t="s">
        <v>2785</v>
      </c>
      <c r="C723" t="s">
        <v>59</v>
      </c>
      <c r="D723" t="s">
        <v>2751</v>
      </c>
      <c r="F723" t="s">
        <v>2786</v>
      </c>
      <c r="G723" t="s">
        <v>2787</v>
      </c>
      <c r="H723" t="s">
        <v>77</v>
      </c>
      <c r="I723" t="s">
        <v>1132</v>
      </c>
      <c r="J723">
        <v>2024</v>
      </c>
      <c r="K723" t="s">
        <v>471</v>
      </c>
      <c r="L723">
        <v>45611</v>
      </c>
      <c r="N723" t="s">
        <v>65</v>
      </c>
      <c r="P723" t="s">
        <v>2788</v>
      </c>
    </row>
    <row r="724" spans="1:16" x14ac:dyDescent="0.2">
      <c r="A724" t="s">
        <v>2789</v>
      </c>
      <c r="B724" t="s">
        <v>2790</v>
      </c>
      <c r="C724" t="s">
        <v>59</v>
      </c>
      <c r="D724" t="s">
        <v>167</v>
      </c>
      <c r="E724" t="s">
        <v>148</v>
      </c>
      <c r="F724" t="s">
        <v>2791</v>
      </c>
      <c r="G724" t="s">
        <v>2792</v>
      </c>
      <c r="H724" t="s">
        <v>149</v>
      </c>
      <c r="I724" t="s">
        <v>1132</v>
      </c>
      <c r="J724">
        <v>2024</v>
      </c>
      <c r="K724" t="s">
        <v>64</v>
      </c>
      <c r="N724" t="s">
        <v>65</v>
      </c>
      <c r="P724" t="s">
        <v>2793</v>
      </c>
    </row>
    <row r="725" spans="1:16" x14ac:dyDescent="0.2">
      <c r="A725" t="s">
        <v>2789</v>
      </c>
      <c r="B725" t="s">
        <v>2794</v>
      </c>
      <c r="C725" t="s">
        <v>59</v>
      </c>
      <c r="D725" t="s">
        <v>167</v>
      </c>
      <c r="E725" t="s">
        <v>148</v>
      </c>
      <c r="F725" t="s">
        <v>2791</v>
      </c>
      <c r="G725" t="s">
        <v>2795</v>
      </c>
      <c r="H725" t="s">
        <v>149</v>
      </c>
      <c r="I725" t="s">
        <v>1132</v>
      </c>
      <c r="J725">
        <v>2024</v>
      </c>
      <c r="K725" t="s">
        <v>64</v>
      </c>
      <c r="N725" t="s">
        <v>65</v>
      </c>
      <c r="P725" t="s">
        <v>2793</v>
      </c>
    </row>
    <row r="726" spans="1:16" x14ac:dyDescent="0.2">
      <c r="A726" t="s">
        <v>2796</v>
      </c>
      <c r="B726" t="s">
        <v>2797</v>
      </c>
      <c r="C726" t="s">
        <v>59</v>
      </c>
      <c r="D726" t="s">
        <v>167</v>
      </c>
      <c r="E726" t="s">
        <v>2798</v>
      </c>
      <c r="F726" t="s">
        <v>409</v>
      </c>
      <c r="H726" t="s">
        <v>409</v>
      </c>
      <c r="I726" t="s">
        <v>1132</v>
      </c>
      <c r="J726">
        <v>2024</v>
      </c>
      <c r="K726" t="s">
        <v>2296</v>
      </c>
      <c r="N726" t="s">
        <v>65</v>
      </c>
      <c r="P726" t="s">
        <v>2799</v>
      </c>
    </row>
    <row r="727" spans="1:16" x14ac:dyDescent="0.2">
      <c r="A727" t="s">
        <v>2800</v>
      </c>
      <c r="B727" t="s">
        <v>2801</v>
      </c>
      <c r="C727" t="s">
        <v>59</v>
      </c>
      <c r="D727" t="s">
        <v>115</v>
      </c>
      <c r="F727" t="s">
        <v>2323</v>
      </c>
      <c r="G727" t="s">
        <v>2802</v>
      </c>
      <c r="H727" t="s">
        <v>117</v>
      </c>
      <c r="I727" t="s">
        <v>1132</v>
      </c>
      <c r="J727">
        <v>2024</v>
      </c>
      <c r="K727" t="s">
        <v>221</v>
      </c>
      <c r="L727">
        <v>45604</v>
      </c>
      <c r="N727" t="s">
        <v>817</v>
      </c>
      <c r="P727" t="s">
        <v>2803</v>
      </c>
    </row>
    <row r="728" spans="1:16" x14ac:dyDescent="0.2">
      <c r="A728" t="s">
        <v>2804</v>
      </c>
      <c r="B728" t="s">
        <v>2805</v>
      </c>
      <c r="C728" t="s">
        <v>59</v>
      </c>
      <c r="D728" t="s">
        <v>121</v>
      </c>
      <c r="E728" t="s">
        <v>115</v>
      </c>
      <c r="F728" t="s">
        <v>1642</v>
      </c>
      <c r="H728" t="s">
        <v>255</v>
      </c>
      <c r="I728" t="s">
        <v>1132</v>
      </c>
      <c r="J728">
        <v>2024</v>
      </c>
      <c r="K728" t="s">
        <v>2296</v>
      </c>
      <c r="L728">
        <v>45589</v>
      </c>
      <c r="N728" t="s">
        <v>65</v>
      </c>
      <c r="P728" t="s">
        <v>2806</v>
      </c>
    </row>
    <row r="729" spans="1:16" x14ac:dyDescent="0.2">
      <c r="A729" t="s">
        <v>2807</v>
      </c>
      <c r="B729" t="s">
        <v>2808</v>
      </c>
      <c r="C729" t="s">
        <v>59</v>
      </c>
      <c r="D729" t="s">
        <v>2719</v>
      </c>
      <c r="E729" t="s">
        <v>2809</v>
      </c>
      <c r="F729" t="s">
        <v>2810</v>
      </c>
      <c r="G729" t="s">
        <v>2521</v>
      </c>
      <c r="H729" t="s">
        <v>129</v>
      </c>
      <c r="I729" t="s">
        <v>129</v>
      </c>
      <c r="J729">
        <v>2024</v>
      </c>
      <c r="K729" t="s">
        <v>471</v>
      </c>
      <c r="L729">
        <v>45746</v>
      </c>
      <c r="N729" t="s">
        <v>65</v>
      </c>
      <c r="O729" t="s">
        <v>2908</v>
      </c>
      <c r="P729" t="s">
        <v>2811</v>
      </c>
    </row>
    <row r="730" spans="1:16" x14ac:dyDescent="0.2">
      <c r="A730" t="s">
        <v>2807</v>
      </c>
      <c r="B730">
        <v>80055002251</v>
      </c>
      <c r="C730" t="s">
        <v>59</v>
      </c>
      <c r="D730" t="s">
        <v>2719</v>
      </c>
      <c r="E730" t="s">
        <v>2809</v>
      </c>
      <c r="F730" t="s">
        <v>2810</v>
      </c>
      <c r="G730" t="s">
        <v>2812</v>
      </c>
      <c r="H730" t="s">
        <v>129</v>
      </c>
      <c r="I730" t="s">
        <v>129</v>
      </c>
      <c r="J730">
        <v>2024</v>
      </c>
      <c r="K730" t="s">
        <v>2536</v>
      </c>
      <c r="N730" t="s">
        <v>65</v>
      </c>
      <c r="O730" t="s">
        <v>2908</v>
      </c>
      <c r="P730" t="s">
        <v>2811</v>
      </c>
    </row>
    <row r="731" spans="1:16" x14ac:dyDescent="0.2">
      <c r="A731" t="s">
        <v>2813</v>
      </c>
      <c r="B731" t="s">
        <v>2814</v>
      </c>
      <c r="C731" t="s">
        <v>59</v>
      </c>
      <c r="D731" t="s">
        <v>386</v>
      </c>
      <c r="E731" t="s">
        <v>155</v>
      </c>
      <c r="F731" t="s">
        <v>2815</v>
      </c>
      <c r="G731" t="s">
        <v>2816</v>
      </c>
      <c r="H731" t="s">
        <v>157</v>
      </c>
      <c r="I731" t="s">
        <v>2535</v>
      </c>
      <c r="J731">
        <v>2024</v>
      </c>
      <c r="K731" t="s">
        <v>2536</v>
      </c>
      <c r="N731" t="s">
        <v>65</v>
      </c>
      <c r="P731" t="s">
        <v>2817</v>
      </c>
    </row>
    <row r="732" spans="1:16" x14ac:dyDescent="0.2">
      <c r="A732" t="s">
        <v>2818</v>
      </c>
      <c r="C732" t="s">
        <v>59</v>
      </c>
      <c r="D732" t="s">
        <v>2719</v>
      </c>
      <c r="F732" t="s">
        <v>2819</v>
      </c>
      <c r="H732" t="s">
        <v>129</v>
      </c>
      <c r="I732" t="s">
        <v>129</v>
      </c>
      <c r="J732">
        <v>2024</v>
      </c>
      <c r="K732" t="s">
        <v>2536</v>
      </c>
      <c r="L732">
        <v>45293</v>
      </c>
      <c r="N732" t="s">
        <v>545</v>
      </c>
      <c r="O732" t="s">
        <v>2910</v>
      </c>
      <c r="P732" t="s">
        <v>2820</v>
      </c>
    </row>
    <row r="733" spans="1:16" x14ac:dyDescent="0.2">
      <c r="A733" t="s">
        <v>2821</v>
      </c>
      <c r="C733" t="s">
        <v>59</v>
      </c>
      <c r="D733" t="s">
        <v>2822</v>
      </c>
      <c r="F733" t="s">
        <v>2823</v>
      </c>
      <c r="H733" t="s">
        <v>129</v>
      </c>
      <c r="I733" t="s">
        <v>129</v>
      </c>
      <c r="J733">
        <v>2024</v>
      </c>
      <c r="K733" t="s">
        <v>2536</v>
      </c>
      <c r="L733">
        <v>45446</v>
      </c>
      <c r="N733" t="s">
        <v>545</v>
      </c>
      <c r="O733" t="s">
        <v>2910</v>
      </c>
      <c r="P733" t="s">
        <v>2824</v>
      </c>
    </row>
    <row r="734" spans="1:16" x14ac:dyDescent="0.2">
      <c r="A734" t="s">
        <v>2825</v>
      </c>
      <c r="C734" t="s">
        <v>59</v>
      </c>
      <c r="D734" t="s">
        <v>2822</v>
      </c>
      <c r="F734" t="s">
        <v>2826</v>
      </c>
      <c r="H734" t="s">
        <v>129</v>
      </c>
      <c r="I734" t="s">
        <v>129</v>
      </c>
      <c r="J734">
        <v>2024</v>
      </c>
      <c r="K734" t="s">
        <v>2536</v>
      </c>
      <c r="L734">
        <v>45369</v>
      </c>
      <c r="N734" t="s">
        <v>545</v>
      </c>
      <c r="O734" t="s">
        <v>2910</v>
      </c>
      <c r="P734" t="s">
        <v>2827</v>
      </c>
    </row>
    <row r="735" spans="1:16" x14ac:dyDescent="0.2">
      <c r="A735" t="s">
        <v>2828</v>
      </c>
      <c r="C735" t="s">
        <v>59</v>
      </c>
      <c r="D735" t="s">
        <v>2822</v>
      </c>
      <c r="F735" t="s">
        <v>2829</v>
      </c>
      <c r="H735" t="s">
        <v>129</v>
      </c>
      <c r="I735" t="s">
        <v>129</v>
      </c>
      <c r="J735">
        <v>2024</v>
      </c>
      <c r="K735" t="s">
        <v>2536</v>
      </c>
      <c r="L735">
        <v>45355</v>
      </c>
      <c r="N735" t="s">
        <v>545</v>
      </c>
      <c r="O735" t="s">
        <v>2910</v>
      </c>
      <c r="P735" t="s">
        <v>2830</v>
      </c>
    </row>
    <row r="736" spans="1:16" x14ac:dyDescent="0.2">
      <c r="A736" t="s">
        <v>2831</v>
      </c>
      <c r="C736" t="s">
        <v>59</v>
      </c>
      <c r="D736" t="s">
        <v>2822</v>
      </c>
      <c r="F736" t="s">
        <v>2832</v>
      </c>
      <c r="H736" t="s">
        <v>129</v>
      </c>
      <c r="I736" t="s">
        <v>129</v>
      </c>
      <c r="J736">
        <v>2024</v>
      </c>
      <c r="K736" t="s">
        <v>2536</v>
      </c>
      <c r="L736">
        <v>45392</v>
      </c>
      <c r="N736" t="s">
        <v>545</v>
      </c>
      <c r="O736" t="s">
        <v>2910</v>
      </c>
      <c r="P736" t="s">
        <v>2833</v>
      </c>
    </row>
    <row r="737" spans="1:16" x14ac:dyDescent="0.2">
      <c r="A737" t="s">
        <v>2834</v>
      </c>
      <c r="B737" t="s">
        <v>2835</v>
      </c>
      <c r="C737" t="s">
        <v>59</v>
      </c>
      <c r="D737" t="s">
        <v>60</v>
      </c>
      <c r="F737" t="s">
        <v>2836</v>
      </c>
      <c r="H737" t="s">
        <v>255</v>
      </c>
      <c r="I737" t="s">
        <v>1132</v>
      </c>
      <c r="J737">
        <v>2024</v>
      </c>
      <c r="K737" t="s">
        <v>202</v>
      </c>
      <c r="L737">
        <v>45744</v>
      </c>
      <c r="N737" t="s">
        <v>65</v>
      </c>
      <c r="O737" t="s">
        <v>66</v>
      </c>
      <c r="P737" t="s">
        <v>2837</v>
      </c>
    </row>
    <row r="738" spans="1:16" x14ac:dyDescent="0.2">
      <c r="A738" t="s">
        <v>2838</v>
      </c>
      <c r="B738" t="s">
        <v>2839</v>
      </c>
      <c r="C738" t="s">
        <v>59</v>
      </c>
      <c r="D738" t="s">
        <v>386</v>
      </c>
      <c r="F738" t="s">
        <v>2840</v>
      </c>
      <c r="G738" t="s">
        <v>2841</v>
      </c>
      <c r="H738" t="s">
        <v>255</v>
      </c>
      <c r="I738" t="s">
        <v>2535</v>
      </c>
      <c r="J738">
        <v>2024</v>
      </c>
      <c r="K738" t="s">
        <v>2536</v>
      </c>
      <c r="N738" t="s">
        <v>65</v>
      </c>
      <c r="P738" t="s">
        <v>2842</v>
      </c>
    </row>
    <row r="739" spans="1:16" x14ac:dyDescent="0.2">
      <c r="A739" t="s">
        <v>2843</v>
      </c>
      <c r="B739" t="s">
        <v>2844</v>
      </c>
      <c r="C739" t="s">
        <v>59</v>
      </c>
      <c r="D739" t="s">
        <v>167</v>
      </c>
      <c r="E739" t="s">
        <v>253</v>
      </c>
      <c r="F739" t="s">
        <v>2179</v>
      </c>
      <c r="H739" t="s">
        <v>367</v>
      </c>
      <c r="I739" t="s">
        <v>1132</v>
      </c>
      <c r="J739">
        <v>2024</v>
      </c>
      <c r="K739" t="s">
        <v>221</v>
      </c>
      <c r="L739">
        <v>45677</v>
      </c>
      <c r="N739" t="s">
        <v>65</v>
      </c>
      <c r="P739" t="s">
        <v>2845</v>
      </c>
    </row>
    <row r="740" spans="1:16" x14ac:dyDescent="0.2">
      <c r="A740" t="s">
        <v>2846</v>
      </c>
      <c r="B740" t="s">
        <v>2847</v>
      </c>
      <c r="C740" t="s">
        <v>59</v>
      </c>
      <c r="D740" t="s">
        <v>2848</v>
      </c>
      <c r="F740" t="s">
        <v>2849</v>
      </c>
      <c r="G740" t="s">
        <v>2850</v>
      </c>
      <c r="H740" t="s">
        <v>77</v>
      </c>
      <c r="I740" t="s">
        <v>1132</v>
      </c>
      <c r="J740">
        <v>2024</v>
      </c>
      <c r="K740" t="s">
        <v>221</v>
      </c>
      <c r="L740">
        <v>45583</v>
      </c>
      <c r="N740" t="s">
        <v>71</v>
      </c>
      <c r="P740" t="s">
        <v>2851</v>
      </c>
    </row>
    <row r="741" spans="1:16" x14ac:dyDescent="0.2">
      <c r="A741" t="s">
        <v>2852</v>
      </c>
      <c r="B741" t="s">
        <v>2853</v>
      </c>
      <c r="C741" t="s">
        <v>59</v>
      </c>
      <c r="D741" t="s">
        <v>2854</v>
      </c>
      <c r="E741" t="s">
        <v>2854</v>
      </c>
      <c r="F741" t="s">
        <v>2855</v>
      </c>
      <c r="H741" t="s">
        <v>117</v>
      </c>
      <c r="I741" t="s">
        <v>1132</v>
      </c>
      <c r="J741">
        <v>2024</v>
      </c>
      <c r="K741" t="s">
        <v>2296</v>
      </c>
      <c r="L741">
        <v>45838</v>
      </c>
      <c r="N741" t="s">
        <v>65</v>
      </c>
      <c r="P741" t="s">
        <v>2856</v>
      </c>
    </row>
    <row r="742" spans="1:16" x14ac:dyDescent="0.2">
      <c r="A742" t="s">
        <v>2852</v>
      </c>
      <c r="B742" t="s">
        <v>2911</v>
      </c>
      <c r="C742" t="s">
        <v>59</v>
      </c>
      <c r="D742" t="s">
        <v>2854</v>
      </c>
      <c r="E742" t="s">
        <v>2854</v>
      </c>
      <c r="F742" t="s">
        <v>2855</v>
      </c>
      <c r="G742" t="s">
        <v>2912</v>
      </c>
      <c r="H742" t="s">
        <v>117</v>
      </c>
      <c r="I742" t="s">
        <v>1132</v>
      </c>
      <c r="J742">
        <v>2024</v>
      </c>
      <c r="K742" t="s">
        <v>2296</v>
      </c>
      <c r="L742">
        <v>45712</v>
      </c>
      <c r="N742" t="s">
        <v>71</v>
      </c>
      <c r="P742" t="s">
        <v>2856</v>
      </c>
    </row>
    <row r="743" spans="1:16" x14ac:dyDescent="0.2">
      <c r="A743" t="s">
        <v>2857</v>
      </c>
      <c r="B743" t="s">
        <v>2858</v>
      </c>
      <c r="C743" t="s">
        <v>59</v>
      </c>
      <c r="D743" t="s">
        <v>828</v>
      </c>
      <c r="F743" t="s">
        <v>2859</v>
      </c>
      <c r="H743" t="s">
        <v>2860</v>
      </c>
      <c r="I743" t="s">
        <v>1132</v>
      </c>
      <c r="J743">
        <v>2024</v>
      </c>
      <c r="K743" t="s">
        <v>202</v>
      </c>
      <c r="L743">
        <v>45664</v>
      </c>
      <c r="N743" t="s">
        <v>545</v>
      </c>
      <c r="O743" t="s">
        <v>2913</v>
      </c>
      <c r="P743" t="s">
        <v>2861</v>
      </c>
    </row>
    <row r="744" spans="1:16" x14ac:dyDescent="0.2">
      <c r="A744" t="s">
        <v>2862</v>
      </c>
      <c r="B744" t="s">
        <v>2863</v>
      </c>
      <c r="C744" t="s">
        <v>59</v>
      </c>
      <c r="D744" t="s">
        <v>2469</v>
      </c>
      <c r="F744" t="s">
        <v>2864</v>
      </c>
      <c r="G744" t="s">
        <v>2865</v>
      </c>
      <c r="H744" t="s">
        <v>1072</v>
      </c>
      <c r="I744" t="s">
        <v>1132</v>
      </c>
      <c r="J744">
        <v>2024</v>
      </c>
      <c r="K744" t="s">
        <v>471</v>
      </c>
      <c r="L744">
        <v>45747</v>
      </c>
      <c r="N744" t="s">
        <v>65</v>
      </c>
      <c r="P744" t="s">
        <v>2866</v>
      </c>
    </row>
    <row r="745" spans="1:16" x14ac:dyDescent="0.2">
      <c r="A745" t="s">
        <v>2867</v>
      </c>
      <c r="B745" t="s">
        <v>2868</v>
      </c>
      <c r="C745" t="s">
        <v>59</v>
      </c>
      <c r="D745" t="s">
        <v>2869</v>
      </c>
      <c r="E745" t="s">
        <v>2870</v>
      </c>
      <c r="F745" t="s">
        <v>2871</v>
      </c>
      <c r="G745" t="s">
        <v>2521</v>
      </c>
      <c r="H745" t="s">
        <v>129</v>
      </c>
      <c r="I745" t="s">
        <v>129</v>
      </c>
      <c r="J745">
        <v>2024</v>
      </c>
      <c r="K745" t="s">
        <v>471</v>
      </c>
      <c r="L745">
        <v>45777</v>
      </c>
      <c r="N745" t="s">
        <v>65</v>
      </c>
      <c r="O745" t="s">
        <v>2908</v>
      </c>
      <c r="P745" t="s">
        <v>2872</v>
      </c>
    </row>
    <row r="746" spans="1:16" x14ac:dyDescent="0.2">
      <c r="A746" t="s">
        <v>2873</v>
      </c>
      <c r="B746" t="s">
        <v>2874</v>
      </c>
      <c r="C746" t="s">
        <v>31</v>
      </c>
      <c r="D746" t="s">
        <v>386</v>
      </c>
      <c r="F746" t="s">
        <v>2875</v>
      </c>
      <c r="H746" t="s">
        <v>162</v>
      </c>
      <c r="I746" t="s">
        <v>2535</v>
      </c>
      <c r="J746">
        <v>2024</v>
      </c>
      <c r="K746" t="s">
        <v>2536</v>
      </c>
      <c r="N746" t="s">
        <v>65</v>
      </c>
      <c r="P746" t="s">
        <v>2876</v>
      </c>
    </row>
    <row r="747" spans="1:16" x14ac:dyDescent="0.2">
      <c r="A747" t="s">
        <v>2877</v>
      </c>
      <c r="B747" t="s">
        <v>2878</v>
      </c>
      <c r="C747" t="s">
        <v>31</v>
      </c>
      <c r="D747" t="s">
        <v>2879</v>
      </c>
      <c r="G747" t="s">
        <v>2880</v>
      </c>
      <c r="H747" t="s">
        <v>1527</v>
      </c>
      <c r="I747" t="s">
        <v>2535</v>
      </c>
      <c r="J747">
        <v>2024</v>
      </c>
      <c r="K747" t="s">
        <v>2536</v>
      </c>
      <c r="N747" t="s">
        <v>65</v>
      </c>
      <c r="P747" t="s">
        <v>2881</v>
      </c>
    </row>
    <row r="748" spans="1:16" x14ac:dyDescent="0.2">
      <c r="A748" t="s">
        <v>2882</v>
      </c>
      <c r="B748" t="s">
        <v>2883</v>
      </c>
      <c r="C748" t="s">
        <v>59</v>
      </c>
      <c r="D748" t="s">
        <v>2884</v>
      </c>
      <c r="F748" t="s">
        <v>2885</v>
      </c>
      <c r="G748" t="s">
        <v>2886</v>
      </c>
      <c r="H748" t="s">
        <v>77</v>
      </c>
      <c r="I748" t="s">
        <v>1132</v>
      </c>
      <c r="J748">
        <v>2024</v>
      </c>
      <c r="K748" t="s">
        <v>221</v>
      </c>
      <c r="N748" t="s">
        <v>65</v>
      </c>
      <c r="P748" t="s">
        <v>2887</v>
      </c>
    </row>
    <row r="749" spans="1:16" x14ac:dyDescent="0.2">
      <c r="A749" t="s">
        <v>2888</v>
      </c>
      <c r="B749" t="s">
        <v>3138</v>
      </c>
      <c r="C749" t="s">
        <v>31</v>
      </c>
      <c r="D749" t="s">
        <v>1706</v>
      </c>
      <c r="F749" t="s">
        <v>2889</v>
      </c>
      <c r="H749" t="s">
        <v>162</v>
      </c>
      <c r="I749" t="s">
        <v>2535</v>
      </c>
      <c r="J749">
        <v>2024</v>
      </c>
      <c r="K749" t="s">
        <v>64</v>
      </c>
      <c r="N749" t="s">
        <v>65</v>
      </c>
      <c r="P749" t="s">
        <v>2890</v>
      </c>
    </row>
    <row r="750" spans="1:16" x14ac:dyDescent="0.2">
      <c r="A750" t="s">
        <v>2891</v>
      </c>
      <c r="B750" t="s">
        <v>2892</v>
      </c>
      <c r="C750" t="s">
        <v>59</v>
      </c>
      <c r="D750" t="s">
        <v>386</v>
      </c>
      <c r="F750" t="s">
        <v>2893</v>
      </c>
      <c r="G750" t="s">
        <v>2914</v>
      </c>
      <c r="H750" t="s">
        <v>1235</v>
      </c>
      <c r="I750" t="s">
        <v>2535</v>
      </c>
      <c r="J750">
        <v>2024</v>
      </c>
      <c r="K750" t="s">
        <v>2536</v>
      </c>
      <c r="N750" t="s">
        <v>65</v>
      </c>
      <c r="P750" t="s">
        <v>2894</v>
      </c>
    </row>
    <row r="751" spans="1:16" x14ac:dyDescent="0.2">
      <c r="A751" t="s">
        <v>2891</v>
      </c>
      <c r="B751" t="s">
        <v>2915</v>
      </c>
      <c r="C751" t="s">
        <v>59</v>
      </c>
      <c r="D751" t="s">
        <v>386</v>
      </c>
      <c r="F751" t="s">
        <v>2893</v>
      </c>
      <c r="G751" t="s">
        <v>2656</v>
      </c>
      <c r="H751" t="s">
        <v>1235</v>
      </c>
      <c r="I751" t="s">
        <v>2535</v>
      </c>
      <c r="J751">
        <v>2024</v>
      </c>
      <c r="K751" t="s">
        <v>2536</v>
      </c>
      <c r="N751" t="s">
        <v>65</v>
      </c>
      <c r="P751" t="s">
        <v>2894</v>
      </c>
    </row>
    <row r="752" spans="1:16" x14ac:dyDescent="0.2">
      <c r="A752" t="s">
        <v>2895</v>
      </c>
      <c r="B752" t="s">
        <v>2896</v>
      </c>
      <c r="C752" t="s">
        <v>31</v>
      </c>
      <c r="D752" t="s">
        <v>253</v>
      </c>
      <c r="F752" t="s">
        <v>2756</v>
      </c>
      <c r="H752" t="s">
        <v>367</v>
      </c>
      <c r="I752" t="s">
        <v>1132</v>
      </c>
      <c r="J752">
        <v>2024</v>
      </c>
      <c r="K752" t="s">
        <v>221</v>
      </c>
      <c r="L752">
        <v>45716</v>
      </c>
      <c r="N752" t="s">
        <v>65</v>
      </c>
      <c r="P752" t="s">
        <v>2916</v>
      </c>
    </row>
    <row r="753" spans="1:16" x14ac:dyDescent="0.2">
      <c r="A753" t="s">
        <v>2895</v>
      </c>
      <c r="B753" t="s">
        <v>2917</v>
      </c>
      <c r="C753" t="s">
        <v>59</v>
      </c>
      <c r="D753" t="s">
        <v>253</v>
      </c>
      <c r="F753" t="s">
        <v>2756</v>
      </c>
      <c r="H753" t="s">
        <v>367</v>
      </c>
      <c r="I753" t="s">
        <v>1132</v>
      </c>
      <c r="J753">
        <v>2025</v>
      </c>
      <c r="K753" t="s">
        <v>221</v>
      </c>
      <c r="L753">
        <v>45777</v>
      </c>
      <c r="N753" t="s">
        <v>65</v>
      </c>
      <c r="P753" t="s">
        <v>2918</v>
      </c>
    </row>
    <row r="754" spans="1:16" x14ac:dyDescent="0.2">
      <c r="A754" t="s">
        <v>2919</v>
      </c>
      <c r="B754" t="s">
        <v>2897</v>
      </c>
      <c r="C754" t="s">
        <v>59</v>
      </c>
      <c r="D754" t="s">
        <v>2898</v>
      </c>
      <c r="E754" t="s">
        <v>2898</v>
      </c>
      <c r="F754" t="s">
        <v>2899</v>
      </c>
      <c r="G754" t="s">
        <v>1832</v>
      </c>
      <c r="H754" t="s">
        <v>77</v>
      </c>
      <c r="I754" t="s">
        <v>1132</v>
      </c>
      <c r="J754">
        <v>2025</v>
      </c>
      <c r="K754" t="s">
        <v>2296</v>
      </c>
      <c r="N754" t="s">
        <v>71</v>
      </c>
      <c r="P754" t="s">
        <v>3139</v>
      </c>
    </row>
    <row r="755" spans="1:16" x14ac:dyDescent="0.2">
      <c r="A755" t="s">
        <v>2919</v>
      </c>
      <c r="B755" t="s">
        <v>2920</v>
      </c>
      <c r="C755" t="s">
        <v>59</v>
      </c>
      <c r="D755" t="s">
        <v>2898</v>
      </c>
      <c r="E755" t="s">
        <v>2898</v>
      </c>
      <c r="F755" t="s">
        <v>2899</v>
      </c>
      <c r="H755" t="s">
        <v>77</v>
      </c>
      <c r="I755" t="s">
        <v>1132</v>
      </c>
      <c r="J755">
        <v>2025</v>
      </c>
      <c r="K755" t="s">
        <v>2296</v>
      </c>
      <c r="N755" t="s">
        <v>65</v>
      </c>
      <c r="P755" t="s">
        <v>3139</v>
      </c>
    </row>
    <row r="756" spans="1:16" x14ac:dyDescent="0.2">
      <c r="A756" t="s">
        <v>2919</v>
      </c>
      <c r="B756" t="s">
        <v>2921</v>
      </c>
      <c r="C756" t="s">
        <v>59</v>
      </c>
      <c r="D756" t="s">
        <v>2898</v>
      </c>
      <c r="E756" t="s">
        <v>2898</v>
      </c>
      <c r="F756" t="s">
        <v>2899</v>
      </c>
      <c r="H756" t="s">
        <v>77</v>
      </c>
      <c r="I756" t="s">
        <v>1132</v>
      </c>
      <c r="J756">
        <v>2025</v>
      </c>
      <c r="K756" t="s">
        <v>2296</v>
      </c>
      <c r="N756" t="s">
        <v>65</v>
      </c>
      <c r="P756" t="s">
        <v>3139</v>
      </c>
    </row>
    <row r="757" spans="1:16" x14ac:dyDescent="0.2">
      <c r="A757" t="s">
        <v>2900</v>
      </c>
      <c r="B757" t="s">
        <v>2901</v>
      </c>
      <c r="C757" t="s">
        <v>59</v>
      </c>
      <c r="D757" t="s">
        <v>60</v>
      </c>
      <c r="E757" t="s">
        <v>253</v>
      </c>
      <c r="F757" t="s">
        <v>2756</v>
      </c>
      <c r="H757" t="s">
        <v>367</v>
      </c>
      <c r="I757" t="s">
        <v>1132</v>
      </c>
      <c r="J757">
        <v>2024</v>
      </c>
      <c r="K757" t="s">
        <v>202</v>
      </c>
      <c r="L757">
        <v>45716</v>
      </c>
      <c r="N757" t="s">
        <v>65</v>
      </c>
      <c r="O757" t="s">
        <v>66</v>
      </c>
      <c r="P757" t="s">
        <v>3140</v>
      </c>
    </row>
    <row r="758" spans="1:16" x14ac:dyDescent="0.2">
      <c r="A758" t="s">
        <v>2922</v>
      </c>
      <c r="B758" t="s">
        <v>2923</v>
      </c>
      <c r="C758" t="s">
        <v>59</v>
      </c>
      <c r="D758" t="s">
        <v>2924</v>
      </c>
      <c r="E758" t="s">
        <v>155</v>
      </c>
      <c r="F758" t="s">
        <v>2925</v>
      </c>
      <c r="H758" t="s">
        <v>157</v>
      </c>
      <c r="I758" t="s">
        <v>2535</v>
      </c>
      <c r="J758">
        <v>2025</v>
      </c>
      <c r="K758" t="s">
        <v>202</v>
      </c>
      <c r="L758">
        <v>45749</v>
      </c>
      <c r="N758" t="s">
        <v>65</v>
      </c>
      <c r="O758" t="s">
        <v>66</v>
      </c>
      <c r="P758" t="s">
        <v>3141</v>
      </c>
    </row>
    <row r="759" spans="1:16" x14ac:dyDescent="0.2">
      <c r="A759" t="s">
        <v>2926</v>
      </c>
      <c r="B759" t="s">
        <v>2927</v>
      </c>
      <c r="C759" t="s">
        <v>59</v>
      </c>
      <c r="D759" t="s">
        <v>2928</v>
      </c>
      <c r="F759" t="s">
        <v>2929</v>
      </c>
      <c r="G759" t="s">
        <v>2521</v>
      </c>
      <c r="H759" t="s">
        <v>129</v>
      </c>
      <c r="I759" t="s">
        <v>129</v>
      </c>
      <c r="J759">
        <v>2025</v>
      </c>
      <c r="K759" t="s">
        <v>471</v>
      </c>
      <c r="L759">
        <v>45823</v>
      </c>
      <c r="N759" t="s">
        <v>65</v>
      </c>
      <c r="O759" t="s">
        <v>2908</v>
      </c>
      <c r="P759" t="s">
        <v>2930</v>
      </c>
    </row>
    <row r="760" spans="1:16" x14ac:dyDescent="0.2">
      <c r="A760" t="s">
        <v>2931</v>
      </c>
      <c r="B760" t="s">
        <v>3204</v>
      </c>
      <c r="C760" t="s">
        <v>59</v>
      </c>
      <c r="D760" t="s">
        <v>253</v>
      </c>
      <c r="E760" t="s">
        <v>253</v>
      </c>
      <c r="F760" t="s">
        <v>2084</v>
      </c>
      <c r="H760" t="s">
        <v>255</v>
      </c>
      <c r="I760" t="s">
        <v>1132</v>
      </c>
      <c r="J760">
        <v>2025</v>
      </c>
      <c r="K760" t="s">
        <v>2296</v>
      </c>
      <c r="L760">
        <v>46148</v>
      </c>
      <c r="N760" t="s">
        <v>545</v>
      </c>
      <c r="P760" t="s">
        <v>2932</v>
      </c>
    </row>
    <row r="761" spans="1:16" x14ac:dyDescent="0.2">
      <c r="A761" t="s">
        <v>2933</v>
      </c>
      <c r="B761" t="s">
        <v>2934</v>
      </c>
      <c r="C761" t="s">
        <v>59</v>
      </c>
      <c r="D761" t="s">
        <v>331</v>
      </c>
      <c r="F761" t="s">
        <v>331</v>
      </c>
      <c r="H761" t="s">
        <v>255</v>
      </c>
      <c r="I761" t="s">
        <v>1132</v>
      </c>
      <c r="J761">
        <v>2025</v>
      </c>
      <c r="K761" t="s">
        <v>202</v>
      </c>
      <c r="L761">
        <v>45733</v>
      </c>
      <c r="N761" t="s">
        <v>65</v>
      </c>
      <c r="O761" t="s">
        <v>66</v>
      </c>
      <c r="P761" t="s">
        <v>3142</v>
      </c>
    </row>
    <row r="762" spans="1:16" x14ac:dyDescent="0.2">
      <c r="A762" t="s">
        <v>2935</v>
      </c>
      <c r="B762" t="s">
        <v>2936</v>
      </c>
      <c r="C762" t="s">
        <v>59</v>
      </c>
      <c r="D762" t="s">
        <v>386</v>
      </c>
      <c r="E762" t="s">
        <v>2937</v>
      </c>
      <c r="F762" t="s">
        <v>2937</v>
      </c>
      <c r="I762" t="s">
        <v>2535</v>
      </c>
      <c r="J762">
        <v>2025</v>
      </c>
      <c r="K762" t="s">
        <v>31</v>
      </c>
      <c r="N762" t="s">
        <v>65</v>
      </c>
      <c r="P762" t="s">
        <v>2938</v>
      </c>
    </row>
    <row r="763" spans="1:16" x14ac:dyDescent="0.2">
      <c r="A763" t="s">
        <v>2939</v>
      </c>
      <c r="B763" t="s">
        <v>3205</v>
      </c>
      <c r="C763" t="s">
        <v>59</v>
      </c>
      <c r="D763" t="s">
        <v>828</v>
      </c>
      <c r="F763" t="s">
        <v>2940</v>
      </c>
      <c r="H763" t="s">
        <v>255</v>
      </c>
      <c r="I763" t="s">
        <v>1132</v>
      </c>
      <c r="J763">
        <v>2025</v>
      </c>
      <c r="K763" t="s">
        <v>202</v>
      </c>
      <c r="L763">
        <v>45838</v>
      </c>
      <c r="N763" t="s">
        <v>545</v>
      </c>
      <c r="P763" t="s">
        <v>3143</v>
      </c>
    </row>
    <row r="764" spans="1:16" x14ac:dyDescent="0.2">
      <c r="A764" t="s">
        <v>2941</v>
      </c>
      <c r="C764" t="s">
        <v>31</v>
      </c>
      <c r="D764" t="s">
        <v>850</v>
      </c>
      <c r="F764" t="s">
        <v>850</v>
      </c>
      <c r="G764" t="s">
        <v>2942</v>
      </c>
      <c r="H764" t="s">
        <v>2943</v>
      </c>
      <c r="J764">
        <v>2025</v>
      </c>
      <c r="K764" t="s">
        <v>64</v>
      </c>
      <c r="N764" t="s">
        <v>31</v>
      </c>
      <c r="P764" t="s">
        <v>3144</v>
      </c>
    </row>
    <row r="765" spans="1:16" x14ac:dyDescent="0.2">
      <c r="A765" t="s">
        <v>2944</v>
      </c>
      <c r="B765" t="s">
        <v>2945</v>
      </c>
      <c r="C765" t="s">
        <v>59</v>
      </c>
      <c r="D765" t="s">
        <v>2946</v>
      </c>
      <c r="F765" t="s">
        <v>2947</v>
      </c>
      <c r="G765" t="s">
        <v>1451</v>
      </c>
      <c r="H765" t="s">
        <v>162</v>
      </c>
      <c r="I765" t="s">
        <v>2535</v>
      </c>
      <c r="J765">
        <v>2025</v>
      </c>
      <c r="K765" t="s">
        <v>471</v>
      </c>
      <c r="L765">
        <v>45853</v>
      </c>
      <c r="N765" t="s">
        <v>545</v>
      </c>
      <c r="P765" t="s">
        <v>2948</v>
      </c>
    </row>
    <row r="766" spans="1:16" x14ac:dyDescent="0.2">
      <c r="A766" t="s">
        <v>2949</v>
      </c>
      <c r="B766" t="s">
        <v>2950</v>
      </c>
      <c r="C766" t="s">
        <v>31</v>
      </c>
      <c r="D766" t="s">
        <v>60</v>
      </c>
      <c r="F766" t="s">
        <v>2628</v>
      </c>
      <c r="H766" t="s">
        <v>149</v>
      </c>
      <c r="I766" t="s">
        <v>1132</v>
      </c>
      <c r="J766">
        <v>2025</v>
      </c>
      <c r="K766" t="s">
        <v>2296</v>
      </c>
      <c r="L766">
        <v>45800</v>
      </c>
      <c r="N766" t="s">
        <v>65</v>
      </c>
      <c r="P766" t="s">
        <v>2951</v>
      </c>
    </row>
    <row r="767" spans="1:16" x14ac:dyDescent="0.2">
      <c r="A767" t="s">
        <v>2952</v>
      </c>
      <c r="B767" t="s">
        <v>2953</v>
      </c>
      <c r="C767" t="s">
        <v>59</v>
      </c>
      <c r="D767" t="s">
        <v>115</v>
      </c>
      <c r="F767" t="s">
        <v>285</v>
      </c>
      <c r="G767" t="s">
        <v>2954</v>
      </c>
      <c r="H767" t="s">
        <v>117</v>
      </c>
      <c r="I767" t="s">
        <v>1132</v>
      </c>
      <c r="J767">
        <v>2025</v>
      </c>
      <c r="K767" t="s">
        <v>221</v>
      </c>
      <c r="L767">
        <v>45777</v>
      </c>
      <c r="N767" t="s">
        <v>65</v>
      </c>
      <c r="P767" t="s">
        <v>2955</v>
      </c>
    </row>
    <row r="768" spans="1:16" x14ac:dyDescent="0.2">
      <c r="A768" t="s">
        <v>2956</v>
      </c>
      <c r="B768" t="s">
        <v>2957</v>
      </c>
      <c r="C768" t="s">
        <v>59</v>
      </c>
      <c r="D768" t="s">
        <v>167</v>
      </c>
      <c r="F768" t="s">
        <v>2958</v>
      </c>
      <c r="H768" t="s">
        <v>77</v>
      </c>
      <c r="I768" t="s">
        <v>1132</v>
      </c>
      <c r="J768">
        <v>2025</v>
      </c>
      <c r="K768" t="s">
        <v>202</v>
      </c>
      <c r="L768">
        <v>45793</v>
      </c>
      <c r="N768" t="s">
        <v>65</v>
      </c>
      <c r="O768" t="s">
        <v>66</v>
      </c>
      <c r="P768" t="s">
        <v>2959</v>
      </c>
    </row>
    <row r="769" spans="1:16" x14ac:dyDescent="0.2">
      <c r="A769" t="s">
        <v>2960</v>
      </c>
      <c r="B769" t="s">
        <v>2961</v>
      </c>
      <c r="C769" t="s">
        <v>59</v>
      </c>
      <c r="D769" t="s">
        <v>253</v>
      </c>
      <c r="F769" t="s">
        <v>1535</v>
      </c>
      <c r="H769" t="s">
        <v>193</v>
      </c>
      <c r="I769" t="s">
        <v>1132</v>
      </c>
      <c r="J769">
        <v>2025</v>
      </c>
      <c r="K769" t="s">
        <v>221</v>
      </c>
      <c r="L769">
        <v>45779</v>
      </c>
      <c r="N769" t="s">
        <v>65</v>
      </c>
      <c r="P769" t="s">
        <v>2962</v>
      </c>
    </row>
    <row r="770" spans="1:16" x14ac:dyDescent="0.2">
      <c r="A770" t="s">
        <v>2963</v>
      </c>
      <c r="B770" t="s">
        <v>2964</v>
      </c>
      <c r="C770" t="s">
        <v>59</v>
      </c>
      <c r="D770" t="s">
        <v>386</v>
      </c>
      <c r="F770" t="s">
        <v>2965</v>
      </c>
      <c r="H770" t="s">
        <v>117</v>
      </c>
      <c r="I770" t="s">
        <v>2535</v>
      </c>
      <c r="J770">
        <v>2025</v>
      </c>
      <c r="K770" t="s">
        <v>31</v>
      </c>
      <c r="L770">
        <v>45762</v>
      </c>
      <c r="N770" t="s">
        <v>65</v>
      </c>
      <c r="P770" t="s">
        <v>2966</v>
      </c>
    </row>
    <row r="771" spans="1:16" x14ac:dyDescent="0.2">
      <c r="A771" t="s">
        <v>2967</v>
      </c>
      <c r="B771" t="s">
        <v>2968</v>
      </c>
      <c r="C771" t="s">
        <v>59</v>
      </c>
      <c r="D771" t="s">
        <v>2969</v>
      </c>
      <c r="F771" t="s">
        <v>2970</v>
      </c>
      <c r="H771" t="s">
        <v>2726</v>
      </c>
      <c r="I771" t="s">
        <v>2535</v>
      </c>
      <c r="J771">
        <v>2025</v>
      </c>
      <c r="K771" t="s">
        <v>3067</v>
      </c>
      <c r="L771">
        <v>45931</v>
      </c>
      <c r="N771" t="s">
        <v>65</v>
      </c>
      <c r="P771" t="s">
        <v>2971</v>
      </c>
    </row>
    <row r="772" spans="1:16" x14ac:dyDescent="0.2">
      <c r="A772" t="s">
        <v>2972</v>
      </c>
      <c r="B772" t="s">
        <v>2973</v>
      </c>
      <c r="C772" t="s">
        <v>59</v>
      </c>
      <c r="D772" t="s">
        <v>2969</v>
      </c>
      <c r="F772" t="s">
        <v>2974</v>
      </c>
      <c r="H772" t="s">
        <v>134</v>
      </c>
      <c r="I772" t="s">
        <v>2535</v>
      </c>
      <c r="J772">
        <v>2025</v>
      </c>
      <c r="K772" t="s">
        <v>2975</v>
      </c>
      <c r="L772">
        <v>45811</v>
      </c>
      <c r="N772" t="s">
        <v>65</v>
      </c>
      <c r="P772" t="s">
        <v>2976</v>
      </c>
    </row>
    <row r="773" spans="1:16" x14ac:dyDescent="0.2">
      <c r="A773" t="s">
        <v>2977</v>
      </c>
      <c r="B773" t="s">
        <v>2978</v>
      </c>
      <c r="C773" t="s">
        <v>59</v>
      </c>
      <c r="D773" t="s">
        <v>386</v>
      </c>
      <c r="F773" t="s">
        <v>2979</v>
      </c>
      <c r="H773" t="s">
        <v>255</v>
      </c>
      <c r="I773" t="s">
        <v>2535</v>
      </c>
      <c r="J773">
        <v>2025</v>
      </c>
      <c r="K773" t="s">
        <v>31</v>
      </c>
      <c r="L773">
        <v>45792</v>
      </c>
      <c r="N773" t="s">
        <v>65</v>
      </c>
      <c r="P773" t="s">
        <v>2980</v>
      </c>
    </row>
    <row r="774" spans="1:16" x14ac:dyDescent="0.2">
      <c r="A774" t="s">
        <v>2972</v>
      </c>
      <c r="B774" t="s">
        <v>2981</v>
      </c>
      <c r="C774" t="s">
        <v>59</v>
      </c>
      <c r="D774" t="s">
        <v>2969</v>
      </c>
      <c r="F774" t="s">
        <v>2974</v>
      </c>
      <c r="H774" t="s">
        <v>134</v>
      </c>
      <c r="I774" t="s">
        <v>1132</v>
      </c>
      <c r="J774">
        <v>2025</v>
      </c>
      <c r="K774" t="s">
        <v>2296</v>
      </c>
      <c r="L774">
        <v>45957</v>
      </c>
      <c r="N774" t="s">
        <v>65</v>
      </c>
      <c r="P774" t="s">
        <v>2976</v>
      </c>
    </row>
    <row r="775" spans="1:16" x14ac:dyDescent="0.2">
      <c r="A775" t="s">
        <v>2972</v>
      </c>
      <c r="B775" t="s">
        <v>3206</v>
      </c>
      <c r="C775" t="s">
        <v>59</v>
      </c>
      <c r="D775" t="s">
        <v>2969</v>
      </c>
      <c r="F775" t="s">
        <v>2974</v>
      </c>
      <c r="H775" t="s">
        <v>134</v>
      </c>
      <c r="I775" t="s">
        <v>1132</v>
      </c>
      <c r="J775">
        <v>2025</v>
      </c>
      <c r="K775" t="s">
        <v>2296</v>
      </c>
      <c r="L775">
        <v>45957</v>
      </c>
      <c r="N775" t="s">
        <v>65</v>
      </c>
      <c r="P775" t="s">
        <v>2976</v>
      </c>
    </row>
    <row r="776" spans="1:16" x14ac:dyDescent="0.2">
      <c r="A776" t="s">
        <v>2982</v>
      </c>
      <c r="B776" t="s">
        <v>2983</v>
      </c>
      <c r="C776" t="s">
        <v>59</v>
      </c>
      <c r="D776" t="s">
        <v>386</v>
      </c>
      <c r="F776" t="s">
        <v>2984</v>
      </c>
      <c r="H776" t="s">
        <v>255</v>
      </c>
      <c r="I776" t="s">
        <v>2535</v>
      </c>
      <c r="J776">
        <v>2025</v>
      </c>
      <c r="K776" t="s">
        <v>31</v>
      </c>
      <c r="L776">
        <v>45750</v>
      </c>
      <c r="N776" t="s">
        <v>65</v>
      </c>
      <c r="P776" t="s">
        <v>2985</v>
      </c>
    </row>
    <row r="777" spans="1:16" x14ac:dyDescent="0.2">
      <c r="A777" t="s">
        <v>2986</v>
      </c>
      <c r="B777" t="s">
        <v>3207</v>
      </c>
      <c r="C777" t="s">
        <v>59</v>
      </c>
      <c r="D777" t="s">
        <v>167</v>
      </c>
      <c r="F777" t="s">
        <v>3145</v>
      </c>
      <c r="H777" t="s">
        <v>1072</v>
      </c>
      <c r="I777" t="s">
        <v>1132</v>
      </c>
      <c r="J777">
        <v>2025</v>
      </c>
      <c r="K777" t="s">
        <v>202</v>
      </c>
      <c r="N777" t="s">
        <v>545</v>
      </c>
      <c r="O777" t="s">
        <v>2987</v>
      </c>
      <c r="P777" t="s">
        <v>3146</v>
      </c>
    </row>
    <row r="778" spans="1:16" x14ac:dyDescent="0.2">
      <c r="A778" t="s">
        <v>3208</v>
      </c>
      <c r="B778" t="s">
        <v>3395</v>
      </c>
      <c r="C778" t="s">
        <v>59</v>
      </c>
      <c r="D778" t="s">
        <v>2988</v>
      </c>
      <c r="F778" t="s">
        <v>97</v>
      </c>
      <c r="G778" t="s">
        <v>2989</v>
      </c>
      <c r="H778" t="s">
        <v>84</v>
      </c>
      <c r="I778" t="s">
        <v>1132</v>
      </c>
      <c r="J778">
        <v>2025</v>
      </c>
      <c r="K778" t="s">
        <v>471</v>
      </c>
      <c r="N778" t="s">
        <v>545</v>
      </c>
      <c r="P778" t="s">
        <v>3209</v>
      </c>
    </row>
    <row r="779" spans="1:16" x14ac:dyDescent="0.2">
      <c r="A779" t="s">
        <v>2990</v>
      </c>
      <c r="C779" t="s">
        <v>59</v>
      </c>
      <c r="D779" t="s">
        <v>2991</v>
      </c>
      <c r="F779" t="s">
        <v>2992</v>
      </c>
      <c r="G779" t="s">
        <v>2993</v>
      </c>
      <c r="H779" t="s">
        <v>77</v>
      </c>
      <c r="I779" t="s">
        <v>1132</v>
      </c>
      <c r="J779">
        <v>2025</v>
      </c>
      <c r="K779" t="s">
        <v>31</v>
      </c>
      <c r="N779" t="s">
        <v>545</v>
      </c>
      <c r="P779" t="s">
        <v>2994</v>
      </c>
    </row>
    <row r="780" spans="1:16" x14ac:dyDescent="0.2">
      <c r="A780" t="s">
        <v>2977</v>
      </c>
      <c r="B780" t="s">
        <v>2995</v>
      </c>
      <c r="C780" t="s">
        <v>59</v>
      </c>
      <c r="D780" t="s">
        <v>386</v>
      </c>
      <c r="F780" t="s">
        <v>3210</v>
      </c>
      <c r="G780" t="s">
        <v>2996</v>
      </c>
      <c r="H780" t="s">
        <v>255</v>
      </c>
      <c r="I780" t="s">
        <v>1132</v>
      </c>
      <c r="J780">
        <v>2025</v>
      </c>
      <c r="K780" t="s">
        <v>202</v>
      </c>
      <c r="L780">
        <v>46248</v>
      </c>
      <c r="N780" t="s">
        <v>545</v>
      </c>
      <c r="P780" t="s">
        <v>3211</v>
      </c>
    </row>
    <row r="781" spans="1:16" x14ac:dyDescent="0.2">
      <c r="A781" t="s">
        <v>2997</v>
      </c>
      <c r="C781" t="s">
        <v>59</v>
      </c>
      <c r="D781" t="s">
        <v>2991</v>
      </c>
      <c r="F781" t="s">
        <v>2998</v>
      </c>
      <c r="G781" t="s">
        <v>2999</v>
      </c>
      <c r="H781" t="s">
        <v>77</v>
      </c>
      <c r="I781" t="s">
        <v>1132</v>
      </c>
      <c r="J781">
        <v>2025</v>
      </c>
      <c r="K781" t="s">
        <v>31</v>
      </c>
      <c r="N781" t="s">
        <v>545</v>
      </c>
      <c r="P781" t="s">
        <v>3000</v>
      </c>
    </row>
    <row r="782" spans="1:16" x14ac:dyDescent="0.2">
      <c r="A782" t="s">
        <v>3001</v>
      </c>
      <c r="C782" t="s">
        <v>31</v>
      </c>
      <c r="D782" t="s">
        <v>167</v>
      </c>
      <c r="F782" t="s">
        <v>3002</v>
      </c>
      <c r="J782">
        <v>2025</v>
      </c>
      <c r="K782" t="s">
        <v>31</v>
      </c>
      <c r="N782" t="s">
        <v>31</v>
      </c>
      <c r="P782" t="s">
        <v>3003</v>
      </c>
    </row>
    <row r="783" spans="1:16" x14ac:dyDescent="0.2">
      <c r="A783" t="s">
        <v>3004</v>
      </c>
      <c r="B783" t="s">
        <v>3396</v>
      </c>
      <c r="C783" t="s">
        <v>59</v>
      </c>
      <c r="D783" t="s">
        <v>2724</v>
      </c>
      <c r="F783" t="s">
        <v>3005</v>
      </c>
      <c r="G783" t="s">
        <v>3006</v>
      </c>
      <c r="H783" t="s">
        <v>2726</v>
      </c>
      <c r="I783" t="s">
        <v>2535</v>
      </c>
      <c r="J783">
        <v>2025</v>
      </c>
      <c r="K783" t="s">
        <v>202</v>
      </c>
      <c r="N783" t="s">
        <v>545</v>
      </c>
      <c r="P783" t="s">
        <v>3007</v>
      </c>
    </row>
    <row r="784" spans="1:16" x14ac:dyDescent="0.2">
      <c r="A784" t="s">
        <v>3004</v>
      </c>
      <c r="B784" t="s">
        <v>3397</v>
      </c>
      <c r="C784" t="s">
        <v>59</v>
      </c>
      <c r="D784" t="s">
        <v>2724</v>
      </c>
      <c r="F784" t="s">
        <v>3005</v>
      </c>
      <c r="G784" t="s">
        <v>3008</v>
      </c>
      <c r="H784" t="s">
        <v>2726</v>
      </c>
      <c r="I784" t="s">
        <v>2535</v>
      </c>
      <c r="J784">
        <v>2025</v>
      </c>
      <c r="K784" t="s">
        <v>3067</v>
      </c>
      <c r="N784" t="s">
        <v>65</v>
      </c>
      <c r="P784" t="s">
        <v>3007</v>
      </c>
    </row>
    <row r="785" spans="1:16" x14ac:dyDescent="0.2">
      <c r="A785" t="s">
        <v>3009</v>
      </c>
      <c r="B785" t="s">
        <v>3010</v>
      </c>
      <c r="C785" t="s">
        <v>59</v>
      </c>
      <c r="D785" t="s">
        <v>3147</v>
      </c>
      <c r="E785" t="s">
        <v>3148</v>
      </c>
      <c r="F785" t="s">
        <v>2084</v>
      </c>
      <c r="G785" t="s">
        <v>3011</v>
      </c>
      <c r="H785" t="s">
        <v>255</v>
      </c>
      <c r="I785" t="s">
        <v>1132</v>
      </c>
      <c r="J785">
        <v>2025</v>
      </c>
      <c r="K785" t="s">
        <v>471</v>
      </c>
      <c r="L785">
        <v>45859</v>
      </c>
      <c r="N785" t="s">
        <v>545</v>
      </c>
      <c r="P785" t="s">
        <v>3212</v>
      </c>
    </row>
    <row r="786" spans="1:16" x14ac:dyDescent="0.2">
      <c r="A786" t="s">
        <v>3012</v>
      </c>
      <c r="B786" t="s">
        <v>3013</v>
      </c>
      <c r="C786" t="s">
        <v>59</v>
      </c>
      <c r="D786" t="s">
        <v>2719</v>
      </c>
      <c r="E786" t="s">
        <v>3014</v>
      </c>
      <c r="F786" t="s">
        <v>3015</v>
      </c>
      <c r="G786" t="s">
        <v>2763</v>
      </c>
      <c r="H786" t="s">
        <v>129</v>
      </c>
      <c r="I786" t="s">
        <v>129</v>
      </c>
      <c r="J786">
        <v>2025</v>
      </c>
      <c r="K786" t="s">
        <v>471</v>
      </c>
      <c r="L786" t="s">
        <v>3016</v>
      </c>
      <c r="M786" t="s">
        <v>3398</v>
      </c>
      <c r="N786" t="s">
        <v>545</v>
      </c>
      <c r="O786" t="s">
        <v>3399</v>
      </c>
      <c r="P786" t="s">
        <v>3017</v>
      </c>
    </row>
    <row r="787" spans="1:16" x14ac:dyDescent="0.2">
      <c r="A787" t="s">
        <v>3018</v>
      </c>
      <c r="B787" t="s">
        <v>3019</v>
      </c>
      <c r="C787" t="s">
        <v>59</v>
      </c>
      <c r="D787" t="s">
        <v>828</v>
      </c>
      <c r="F787" t="s">
        <v>1360</v>
      </c>
      <c r="H787" t="s">
        <v>255</v>
      </c>
      <c r="I787" t="s">
        <v>1132</v>
      </c>
      <c r="K787" t="s">
        <v>202</v>
      </c>
      <c r="N787" t="s">
        <v>31</v>
      </c>
      <c r="P787" t="s">
        <v>3020</v>
      </c>
    </row>
    <row r="788" spans="1:16" x14ac:dyDescent="0.2">
      <c r="A788" t="s">
        <v>3021</v>
      </c>
      <c r="B788" t="s">
        <v>3022</v>
      </c>
      <c r="C788" t="s">
        <v>59</v>
      </c>
      <c r="D788" t="s">
        <v>2569</v>
      </c>
      <c r="F788" t="s">
        <v>3023</v>
      </c>
      <c r="G788" t="s">
        <v>3024</v>
      </c>
      <c r="H788" t="s">
        <v>162</v>
      </c>
      <c r="I788" t="s">
        <v>2535</v>
      </c>
      <c r="J788">
        <v>2025</v>
      </c>
      <c r="K788" t="s">
        <v>3025</v>
      </c>
      <c r="L788">
        <v>45838</v>
      </c>
      <c r="N788" t="s">
        <v>65</v>
      </c>
      <c r="P788" t="s">
        <v>3026</v>
      </c>
    </row>
    <row r="789" spans="1:16" x14ac:dyDescent="0.2">
      <c r="A789" t="s">
        <v>3027</v>
      </c>
      <c r="B789" t="s">
        <v>3028</v>
      </c>
      <c r="C789" t="s">
        <v>31</v>
      </c>
      <c r="D789" t="s">
        <v>3029</v>
      </c>
      <c r="E789" t="s">
        <v>3030</v>
      </c>
      <c r="F789" t="s">
        <v>3149</v>
      </c>
      <c r="G789" t="s">
        <v>3185</v>
      </c>
      <c r="H789" t="s">
        <v>3186</v>
      </c>
      <c r="I789" t="s">
        <v>3187</v>
      </c>
      <c r="J789">
        <v>2025</v>
      </c>
      <c r="K789" t="s">
        <v>3188</v>
      </c>
      <c r="N789" t="s">
        <v>31</v>
      </c>
      <c r="P789" t="s">
        <v>3150</v>
      </c>
    </row>
    <row r="790" spans="1:16" x14ac:dyDescent="0.2">
      <c r="A790" t="s">
        <v>3031</v>
      </c>
      <c r="B790" t="s">
        <v>3032</v>
      </c>
      <c r="C790" t="s">
        <v>59</v>
      </c>
      <c r="D790" t="s">
        <v>2969</v>
      </c>
      <c r="F790" t="s">
        <v>3033</v>
      </c>
      <c r="G790" t="s">
        <v>3034</v>
      </c>
      <c r="H790" t="s">
        <v>418</v>
      </c>
      <c r="I790" t="s">
        <v>2535</v>
      </c>
      <c r="J790">
        <v>2025</v>
      </c>
      <c r="K790" t="s">
        <v>3025</v>
      </c>
      <c r="L790">
        <v>45808</v>
      </c>
      <c r="N790" t="s">
        <v>65</v>
      </c>
      <c r="P790" t="s">
        <v>3035</v>
      </c>
    </row>
    <row r="791" spans="1:16" x14ac:dyDescent="0.2">
      <c r="A791" t="s">
        <v>3036</v>
      </c>
      <c r="C791" t="s">
        <v>31</v>
      </c>
      <c r="D791" t="s">
        <v>2969</v>
      </c>
      <c r="F791" t="s">
        <v>3037</v>
      </c>
      <c r="I791" t="s">
        <v>2535</v>
      </c>
      <c r="J791">
        <v>2025</v>
      </c>
      <c r="K791" t="s">
        <v>31</v>
      </c>
      <c r="N791" t="s">
        <v>31</v>
      </c>
      <c r="P791" t="s">
        <v>3038</v>
      </c>
    </row>
    <row r="792" spans="1:16" x14ac:dyDescent="0.2">
      <c r="A792" t="s">
        <v>3039</v>
      </c>
      <c r="B792" t="s">
        <v>3040</v>
      </c>
      <c r="C792" t="s">
        <v>59</v>
      </c>
      <c r="D792" t="s">
        <v>2569</v>
      </c>
      <c r="F792" t="s">
        <v>3041</v>
      </c>
      <c r="H792" t="s">
        <v>162</v>
      </c>
      <c r="I792" t="s">
        <v>2535</v>
      </c>
      <c r="J792">
        <v>2025</v>
      </c>
      <c r="K792" t="s">
        <v>3025</v>
      </c>
      <c r="N792" t="s">
        <v>545</v>
      </c>
      <c r="P792" t="s">
        <v>3042</v>
      </c>
    </row>
    <row r="793" spans="1:16" x14ac:dyDescent="0.2">
      <c r="A793" t="s">
        <v>3043</v>
      </c>
      <c r="B793" t="s">
        <v>3044</v>
      </c>
      <c r="C793" t="s">
        <v>59</v>
      </c>
      <c r="D793" t="s">
        <v>82</v>
      </c>
      <c r="E793" t="s">
        <v>1874</v>
      </c>
      <c r="F793" t="s">
        <v>1875</v>
      </c>
      <c r="G793" t="s">
        <v>3045</v>
      </c>
      <c r="H793" t="s">
        <v>77</v>
      </c>
      <c r="I793" t="s">
        <v>1132</v>
      </c>
      <c r="J793">
        <v>2025</v>
      </c>
      <c r="K793" t="s">
        <v>221</v>
      </c>
      <c r="L793">
        <v>45764</v>
      </c>
      <c r="N793" t="s">
        <v>65</v>
      </c>
      <c r="P793" t="s">
        <v>3046</v>
      </c>
    </row>
    <row r="794" spans="1:16" x14ac:dyDescent="0.2">
      <c r="A794" t="s">
        <v>3047</v>
      </c>
      <c r="C794" t="s">
        <v>59</v>
      </c>
      <c r="D794" t="s">
        <v>2969</v>
      </c>
      <c r="F794" t="s">
        <v>3048</v>
      </c>
      <c r="G794" t="s">
        <v>3034</v>
      </c>
      <c r="H794" t="s">
        <v>198</v>
      </c>
      <c r="I794" t="s">
        <v>2535</v>
      </c>
      <c r="J794">
        <v>2025</v>
      </c>
      <c r="K794" t="s">
        <v>3025</v>
      </c>
      <c r="L794">
        <v>46006</v>
      </c>
      <c r="N794" t="s">
        <v>545</v>
      </c>
      <c r="P794" t="s">
        <v>3049</v>
      </c>
    </row>
    <row r="795" spans="1:16" x14ac:dyDescent="0.2">
      <c r="A795" t="s">
        <v>3050</v>
      </c>
      <c r="C795" t="s">
        <v>31</v>
      </c>
      <c r="D795" t="s">
        <v>3051</v>
      </c>
      <c r="F795" t="s">
        <v>3052</v>
      </c>
      <c r="G795" t="s">
        <v>3053</v>
      </c>
      <c r="H795" t="s">
        <v>162</v>
      </c>
      <c r="I795" t="s">
        <v>2535</v>
      </c>
      <c r="J795">
        <v>2025</v>
      </c>
      <c r="K795" t="s">
        <v>471</v>
      </c>
      <c r="L795" t="s">
        <v>31</v>
      </c>
      <c r="N795" t="s">
        <v>545</v>
      </c>
      <c r="P795" t="s">
        <v>3054</v>
      </c>
    </row>
    <row r="796" spans="1:16" x14ac:dyDescent="0.2">
      <c r="A796" t="s">
        <v>3055</v>
      </c>
      <c r="B796" t="s">
        <v>3056</v>
      </c>
      <c r="C796" t="s">
        <v>59</v>
      </c>
      <c r="D796" t="s">
        <v>253</v>
      </c>
      <c r="F796" t="s">
        <v>3057</v>
      </c>
      <c r="G796" t="s">
        <v>3058</v>
      </c>
      <c r="H796" t="s">
        <v>877</v>
      </c>
      <c r="I796" t="s">
        <v>1132</v>
      </c>
      <c r="J796">
        <v>2025</v>
      </c>
      <c r="K796" t="s">
        <v>221</v>
      </c>
      <c r="L796">
        <v>45814</v>
      </c>
      <c r="N796" t="s">
        <v>65</v>
      </c>
      <c r="P796" t="s">
        <v>3059</v>
      </c>
    </row>
    <row r="797" spans="1:16" x14ac:dyDescent="0.2">
      <c r="A797" t="s">
        <v>3060</v>
      </c>
      <c r="B797" t="s">
        <v>3061</v>
      </c>
      <c r="C797" t="s">
        <v>59</v>
      </c>
      <c r="D797" t="s">
        <v>3062</v>
      </c>
      <c r="F797" t="s">
        <v>3063</v>
      </c>
      <c r="H797" t="s">
        <v>134</v>
      </c>
      <c r="I797" t="s">
        <v>1132</v>
      </c>
      <c r="J797">
        <v>2025</v>
      </c>
      <c r="K797" t="s">
        <v>221</v>
      </c>
      <c r="L797">
        <v>45835</v>
      </c>
      <c r="N797" t="s">
        <v>65</v>
      </c>
      <c r="P797" t="s">
        <v>3064</v>
      </c>
    </row>
    <row r="798" spans="1:16" x14ac:dyDescent="0.2">
      <c r="A798" t="s">
        <v>3065</v>
      </c>
      <c r="B798" t="s">
        <v>3151</v>
      </c>
      <c r="C798" t="s">
        <v>59</v>
      </c>
      <c r="D798" t="s">
        <v>2969</v>
      </c>
      <c r="F798" t="s">
        <v>3066</v>
      </c>
      <c r="G798" t="s">
        <v>2914</v>
      </c>
      <c r="I798" t="s">
        <v>2535</v>
      </c>
      <c r="J798">
        <v>2025</v>
      </c>
      <c r="K798" t="s">
        <v>3067</v>
      </c>
      <c r="N798" t="s">
        <v>65</v>
      </c>
      <c r="P798" t="s">
        <v>3068</v>
      </c>
    </row>
    <row r="799" spans="1:16" x14ac:dyDescent="0.2">
      <c r="A799" t="s">
        <v>3069</v>
      </c>
      <c r="B799" t="s">
        <v>3070</v>
      </c>
      <c r="C799" t="s">
        <v>59</v>
      </c>
      <c r="D799" t="s">
        <v>561</v>
      </c>
      <c r="H799" t="s">
        <v>117</v>
      </c>
      <c r="I799" t="s">
        <v>1132</v>
      </c>
      <c r="J799">
        <v>2025</v>
      </c>
      <c r="K799" t="s">
        <v>221</v>
      </c>
      <c r="L799">
        <v>45869</v>
      </c>
      <c r="N799" t="s">
        <v>65</v>
      </c>
      <c r="P799" t="s">
        <v>3071</v>
      </c>
    </row>
    <row r="800" spans="1:16" x14ac:dyDescent="0.2">
      <c r="A800" t="s">
        <v>3124</v>
      </c>
      <c r="B800" t="s">
        <v>3125</v>
      </c>
      <c r="C800" t="s">
        <v>59</v>
      </c>
      <c r="D800" t="s">
        <v>253</v>
      </c>
      <c r="F800" t="s">
        <v>254</v>
      </c>
      <c r="G800" t="s">
        <v>3126</v>
      </c>
      <c r="H800" t="s">
        <v>255</v>
      </c>
      <c r="I800" t="s">
        <v>1132</v>
      </c>
      <c r="J800">
        <v>2025</v>
      </c>
      <c r="K800" t="s">
        <v>221</v>
      </c>
      <c r="L800">
        <v>45856</v>
      </c>
      <c r="N800" t="s">
        <v>65</v>
      </c>
      <c r="P800" t="s">
        <v>3127</v>
      </c>
    </row>
    <row r="801" spans="1:16" x14ac:dyDescent="0.2">
      <c r="A801" t="s">
        <v>3213</v>
      </c>
      <c r="B801" t="s">
        <v>3135</v>
      </c>
      <c r="C801" t="s">
        <v>59</v>
      </c>
      <c r="D801" t="s">
        <v>2969</v>
      </c>
      <c r="F801" t="s">
        <v>3136</v>
      </c>
      <c r="G801" t="s">
        <v>3137</v>
      </c>
      <c r="H801" t="s">
        <v>162</v>
      </c>
      <c r="I801" t="s">
        <v>2535</v>
      </c>
      <c r="J801">
        <v>2025</v>
      </c>
      <c r="K801" t="s">
        <v>3025</v>
      </c>
      <c r="L801">
        <v>45863</v>
      </c>
      <c r="N801" t="s">
        <v>65</v>
      </c>
      <c r="P801" t="s">
        <v>3214</v>
      </c>
    </row>
    <row r="802" spans="1:16" x14ac:dyDescent="0.2">
      <c r="A802" t="s">
        <v>3152</v>
      </c>
      <c r="B802" t="s">
        <v>3153</v>
      </c>
      <c r="C802" t="s">
        <v>59</v>
      </c>
      <c r="D802" t="s">
        <v>652</v>
      </c>
      <c r="F802" t="s">
        <v>652</v>
      </c>
      <c r="H802" t="s">
        <v>77</v>
      </c>
      <c r="I802" t="s">
        <v>1132</v>
      </c>
      <c r="J802">
        <v>2025</v>
      </c>
      <c r="K802" t="s">
        <v>221</v>
      </c>
      <c r="L802">
        <v>45855</v>
      </c>
      <c r="N802" t="s">
        <v>65</v>
      </c>
      <c r="P802" t="s">
        <v>3154</v>
      </c>
    </row>
    <row r="803" spans="1:16" x14ac:dyDescent="0.2">
      <c r="A803" t="s">
        <v>3155</v>
      </c>
      <c r="B803" t="s">
        <v>3156</v>
      </c>
      <c r="C803" t="s">
        <v>59</v>
      </c>
      <c r="D803" t="s">
        <v>115</v>
      </c>
      <c r="F803" t="s">
        <v>2323</v>
      </c>
      <c r="G803" t="s">
        <v>3157</v>
      </c>
      <c r="H803" t="s">
        <v>117</v>
      </c>
      <c r="I803" t="s">
        <v>1132</v>
      </c>
      <c r="J803">
        <v>2025</v>
      </c>
      <c r="K803" t="s">
        <v>221</v>
      </c>
      <c r="L803">
        <v>45790</v>
      </c>
      <c r="N803" t="s">
        <v>65</v>
      </c>
      <c r="P803" t="s">
        <v>3158</v>
      </c>
    </row>
    <row r="804" spans="1:16" x14ac:dyDescent="0.2">
      <c r="A804" t="s">
        <v>3155</v>
      </c>
      <c r="B804" t="s">
        <v>3159</v>
      </c>
      <c r="C804" t="s">
        <v>59</v>
      </c>
      <c r="D804" t="s">
        <v>115</v>
      </c>
      <c r="F804" t="s">
        <v>2323</v>
      </c>
      <c r="G804" t="s">
        <v>3160</v>
      </c>
      <c r="H804" t="s">
        <v>117</v>
      </c>
      <c r="I804" t="s">
        <v>1132</v>
      </c>
      <c r="J804">
        <v>2025</v>
      </c>
      <c r="K804" t="s">
        <v>221</v>
      </c>
      <c r="L804">
        <v>45818</v>
      </c>
      <c r="N804" t="s">
        <v>65</v>
      </c>
      <c r="P804" t="s">
        <v>3158</v>
      </c>
    </row>
    <row r="805" spans="1:16" x14ac:dyDescent="0.2">
      <c r="A805" t="s">
        <v>3161</v>
      </c>
      <c r="B805" t="s">
        <v>3162</v>
      </c>
      <c r="C805" t="s">
        <v>59</v>
      </c>
      <c r="D805" t="s">
        <v>2585</v>
      </c>
      <c r="F805" t="s">
        <v>488</v>
      </c>
      <c r="G805" t="s">
        <v>3163</v>
      </c>
      <c r="H805" t="s">
        <v>489</v>
      </c>
      <c r="I805" t="s">
        <v>1132</v>
      </c>
      <c r="J805">
        <v>2025</v>
      </c>
      <c r="K805" t="s">
        <v>221</v>
      </c>
      <c r="L805">
        <v>45957</v>
      </c>
      <c r="N805" t="s">
        <v>31</v>
      </c>
      <c r="P805" t="s">
        <v>3164</v>
      </c>
    </row>
    <row r="806" spans="1:16" x14ac:dyDescent="0.2">
      <c r="A806" t="s">
        <v>3165</v>
      </c>
      <c r="B806" t="s">
        <v>3166</v>
      </c>
      <c r="C806" t="s">
        <v>59</v>
      </c>
      <c r="D806" t="s">
        <v>2969</v>
      </c>
      <c r="F806" t="s">
        <v>3167</v>
      </c>
      <c r="G806" t="s">
        <v>3168</v>
      </c>
      <c r="H806" t="s">
        <v>1139</v>
      </c>
      <c r="I806" t="s">
        <v>2535</v>
      </c>
      <c r="J806">
        <v>2025</v>
      </c>
      <c r="K806" t="s">
        <v>3067</v>
      </c>
      <c r="L806">
        <v>45915</v>
      </c>
      <c r="N806" t="s">
        <v>65</v>
      </c>
      <c r="P806" t="s">
        <v>3169</v>
      </c>
    </row>
    <row r="807" spans="1:16" x14ac:dyDescent="0.2">
      <c r="A807" t="s">
        <v>3170</v>
      </c>
      <c r="B807" t="s">
        <v>3171</v>
      </c>
      <c r="C807" t="s">
        <v>59</v>
      </c>
      <c r="D807" t="s">
        <v>3172</v>
      </c>
      <c r="F807" t="s">
        <v>3173</v>
      </c>
      <c r="G807" t="s">
        <v>3174</v>
      </c>
      <c r="H807" t="s">
        <v>157</v>
      </c>
      <c r="I807" t="s">
        <v>1132</v>
      </c>
      <c r="J807">
        <v>2025</v>
      </c>
      <c r="K807" t="s">
        <v>3215</v>
      </c>
      <c r="L807">
        <v>45897</v>
      </c>
      <c r="N807" t="s">
        <v>545</v>
      </c>
      <c r="P807" t="s">
        <v>3175</v>
      </c>
    </row>
    <row r="808" spans="1:16" x14ac:dyDescent="0.2">
      <c r="A808" t="s">
        <v>3176</v>
      </c>
      <c r="B808" t="s">
        <v>3177</v>
      </c>
      <c r="C808" t="s">
        <v>59</v>
      </c>
      <c r="D808" t="s">
        <v>60</v>
      </c>
      <c r="F808" t="s">
        <v>3178</v>
      </c>
      <c r="G808" t="s">
        <v>3179</v>
      </c>
      <c r="H808" t="s">
        <v>63</v>
      </c>
      <c r="I808" t="s">
        <v>1132</v>
      </c>
      <c r="J808">
        <v>2025</v>
      </c>
      <c r="K808" t="s">
        <v>64</v>
      </c>
      <c r="L808">
        <v>45939</v>
      </c>
      <c r="N808" t="s">
        <v>65</v>
      </c>
      <c r="P808" t="s">
        <v>3180</v>
      </c>
    </row>
    <row r="809" spans="1:16" x14ac:dyDescent="0.2">
      <c r="A809" t="s">
        <v>3181</v>
      </c>
      <c r="B809" t="s">
        <v>3182</v>
      </c>
      <c r="C809" t="s">
        <v>59</v>
      </c>
      <c r="D809" t="s">
        <v>167</v>
      </c>
      <c r="E809" t="s">
        <v>561</v>
      </c>
      <c r="F809" t="s">
        <v>2328</v>
      </c>
      <c r="G809" t="s">
        <v>3183</v>
      </c>
      <c r="H809" t="s">
        <v>117</v>
      </c>
      <c r="I809" t="s">
        <v>1132</v>
      </c>
      <c r="J809">
        <v>2025</v>
      </c>
      <c r="K809" t="s">
        <v>221</v>
      </c>
      <c r="L809">
        <v>45869</v>
      </c>
      <c r="N809" t="s">
        <v>65</v>
      </c>
      <c r="P809" t="s">
        <v>3184</v>
      </c>
    </row>
    <row r="810" spans="1:16" x14ac:dyDescent="0.2">
      <c r="A810" t="s">
        <v>3189</v>
      </c>
      <c r="C810" t="s">
        <v>31</v>
      </c>
      <c r="D810" t="s">
        <v>3029</v>
      </c>
      <c r="E810" t="s">
        <v>3190</v>
      </c>
      <c r="G810" t="s">
        <v>3191</v>
      </c>
      <c r="I810" t="s">
        <v>3187</v>
      </c>
      <c r="J810">
        <v>2025</v>
      </c>
      <c r="K810" t="s">
        <v>3188</v>
      </c>
      <c r="N810" t="s">
        <v>31</v>
      </c>
      <c r="P810" t="s">
        <v>3192</v>
      </c>
    </row>
    <row r="811" spans="1:16" x14ac:dyDescent="0.2">
      <c r="A811" t="s">
        <v>3193</v>
      </c>
      <c r="C811" t="s">
        <v>31</v>
      </c>
      <c r="D811" t="s">
        <v>3029</v>
      </c>
      <c r="E811" t="s">
        <v>3194</v>
      </c>
      <c r="G811" t="s">
        <v>3195</v>
      </c>
      <c r="I811" t="s">
        <v>3187</v>
      </c>
      <c r="J811">
        <v>2025</v>
      </c>
      <c r="K811" t="s">
        <v>3188</v>
      </c>
      <c r="N811" t="s">
        <v>31</v>
      </c>
      <c r="P811" t="s">
        <v>3196</v>
      </c>
    </row>
    <row r="812" spans="1:16" x14ac:dyDescent="0.2">
      <c r="A812" t="s">
        <v>3197</v>
      </c>
      <c r="C812" t="s">
        <v>59</v>
      </c>
      <c r="D812" t="s">
        <v>2969</v>
      </c>
      <c r="F812" t="s">
        <v>3198</v>
      </c>
      <c r="G812" t="s">
        <v>3137</v>
      </c>
      <c r="H812" t="s">
        <v>3199</v>
      </c>
      <c r="I812" t="s">
        <v>2535</v>
      </c>
      <c r="J812">
        <v>2025</v>
      </c>
      <c r="K812" t="s">
        <v>3025</v>
      </c>
      <c r="L812">
        <v>46006</v>
      </c>
      <c r="N812" t="s">
        <v>545</v>
      </c>
      <c r="P812" t="s">
        <v>3200</v>
      </c>
    </row>
    <row r="813" spans="1:16" x14ac:dyDescent="0.2">
      <c r="A813" t="s">
        <v>3201</v>
      </c>
      <c r="B813" t="s">
        <v>3216</v>
      </c>
      <c r="C813" t="s">
        <v>59</v>
      </c>
      <c r="D813" t="s">
        <v>253</v>
      </c>
      <c r="F813" t="s">
        <v>1535</v>
      </c>
      <c r="G813" t="s">
        <v>3202</v>
      </c>
      <c r="H813" t="s">
        <v>193</v>
      </c>
      <c r="I813" t="s">
        <v>1132</v>
      </c>
      <c r="J813">
        <v>2025</v>
      </c>
      <c r="K813" t="s">
        <v>221</v>
      </c>
      <c r="L813">
        <v>45882</v>
      </c>
      <c r="M813" t="s">
        <v>3217</v>
      </c>
      <c r="N813" t="s">
        <v>65</v>
      </c>
      <c r="O813" t="s">
        <v>3218</v>
      </c>
      <c r="P813" t="s">
        <v>3203</v>
      </c>
    </row>
    <row r="814" spans="1:16" x14ac:dyDescent="0.2">
      <c r="A814" t="s">
        <v>3219</v>
      </c>
      <c r="B814" t="s">
        <v>3220</v>
      </c>
      <c r="C814" t="s">
        <v>59</v>
      </c>
      <c r="D814" t="s">
        <v>2969</v>
      </c>
      <c r="F814" t="s">
        <v>3221</v>
      </c>
      <c r="G814" t="s">
        <v>3222</v>
      </c>
      <c r="H814" t="s">
        <v>3223</v>
      </c>
      <c r="I814" t="s">
        <v>2535</v>
      </c>
      <c r="J814">
        <v>2025</v>
      </c>
      <c r="K814" t="s">
        <v>3025</v>
      </c>
      <c r="L814">
        <v>45836</v>
      </c>
      <c r="N814" t="s">
        <v>65</v>
      </c>
      <c r="P814" t="s">
        <v>3224</v>
      </c>
    </row>
    <row r="815" spans="1:16" x14ac:dyDescent="0.2">
      <c r="A815" t="s">
        <v>3225</v>
      </c>
      <c r="C815" t="s">
        <v>59</v>
      </c>
      <c r="D815" t="s">
        <v>60</v>
      </c>
      <c r="F815" t="s">
        <v>3226</v>
      </c>
      <c r="H815" t="s">
        <v>1072</v>
      </c>
      <c r="I815" t="s">
        <v>1132</v>
      </c>
      <c r="J815">
        <v>2025</v>
      </c>
      <c r="K815" t="s">
        <v>2296</v>
      </c>
      <c r="N815" t="s">
        <v>545</v>
      </c>
      <c r="P815" t="s">
        <v>3227</v>
      </c>
    </row>
    <row r="816" spans="1:16" x14ac:dyDescent="0.2">
      <c r="A816" t="s">
        <v>3228</v>
      </c>
      <c r="B816" t="s">
        <v>3229</v>
      </c>
      <c r="C816" t="s">
        <v>59</v>
      </c>
      <c r="D816" t="s">
        <v>2969</v>
      </c>
      <c r="F816" t="s">
        <v>3230</v>
      </c>
      <c r="G816" t="s">
        <v>3137</v>
      </c>
      <c r="H816" t="s">
        <v>877</v>
      </c>
      <c r="I816" t="s">
        <v>2535</v>
      </c>
      <c r="J816">
        <v>2025</v>
      </c>
      <c r="K816" t="s">
        <v>3025</v>
      </c>
      <c r="L816">
        <v>45915</v>
      </c>
      <c r="N816" t="s">
        <v>545</v>
      </c>
      <c r="P816" t="s">
        <v>3231</v>
      </c>
    </row>
    <row r="817" spans="1:19" x14ac:dyDescent="0.2">
      <c r="A817" t="s">
        <v>3232</v>
      </c>
      <c r="B817" t="s">
        <v>3233</v>
      </c>
      <c r="C817" t="s">
        <v>59</v>
      </c>
      <c r="D817" t="s">
        <v>2969</v>
      </c>
      <c r="F817" t="s">
        <v>3234</v>
      </c>
      <c r="G817" t="s">
        <v>3137</v>
      </c>
      <c r="H817" t="s">
        <v>198</v>
      </c>
      <c r="I817" t="s">
        <v>2535</v>
      </c>
      <c r="J817">
        <v>2025</v>
      </c>
      <c r="K817" t="s">
        <v>3067</v>
      </c>
      <c r="L817">
        <v>45870</v>
      </c>
      <c r="N817" t="s">
        <v>545</v>
      </c>
      <c r="P817" t="s">
        <v>3235</v>
      </c>
      <c r="Q817" t="s">
        <v>3235</v>
      </c>
      <c r="R817" t="s">
        <v>3235</v>
      </c>
      <c r="S817" t="s">
        <v>3235</v>
      </c>
    </row>
    <row r="818" spans="1:19" x14ac:dyDescent="0.2">
      <c r="A818" t="s">
        <v>3236</v>
      </c>
      <c r="B818" t="s">
        <v>3237</v>
      </c>
      <c r="C818" t="s">
        <v>59</v>
      </c>
      <c r="D818" t="s">
        <v>3238</v>
      </c>
      <c r="F818" t="s">
        <v>691</v>
      </c>
      <c r="G818" t="s">
        <v>3239</v>
      </c>
      <c r="H818" t="s">
        <v>134</v>
      </c>
      <c r="I818" t="s">
        <v>1132</v>
      </c>
      <c r="J818">
        <v>2025</v>
      </c>
      <c r="K818" t="s">
        <v>221</v>
      </c>
      <c r="L818">
        <v>45868</v>
      </c>
      <c r="N818" t="s">
        <v>65</v>
      </c>
      <c r="P818" t="s">
        <v>3240</v>
      </c>
    </row>
    <row r="819" spans="1:19" x14ac:dyDescent="0.2">
      <c r="A819" t="s">
        <v>3241</v>
      </c>
      <c r="B819" t="s">
        <v>3242</v>
      </c>
      <c r="C819" t="s">
        <v>59</v>
      </c>
      <c r="D819" t="s">
        <v>3243</v>
      </c>
      <c r="F819" t="s">
        <v>3244</v>
      </c>
      <c r="H819" t="s">
        <v>157</v>
      </c>
      <c r="I819" t="s">
        <v>1132</v>
      </c>
      <c r="J819">
        <v>2025</v>
      </c>
      <c r="K819" t="s">
        <v>221</v>
      </c>
      <c r="L819">
        <v>45931</v>
      </c>
      <c r="M819" t="s">
        <v>3245</v>
      </c>
      <c r="N819" t="s">
        <v>65</v>
      </c>
      <c r="P819" t="s">
        <v>3246</v>
      </c>
    </row>
    <row r="820" spans="1:19" x14ac:dyDescent="0.2">
      <c r="A820" t="s">
        <v>3247</v>
      </c>
      <c r="B820" t="s">
        <v>3248</v>
      </c>
      <c r="C820" t="s">
        <v>59</v>
      </c>
      <c r="D820" t="s">
        <v>115</v>
      </c>
      <c r="F820" t="s">
        <v>285</v>
      </c>
      <c r="G820" t="s">
        <v>3249</v>
      </c>
      <c r="H820" t="s">
        <v>117</v>
      </c>
      <c r="I820" t="s">
        <v>1132</v>
      </c>
      <c r="J820">
        <v>2025</v>
      </c>
      <c r="K820" t="s">
        <v>221</v>
      </c>
      <c r="L820">
        <v>45877</v>
      </c>
      <c r="M820" t="s">
        <v>3245</v>
      </c>
      <c r="N820" t="s">
        <v>65</v>
      </c>
      <c r="P820" t="s">
        <v>3250</v>
      </c>
    </row>
    <row r="821" spans="1:19" x14ac:dyDescent="0.2">
      <c r="A821" t="s">
        <v>3251</v>
      </c>
      <c r="B821" t="s">
        <v>3252</v>
      </c>
      <c r="C821" t="s">
        <v>59</v>
      </c>
      <c r="D821" t="s">
        <v>115</v>
      </c>
      <c r="F821" t="s">
        <v>2323</v>
      </c>
      <c r="G821" t="s">
        <v>3253</v>
      </c>
      <c r="H821" t="s">
        <v>117</v>
      </c>
      <c r="I821" t="s">
        <v>1132</v>
      </c>
      <c r="J821">
        <v>2025</v>
      </c>
      <c r="K821" t="s">
        <v>221</v>
      </c>
      <c r="L821">
        <v>45838</v>
      </c>
      <c r="M821" t="s">
        <v>3245</v>
      </c>
      <c r="N821" t="s">
        <v>65</v>
      </c>
      <c r="P821" t="s">
        <v>3254</v>
      </c>
    </row>
    <row r="822" spans="1:19" x14ac:dyDescent="0.2">
      <c r="A822" t="s">
        <v>3255</v>
      </c>
      <c r="B822" t="s">
        <v>3256</v>
      </c>
      <c r="C822" t="s">
        <v>59</v>
      </c>
      <c r="D822" t="s">
        <v>3257</v>
      </c>
      <c r="F822" t="s">
        <v>3258</v>
      </c>
      <c r="G822" t="s">
        <v>3259</v>
      </c>
      <c r="H822" t="s">
        <v>255</v>
      </c>
      <c r="I822" t="s">
        <v>1132</v>
      </c>
      <c r="J822">
        <v>2025</v>
      </c>
      <c r="K822" t="s">
        <v>202</v>
      </c>
      <c r="L822">
        <v>45931</v>
      </c>
      <c r="N822" t="s">
        <v>545</v>
      </c>
      <c r="P822" t="s">
        <v>3260</v>
      </c>
    </row>
    <row r="823" spans="1:19" x14ac:dyDescent="0.2">
      <c r="A823" t="s">
        <v>3261</v>
      </c>
      <c r="C823" t="s">
        <v>59</v>
      </c>
      <c r="D823" t="s">
        <v>121</v>
      </c>
      <c r="F823" t="s">
        <v>1910</v>
      </c>
      <c r="G823" t="s">
        <v>3262</v>
      </c>
      <c r="H823" t="s">
        <v>117</v>
      </c>
      <c r="I823" t="s">
        <v>1132</v>
      </c>
      <c r="J823">
        <v>2025</v>
      </c>
      <c r="K823" t="s">
        <v>64</v>
      </c>
      <c r="N823" t="s">
        <v>545</v>
      </c>
      <c r="P823" t="s">
        <v>3263</v>
      </c>
    </row>
    <row r="824" spans="1:19" x14ac:dyDescent="0.2">
      <c r="A824" t="s">
        <v>3264</v>
      </c>
      <c r="B824" t="s">
        <v>3265</v>
      </c>
      <c r="C824" t="s">
        <v>59</v>
      </c>
      <c r="D824" t="s">
        <v>115</v>
      </c>
      <c r="F824" t="s">
        <v>2323</v>
      </c>
      <c r="G824" t="s">
        <v>3266</v>
      </c>
      <c r="H824" t="s">
        <v>117</v>
      </c>
      <c r="I824" t="s">
        <v>1132</v>
      </c>
      <c r="J824">
        <v>2025</v>
      </c>
      <c r="K824" t="s">
        <v>221</v>
      </c>
      <c r="L824">
        <v>45883</v>
      </c>
      <c r="M824" t="s">
        <v>3267</v>
      </c>
      <c r="N824" t="s">
        <v>545</v>
      </c>
      <c r="O824" t="s">
        <v>3218</v>
      </c>
      <c r="P824" t="s">
        <v>3268</v>
      </c>
    </row>
    <row r="825" spans="1:19" x14ac:dyDescent="0.2">
      <c r="A825" t="s">
        <v>3269</v>
      </c>
      <c r="B825" t="s">
        <v>3270</v>
      </c>
      <c r="C825" t="s">
        <v>59</v>
      </c>
      <c r="D825" t="s">
        <v>60</v>
      </c>
      <c r="F825" t="s">
        <v>2974</v>
      </c>
      <c r="H825" t="s">
        <v>134</v>
      </c>
      <c r="I825" t="s">
        <v>1132</v>
      </c>
      <c r="J825">
        <v>2025</v>
      </c>
      <c r="K825" t="s">
        <v>64</v>
      </c>
      <c r="L825">
        <v>46105</v>
      </c>
      <c r="N825" t="s">
        <v>545</v>
      </c>
      <c r="P825" t="s">
        <v>3271</v>
      </c>
    </row>
    <row r="826" spans="1:19" x14ac:dyDescent="0.2">
      <c r="A826" t="s">
        <v>3272</v>
      </c>
      <c r="B826" t="s">
        <v>3273</v>
      </c>
      <c r="C826" t="s">
        <v>59</v>
      </c>
      <c r="D826" t="s">
        <v>115</v>
      </c>
      <c r="F826" t="s">
        <v>2323</v>
      </c>
      <c r="G826" t="s">
        <v>3274</v>
      </c>
      <c r="H826" t="s">
        <v>117</v>
      </c>
      <c r="I826" t="s">
        <v>1132</v>
      </c>
      <c r="J826">
        <v>2025</v>
      </c>
      <c r="K826" t="s">
        <v>221</v>
      </c>
      <c r="L826">
        <v>45930</v>
      </c>
      <c r="M826" t="s">
        <v>3217</v>
      </c>
      <c r="N826" t="s">
        <v>65</v>
      </c>
      <c r="O826" t="s">
        <v>3218</v>
      </c>
      <c r="P826" t="s">
        <v>3275</v>
      </c>
    </row>
    <row r="827" spans="1:19" x14ac:dyDescent="0.2">
      <c r="A827" t="s">
        <v>3276</v>
      </c>
      <c r="B827" t="s">
        <v>3277</v>
      </c>
      <c r="C827" t="s">
        <v>59</v>
      </c>
      <c r="D827" t="s">
        <v>3278</v>
      </c>
      <c r="F827" t="s">
        <v>3279</v>
      </c>
      <c r="G827" t="s">
        <v>2763</v>
      </c>
      <c r="H827" t="s">
        <v>129</v>
      </c>
      <c r="I827" t="s">
        <v>129</v>
      </c>
      <c r="J827">
        <v>2025</v>
      </c>
      <c r="K827" t="s">
        <v>471</v>
      </c>
      <c r="L827">
        <v>45976</v>
      </c>
      <c r="M827" t="s">
        <v>3400</v>
      </c>
      <c r="N827" t="s">
        <v>545</v>
      </c>
      <c r="O827" t="s">
        <v>3401</v>
      </c>
      <c r="P827" t="s">
        <v>3280</v>
      </c>
    </row>
    <row r="828" spans="1:19" x14ac:dyDescent="0.2">
      <c r="A828" t="s">
        <v>3281</v>
      </c>
      <c r="B828" t="s">
        <v>3402</v>
      </c>
      <c r="C828" t="s">
        <v>59</v>
      </c>
      <c r="D828" t="s">
        <v>3403</v>
      </c>
      <c r="F828" t="s">
        <v>3282</v>
      </c>
      <c r="G828" t="s">
        <v>2763</v>
      </c>
      <c r="H828" t="s">
        <v>129</v>
      </c>
      <c r="I828" t="s">
        <v>129</v>
      </c>
      <c r="J828">
        <v>2025</v>
      </c>
      <c r="K828" t="s">
        <v>471</v>
      </c>
      <c r="L828">
        <v>46006</v>
      </c>
      <c r="M828" t="s">
        <v>3404</v>
      </c>
      <c r="N828" t="s">
        <v>545</v>
      </c>
      <c r="O828" t="s">
        <v>3405</v>
      </c>
      <c r="P828" t="s">
        <v>3406</v>
      </c>
    </row>
    <row r="829" spans="1:19" x14ac:dyDescent="0.2">
      <c r="A829" t="s">
        <v>3283</v>
      </c>
      <c r="B829" t="s">
        <v>3284</v>
      </c>
      <c r="C829" t="s">
        <v>59</v>
      </c>
      <c r="D829" t="s">
        <v>60</v>
      </c>
      <c r="E829" t="s">
        <v>60</v>
      </c>
      <c r="F829" t="s">
        <v>3285</v>
      </c>
      <c r="G829" t="s">
        <v>3286</v>
      </c>
      <c r="H829" t="s">
        <v>2535</v>
      </c>
      <c r="I829" t="s">
        <v>2535</v>
      </c>
      <c r="J829">
        <v>2025</v>
      </c>
      <c r="K829" t="s">
        <v>64</v>
      </c>
      <c r="L829">
        <v>45884</v>
      </c>
      <c r="N829" t="s">
        <v>65</v>
      </c>
      <c r="P829" t="s">
        <v>3287</v>
      </c>
    </row>
    <row r="830" spans="1:19" x14ac:dyDescent="0.2">
      <c r="A830" t="s">
        <v>3288</v>
      </c>
      <c r="B830" t="s">
        <v>3289</v>
      </c>
      <c r="C830" t="s">
        <v>59</v>
      </c>
      <c r="D830" t="s">
        <v>3290</v>
      </c>
      <c r="F830" t="s">
        <v>3291</v>
      </c>
      <c r="G830" t="s">
        <v>2763</v>
      </c>
      <c r="H830" t="s">
        <v>129</v>
      </c>
      <c r="I830" t="s">
        <v>129</v>
      </c>
      <c r="J830">
        <v>2025</v>
      </c>
      <c r="K830" t="s">
        <v>471</v>
      </c>
      <c r="L830">
        <v>46006</v>
      </c>
      <c r="M830" t="s">
        <v>3407</v>
      </c>
      <c r="N830" t="s">
        <v>545</v>
      </c>
      <c r="O830" t="s">
        <v>3408</v>
      </c>
      <c r="P830" t="s">
        <v>3292</v>
      </c>
    </row>
    <row r="831" spans="1:19" x14ac:dyDescent="0.2">
      <c r="A831" t="s">
        <v>3293</v>
      </c>
      <c r="B831" t="s">
        <v>3294</v>
      </c>
      <c r="C831" t="s">
        <v>59</v>
      </c>
      <c r="D831" t="s">
        <v>238</v>
      </c>
      <c r="F831" t="s">
        <v>1209</v>
      </c>
      <c r="G831" t="s">
        <v>3183</v>
      </c>
      <c r="H831" t="s">
        <v>77</v>
      </c>
      <c r="I831" t="s">
        <v>1132</v>
      </c>
      <c r="J831">
        <v>2025</v>
      </c>
      <c r="K831" t="s">
        <v>221</v>
      </c>
      <c r="L831">
        <v>45880</v>
      </c>
      <c r="N831" t="s">
        <v>65</v>
      </c>
      <c r="O831" t="s">
        <v>3218</v>
      </c>
      <c r="P831" t="s">
        <v>3295</v>
      </c>
    </row>
    <row r="832" spans="1:19" x14ac:dyDescent="0.2">
      <c r="A832" t="s">
        <v>3296</v>
      </c>
      <c r="B832" t="s">
        <v>3297</v>
      </c>
      <c r="C832" t="s">
        <v>59</v>
      </c>
      <c r="D832" t="s">
        <v>82</v>
      </c>
      <c r="F832" t="s">
        <v>3298</v>
      </c>
      <c r="G832" t="s">
        <v>3299</v>
      </c>
      <c r="H832" t="s">
        <v>117</v>
      </c>
      <c r="I832" t="s">
        <v>1132</v>
      </c>
      <c r="J832">
        <v>2025</v>
      </c>
      <c r="K832" t="s">
        <v>31</v>
      </c>
      <c r="N832" t="s">
        <v>545</v>
      </c>
      <c r="P832" t="s">
        <v>3300</v>
      </c>
    </row>
    <row r="833" spans="1:16" x14ac:dyDescent="0.2">
      <c r="A833" t="s">
        <v>3301</v>
      </c>
      <c r="B833" t="s">
        <v>3302</v>
      </c>
      <c r="C833" t="s">
        <v>59</v>
      </c>
      <c r="D833" t="s">
        <v>253</v>
      </c>
      <c r="F833" t="s">
        <v>2756</v>
      </c>
      <c r="G833" t="s">
        <v>3303</v>
      </c>
      <c r="H833" t="s">
        <v>367</v>
      </c>
      <c r="I833" t="s">
        <v>1132</v>
      </c>
      <c r="J833">
        <v>2025</v>
      </c>
      <c r="K833" t="s">
        <v>221</v>
      </c>
      <c r="L833">
        <v>45870</v>
      </c>
      <c r="N833" t="s">
        <v>65</v>
      </c>
      <c r="O833" t="s">
        <v>3218</v>
      </c>
      <c r="P833" t="s">
        <v>3305</v>
      </c>
    </row>
    <row r="834" spans="1:16" x14ac:dyDescent="0.2">
      <c r="A834" t="s">
        <v>3306</v>
      </c>
      <c r="B834" t="s">
        <v>3307</v>
      </c>
      <c r="C834" t="s">
        <v>59</v>
      </c>
      <c r="D834" t="s">
        <v>167</v>
      </c>
      <c r="F834" t="s">
        <v>3308</v>
      </c>
      <c r="G834" t="s">
        <v>3309</v>
      </c>
      <c r="H834" t="s">
        <v>77</v>
      </c>
      <c r="I834" t="s">
        <v>1132</v>
      </c>
      <c r="J834">
        <v>2025</v>
      </c>
      <c r="K834" t="s">
        <v>221</v>
      </c>
      <c r="L834">
        <v>45846</v>
      </c>
      <c r="M834" t="s">
        <v>3310</v>
      </c>
      <c r="N834" t="s">
        <v>65</v>
      </c>
      <c r="O834" t="s">
        <v>3218</v>
      </c>
      <c r="P834" t="s">
        <v>3311</v>
      </c>
    </row>
    <row r="835" spans="1:16" x14ac:dyDescent="0.2">
      <c r="A835" t="s">
        <v>3312</v>
      </c>
      <c r="B835" t="s">
        <v>3313</v>
      </c>
      <c r="C835" t="s">
        <v>59</v>
      </c>
      <c r="D835" t="s">
        <v>238</v>
      </c>
      <c r="F835" t="s">
        <v>1209</v>
      </c>
      <c r="G835" t="s">
        <v>3314</v>
      </c>
      <c r="H835" t="s">
        <v>77</v>
      </c>
      <c r="I835" t="s">
        <v>1132</v>
      </c>
      <c r="J835">
        <v>2025</v>
      </c>
      <c r="K835" t="s">
        <v>221</v>
      </c>
      <c r="L835">
        <v>45869</v>
      </c>
      <c r="M835" t="s">
        <v>3304</v>
      </c>
      <c r="N835" t="s">
        <v>65</v>
      </c>
      <c r="O835" t="s">
        <v>3218</v>
      </c>
      <c r="P835" t="s">
        <v>3315</v>
      </c>
    </row>
    <row r="836" spans="1:16" x14ac:dyDescent="0.2">
      <c r="A836" t="s">
        <v>3316</v>
      </c>
      <c r="B836" t="s">
        <v>3317</v>
      </c>
      <c r="C836" t="s">
        <v>59</v>
      </c>
      <c r="D836" t="s">
        <v>60</v>
      </c>
      <c r="E836" t="s">
        <v>61</v>
      </c>
      <c r="F836" t="s">
        <v>3318</v>
      </c>
      <c r="G836" t="s">
        <v>3319</v>
      </c>
      <c r="H836" t="s">
        <v>3320</v>
      </c>
      <c r="I836" t="s">
        <v>2535</v>
      </c>
      <c r="J836">
        <v>2025</v>
      </c>
      <c r="K836" t="s">
        <v>64</v>
      </c>
      <c r="L836">
        <v>45901</v>
      </c>
      <c r="N836" t="s">
        <v>65</v>
      </c>
      <c r="P836" t="s">
        <v>3321</v>
      </c>
    </row>
    <row r="837" spans="1:16" x14ac:dyDescent="0.2">
      <c r="A837" t="s">
        <v>3322</v>
      </c>
      <c r="C837" t="s">
        <v>59</v>
      </c>
      <c r="D837" t="s">
        <v>3323</v>
      </c>
      <c r="E837" t="s">
        <v>3324</v>
      </c>
      <c r="F837" t="s">
        <v>3325</v>
      </c>
      <c r="G837" t="s">
        <v>3326</v>
      </c>
      <c r="H837" t="s">
        <v>77</v>
      </c>
      <c r="I837" t="s">
        <v>1132</v>
      </c>
      <c r="J837">
        <v>2025</v>
      </c>
      <c r="K837" t="s">
        <v>471</v>
      </c>
      <c r="N837" t="s">
        <v>545</v>
      </c>
      <c r="P837" t="s">
        <v>3327</v>
      </c>
    </row>
    <row r="838" spans="1:16" x14ac:dyDescent="0.2">
      <c r="A838" t="s">
        <v>3328</v>
      </c>
      <c r="C838" t="s">
        <v>59</v>
      </c>
      <c r="D838" t="s">
        <v>3257</v>
      </c>
      <c r="E838" t="s">
        <v>3329</v>
      </c>
      <c r="F838" t="s">
        <v>3330</v>
      </c>
      <c r="G838" t="s">
        <v>2787</v>
      </c>
      <c r="H838" t="s">
        <v>255</v>
      </c>
      <c r="I838" t="s">
        <v>1132</v>
      </c>
      <c r="J838">
        <v>2025</v>
      </c>
      <c r="K838" t="s">
        <v>202</v>
      </c>
      <c r="N838" t="s">
        <v>545</v>
      </c>
      <c r="P838" t="s">
        <v>3331</v>
      </c>
    </row>
    <row r="839" spans="1:16" x14ac:dyDescent="0.2">
      <c r="A839" t="s">
        <v>3332</v>
      </c>
      <c r="B839" t="s">
        <v>3409</v>
      </c>
      <c r="C839" t="s">
        <v>59</v>
      </c>
      <c r="D839" t="s">
        <v>82</v>
      </c>
      <c r="F839" t="s">
        <v>3333</v>
      </c>
      <c r="I839" t="s">
        <v>1132</v>
      </c>
      <c r="J839">
        <v>2025</v>
      </c>
      <c r="K839" t="s">
        <v>31</v>
      </c>
      <c r="L839">
        <v>46083</v>
      </c>
      <c r="N839" t="s">
        <v>545</v>
      </c>
      <c r="P839" t="s">
        <v>3334</v>
      </c>
    </row>
    <row r="840" spans="1:16" x14ac:dyDescent="0.2">
      <c r="A840" t="s">
        <v>3335</v>
      </c>
      <c r="B840" t="s">
        <v>3336</v>
      </c>
      <c r="C840" t="s">
        <v>59</v>
      </c>
      <c r="D840" t="s">
        <v>238</v>
      </c>
      <c r="F840" t="s">
        <v>1209</v>
      </c>
      <c r="G840" t="s">
        <v>3337</v>
      </c>
      <c r="H840" t="s">
        <v>77</v>
      </c>
      <c r="I840" t="s">
        <v>1132</v>
      </c>
      <c r="J840">
        <v>2025</v>
      </c>
      <c r="K840" t="s">
        <v>221</v>
      </c>
      <c r="L840">
        <v>45960</v>
      </c>
      <c r="N840" t="s">
        <v>545</v>
      </c>
      <c r="P840" t="s">
        <v>3338</v>
      </c>
    </row>
    <row r="841" spans="1:16" x14ac:dyDescent="0.2">
      <c r="A841" t="s">
        <v>3339</v>
      </c>
      <c r="B841" t="s">
        <v>3340</v>
      </c>
      <c r="C841" t="s">
        <v>59</v>
      </c>
      <c r="D841" t="s">
        <v>238</v>
      </c>
      <c r="F841" t="s">
        <v>1209</v>
      </c>
      <c r="G841" t="s">
        <v>3341</v>
      </c>
      <c r="H841" t="s">
        <v>77</v>
      </c>
      <c r="I841" t="s">
        <v>1132</v>
      </c>
      <c r="J841">
        <v>2025</v>
      </c>
      <c r="K841" t="s">
        <v>221</v>
      </c>
      <c r="L841">
        <v>45960</v>
      </c>
      <c r="N841" t="s">
        <v>545</v>
      </c>
      <c r="P841" t="s">
        <v>3342</v>
      </c>
    </row>
    <row r="842" spans="1:16" x14ac:dyDescent="0.2">
      <c r="A842" t="s">
        <v>3343</v>
      </c>
      <c r="D842" t="s">
        <v>3029</v>
      </c>
      <c r="E842" t="s">
        <v>3344</v>
      </c>
      <c r="G842" t="s">
        <v>3345</v>
      </c>
      <c r="I842" t="s">
        <v>3187</v>
      </c>
      <c r="J842">
        <v>2025</v>
      </c>
      <c r="K842" t="s">
        <v>3188</v>
      </c>
      <c r="N842" t="s">
        <v>31</v>
      </c>
      <c r="P842" t="s">
        <v>3346</v>
      </c>
    </row>
    <row r="843" spans="1:16" x14ac:dyDescent="0.2">
      <c r="A843" t="s">
        <v>3347</v>
      </c>
      <c r="B843" t="s">
        <v>3348</v>
      </c>
      <c r="C843" t="s">
        <v>59</v>
      </c>
      <c r="D843" t="s">
        <v>2969</v>
      </c>
      <c r="F843" t="s">
        <v>3349</v>
      </c>
      <c r="H843" t="s">
        <v>2403</v>
      </c>
      <c r="I843" t="s">
        <v>2535</v>
      </c>
      <c r="J843">
        <v>2025</v>
      </c>
      <c r="K843" t="s">
        <v>3067</v>
      </c>
      <c r="N843" t="s">
        <v>545</v>
      </c>
      <c r="P843" t="s">
        <v>3350</v>
      </c>
    </row>
    <row r="844" spans="1:16" x14ac:dyDescent="0.2">
      <c r="A844" t="s">
        <v>3351</v>
      </c>
      <c r="C844" t="s">
        <v>59</v>
      </c>
      <c r="D844" t="s">
        <v>2969</v>
      </c>
      <c r="F844" t="s">
        <v>3352</v>
      </c>
      <c r="G844" t="s">
        <v>2656</v>
      </c>
      <c r="H844" t="s">
        <v>2726</v>
      </c>
      <c r="I844" t="s">
        <v>2535</v>
      </c>
      <c r="J844">
        <v>2025</v>
      </c>
      <c r="K844" t="s">
        <v>3025</v>
      </c>
      <c r="N844" t="s">
        <v>545</v>
      </c>
      <c r="P844" t="s">
        <v>3353</v>
      </c>
    </row>
    <row r="845" spans="1:16" x14ac:dyDescent="0.2">
      <c r="A845" t="s">
        <v>3354</v>
      </c>
      <c r="C845" t="s">
        <v>59</v>
      </c>
      <c r="D845" t="s">
        <v>167</v>
      </c>
      <c r="E845" t="s">
        <v>3355</v>
      </c>
      <c r="F845" t="s">
        <v>3356</v>
      </c>
      <c r="H845" t="s">
        <v>77</v>
      </c>
      <c r="I845" t="s">
        <v>1132</v>
      </c>
      <c r="J845">
        <v>2025</v>
      </c>
      <c r="K845" t="s">
        <v>2296</v>
      </c>
      <c r="L845">
        <v>45930</v>
      </c>
      <c r="N845" t="s">
        <v>65</v>
      </c>
      <c r="P845" t="s">
        <v>3357</v>
      </c>
    </row>
    <row r="846" spans="1:16" x14ac:dyDescent="0.2">
      <c r="A846" t="s">
        <v>3358</v>
      </c>
      <c r="B846" t="s">
        <v>3359</v>
      </c>
      <c r="C846" t="s">
        <v>59</v>
      </c>
      <c r="D846" t="s">
        <v>60</v>
      </c>
      <c r="F846" t="s">
        <v>3178</v>
      </c>
      <c r="G846" t="s">
        <v>3360</v>
      </c>
      <c r="H846" t="s">
        <v>63</v>
      </c>
      <c r="I846" t="s">
        <v>1132</v>
      </c>
      <c r="J846">
        <v>2025</v>
      </c>
      <c r="K846" t="s">
        <v>64</v>
      </c>
      <c r="L846">
        <v>45960</v>
      </c>
      <c r="N846" t="s">
        <v>31</v>
      </c>
      <c r="P846" t="s">
        <v>3361</v>
      </c>
    </row>
    <row r="847" spans="1:16" x14ac:dyDescent="0.2">
      <c r="A847" t="s">
        <v>3362</v>
      </c>
      <c r="C847" t="s">
        <v>59</v>
      </c>
      <c r="D847" t="s">
        <v>1706</v>
      </c>
      <c r="F847" t="s">
        <v>2889</v>
      </c>
      <c r="G847" t="s">
        <v>3168</v>
      </c>
      <c r="H847" t="s">
        <v>162</v>
      </c>
      <c r="I847" t="s">
        <v>2535</v>
      </c>
      <c r="J847">
        <v>2025</v>
      </c>
      <c r="K847" t="s">
        <v>3025</v>
      </c>
      <c r="N847" t="s">
        <v>545</v>
      </c>
      <c r="P847" t="s">
        <v>3363</v>
      </c>
    </row>
    <row r="848" spans="1:16" x14ac:dyDescent="0.2">
      <c r="A848" t="s">
        <v>3364</v>
      </c>
      <c r="C848" t="s">
        <v>59</v>
      </c>
      <c r="D848" t="s">
        <v>2969</v>
      </c>
      <c r="F848" t="s">
        <v>3365</v>
      </c>
      <c r="G848" t="s">
        <v>2656</v>
      </c>
      <c r="H848" t="s">
        <v>255</v>
      </c>
      <c r="I848" t="s">
        <v>2535</v>
      </c>
      <c r="J848">
        <v>2025</v>
      </c>
      <c r="K848" t="s">
        <v>3025</v>
      </c>
      <c r="N848" t="s">
        <v>545</v>
      </c>
      <c r="P848" t="s">
        <v>3366</v>
      </c>
    </row>
    <row r="849" spans="1:16" x14ac:dyDescent="0.2">
      <c r="A849" t="s">
        <v>3036</v>
      </c>
      <c r="C849" t="s">
        <v>59</v>
      </c>
      <c r="D849" t="s">
        <v>2969</v>
      </c>
      <c r="F849" t="s">
        <v>3037</v>
      </c>
      <c r="G849" t="s">
        <v>3367</v>
      </c>
      <c r="H849" t="s">
        <v>255</v>
      </c>
      <c r="I849" t="s">
        <v>2535</v>
      </c>
      <c r="J849">
        <v>2025</v>
      </c>
      <c r="K849" t="s">
        <v>3025</v>
      </c>
      <c r="N849" t="s">
        <v>545</v>
      </c>
      <c r="P849" t="s">
        <v>3368</v>
      </c>
    </row>
    <row r="850" spans="1:16" x14ac:dyDescent="0.2">
      <c r="A850" t="s">
        <v>3369</v>
      </c>
      <c r="C850" t="s">
        <v>59</v>
      </c>
      <c r="D850" t="s">
        <v>2053</v>
      </c>
      <c r="E850" t="s">
        <v>1706</v>
      </c>
      <c r="F850" t="s">
        <v>2889</v>
      </c>
      <c r="G850" t="s">
        <v>3370</v>
      </c>
      <c r="H850" t="s">
        <v>162</v>
      </c>
      <c r="I850" t="s">
        <v>2535</v>
      </c>
      <c r="J850">
        <v>2025</v>
      </c>
      <c r="K850" t="s">
        <v>3025</v>
      </c>
      <c r="N850" t="s">
        <v>545</v>
      </c>
      <c r="P850" t="s">
        <v>3371</v>
      </c>
    </row>
    <row r="851" spans="1:16" x14ac:dyDescent="0.2">
      <c r="A851" t="s">
        <v>3372</v>
      </c>
      <c r="C851" t="s">
        <v>59</v>
      </c>
      <c r="D851" t="s">
        <v>2969</v>
      </c>
      <c r="E851" t="s">
        <v>3373</v>
      </c>
      <c r="G851" t="s">
        <v>3168</v>
      </c>
      <c r="H851" t="s">
        <v>110</v>
      </c>
      <c r="I851" t="s">
        <v>2535</v>
      </c>
      <c r="J851">
        <v>2025</v>
      </c>
      <c r="K851" t="s">
        <v>3025</v>
      </c>
      <c r="N851" t="s">
        <v>545</v>
      </c>
      <c r="P851" t="s">
        <v>3374</v>
      </c>
    </row>
    <row r="852" spans="1:16" x14ac:dyDescent="0.2">
      <c r="A852" t="s">
        <v>3375</v>
      </c>
      <c r="C852" t="s">
        <v>59</v>
      </c>
      <c r="D852" t="s">
        <v>2969</v>
      </c>
      <c r="E852" t="s">
        <v>3376</v>
      </c>
      <c r="H852" t="s">
        <v>255</v>
      </c>
      <c r="I852" t="s">
        <v>2535</v>
      </c>
      <c r="J852">
        <v>2025</v>
      </c>
      <c r="K852" t="s">
        <v>3025</v>
      </c>
      <c r="N852" t="s">
        <v>545</v>
      </c>
      <c r="P852" t="s">
        <v>3377</v>
      </c>
    </row>
    <row r="853" spans="1:16" x14ac:dyDescent="0.2">
      <c r="A853" t="s">
        <v>3378</v>
      </c>
      <c r="B853" t="s">
        <v>3379</v>
      </c>
      <c r="C853" t="s">
        <v>59</v>
      </c>
      <c r="D853" t="s">
        <v>3380</v>
      </c>
      <c r="E853" t="s">
        <v>3381</v>
      </c>
      <c r="F853" t="s">
        <v>3382</v>
      </c>
      <c r="G853" t="s">
        <v>3383</v>
      </c>
      <c r="H853" t="s">
        <v>1365</v>
      </c>
      <c r="I853" t="s">
        <v>1132</v>
      </c>
      <c r="J853">
        <v>2025</v>
      </c>
      <c r="K853" t="s">
        <v>471</v>
      </c>
      <c r="N853" t="s">
        <v>545</v>
      </c>
      <c r="P853" t="s">
        <v>3384</v>
      </c>
    </row>
    <row r="854" spans="1:16" x14ac:dyDescent="0.2">
      <c r="A854" t="s">
        <v>3385</v>
      </c>
      <c r="B854" t="s">
        <v>3386</v>
      </c>
      <c r="C854" t="s">
        <v>59</v>
      </c>
      <c r="D854" t="s">
        <v>3380</v>
      </c>
      <c r="E854" t="s">
        <v>3381</v>
      </c>
      <c r="F854" t="s">
        <v>1721</v>
      </c>
      <c r="G854" t="s">
        <v>3383</v>
      </c>
      <c r="H854" t="s">
        <v>1365</v>
      </c>
      <c r="I854" t="s">
        <v>1132</v>
      </c>
      <c r="J854">
        <v>2025</v>
      </c>
      <c r="K854" t="s">
        <v>471</v>
      </c>
      <c r="N854" t="s">
        <v>545</v>
      </c>
      <c r="P854" t="s">
        <v>3387</v>
      </c>
    </row>
    <row r="855" spans="1:16" x14ac:dyDescent="0.2">
      <c r="A855" t="s">
        <v>3410</v>
      </c>
      <c r="B855" t="s">
        <v>3411</v>
      </c>
      <c r="C855" t="s">
        <v>59</v>
      </c>
      <c r="D855" t="s">
        <v>2969</v>
      </c>
      <c r="E855" t="s">
        <v>2088</v>
      </c>
      <c r="F855" t="s">
        <v>3412</v>
      </c>
      <c r="G855" t="s">
        <v>3413</v>
      </c>
      <c r="H855" t="s">
        <v>134</v>
      </c>
      <c r="I855" t="s">
        <v>2535</v>
      </c>
      <c r="J855">
        <v>2025</v>
      </c>
      <c r="K855" t="s">
        <v>3067</v>
      </c>
      <c r="N855" t="s">
        <v>65</v>
      </c>
      <c r="P855" t="s">
        <v>3414</v>
      </c>
    </row>
    <row r="856" spans="1:16" x14ac:dyDescent="0.2">
      <c r="A856" t="s">
        <v>3415</v>
      </c>
      <c r="C856" t="s">
        <v>59</v>
      </c>
      <c r="D856" t="s">
        <v>3416</v>
      </c>
      <c r="F856" t="s">
        <v>2119</v>
      </c>
      <c r="G856" t="s">
        <v>3417</v>
      </c>
      <c r="H856" t="s">
        <v>162</v>
      </c>
      <c r="I856" t="s">
        <v>2535</v>
      </c>
      <c r="J856">
        <v>2025</v>
      </c>
      <c r="K856" t="s">
        <v>3418</v>
      </c>
      <c r="N856" t="s">
        <v>545</v>
      </c>
      <c r="P856" t="s">
        <v>3419</v>
      </c>
    </row>
    <row r="857" spans="1:16" x14ac:dyDescent="0.2">
      <c r="A857" t="s">
        <v>3420</v>
      </c>
      <c r="B857" t="s">
        <v>3421</v>
      </c>
      <c r="C857" t="s">
        <v>59</v>
      </c>
      <c r="D857" t="s">
        <v>167</v>
      </c>
      <c r="E857" t="s">
        <v>184</v>
      </c>
      <c r="F857" t="s">
        <v>2634</v>
      </c>
      <c r="G857" t="s">
        <v>3422</v>
      </c>
      <c r="H857" t="s">
        <v>193</v>
      </c>
      <c r="I857" t="s">
        <v>1132</v>
      </c>
      <c r="J857">
        <v>2025</v>
      </c>
      <c r="K857" t="s">
        <v>221</v>
      </c>
      <c r="L857">
        <v>45930</v>
      </c>
      <c r="M857" t="s">
        <v>3423</v>
      </c>
      <c r="N857" t="s">
        <v>545</v>
      </c>
      <c r="P857" t="s">
        <v>3424</v>
      </c>
    </row>
    <row r="858" spans="1:16" x14ac:dyDescent="0.2">
      <c r="A858" t="s">
        <v>3425</v>
      </c>
      <c r="C858" t="s">
        <v>59</v>
      </c>
      <c r="D858" t="s">
        <v>2969</v>
      </c>
      <c r="F858" t="s">
        <v>3426</v>
      </c>
      <c r="G858" t="s">
        <v>3137</v>
      </c>
      <c r="H858" t="s">
        <v>367</v>
      </c>
      <c r="I858" t="s">
        <v>2535</v>
      </c>
      <c r="J858">
        <v>2025</v>
      </c>
      <c r="K858" t="s">
        <v>3025</v>
      </c>
      <c r="N858" t="s">
        <v>545</v>
      </c>
      <c r="P858" t="s">
        <v>3427</v>
      </c>
    </row>
    <row r="859" spans="1:16" x14ac:dyDescent="0.2">
      <c r="A859" t="s">
        <v>3428</v>
      </c>
      <c r="C859" t="s">
        <v>59</v>
      </c>
      <c r="D859" t="s">
        <v>2969</v>
      </c>
      <c r="F859" t="s">
        <v>3429</v>
      </c>
      <c r="G859" t="s">
        <v>3137</v>
      </c>
      <c r="H859" t="s">
        <v>255</v>
      </c>
      <c r="I859" t="s">
        <v>2535</v>
      </c>
      <c r="J859">
        <v>2025</v>
      </c>
      <c r="K859" t="s">
        <v>3418</v>
      </c>
      <c r="L859">
        <v>46037</v>
      </c>
      <c r="N859" t="s">
        <v>545</v>
      </c>
      <c r="P859" t="s">
        <v>3430</v>
      </c>
    </row>
    <row r="860" spans="1:16" x14ac:dyDescent="0.2">
      <c r="A860" t="s">
        <v>3428</v>
      </c>
      <c r="C860" t="s">
        <v>31</v>
      </c>
      <c r="D860" t="s">
        <v>2724</v>
      </c>
      <c r="F860" t="s">
        <v>3352</v>
      </c>
      <c r="G860" t="s">
        <v>2656</v>
      </c>
      <c r="H860" t="s">
        <v>2726</v>
      </c>
      <c r="I860" t="s">
        <v>2535</v>
      </c>
      <c r="J860">
        <v>2025</v>
      </c>
      <c r="K860" t="s">
        <v>3025</v>
      </c>
      <c r="N860" t="s">
        <v>545</v>
      </c>
      <c r="P860" t="s">
        <v>3431</v>
      </c>
    </row>
    <row r="861" spans="1:16" x14ac:dyDescent="0.2">
      <c r="A861" t="s">
        <v>3432</v>
      </c>
      <c r="C861" t="s">
        <v>31</v>
      </c>
      <c r="D861" t="s">
        <v>3029</v>
      </c>
      <c r="E861" t="s">
        <v>3433</v>
      </c>
      <c r="F861" t="s">
        <v>3434</v>
      </c>
      <c r="G861" t="s">
        <v>3435</v>
      </c>
      <c r="H861" t="s">
        <v>3436</v>
      </c>
      <c r="I861" t="s">
        <v>3187</v>
      </c>
      <c r="J861">
        <v>2025</v>
      </c>
      <c r="K861" t="s">
        <v>3188</v>
      </c>
      <c r="P861" t="s">
        <v>3437</v>
      </c>
    </row>
    <row r="862" spans="1:16" x14ac:dyDescent="0.2">
      <c r="A862" t="s">
        <v>3438</v>
      </c>
      <c r="C862" t="s">
        <v>31</v>
      </c>
      <c r="D862" t="s">
        <v>3029</v>
      </c>
      <c r="E862" t="s">
        <v>2751</v>
      </c>
      <c r="G862" t="s">
        <v>3439</v>
      </c>
      <c r="H862" t="s">
        <v>77</v>
      </c>
      <c r="I862" t="s">
        <v>3187</v>
      </c>
      <c r="J862">
        <v>2025</v>
      </c>
      <c r="K862" t="s">
        <v>3188</v>
      </c>
      <c r="P862" t="s">
        <v>3440</v>
      </c>
    </row>
    <row r="863" spans="1:16" x14ac:dyDescent="0.2">
      <c r="A863" t="s">
        <v>3441</v>
      </c>
      <c r="B863" t="s">
        <v>3442</v>
      </c>
      <c r="C863" t="s">
        <v>59</v>
      </c>
      <c r="D863" t="s">
        <v>1678</v>
      </c>
      <c r="G863" t="s">
        <v>3443</v>
      </c>
      <c r="H863" t="s">
        <v>77</v>
      </c>
      <c r="I863" t="s">
        <v>1132</v>
      </c>
      <c r="J863">
        <v>2025</v>
      </c>
      <c r="K863" t="s">
        <v>297</v>
      </c>
      <c r="P863" t="s">
        <v>3444</v>
      </c>
    </row>
    <row r="864" spans="1:16" x14ac:dyDescent="0.2">
      <c r="A864" t="s">
        <v>3445</v>
      </c>
      <c r="C864" t="s">
        <v>59</v>
      </c>
      <c r="D864" t="s">
        <v>3446</v>
      </c>
      <c r="F864" t="s">
        <v>3447</v>
      </c>
      <c r="H864" t="s">
        <v>162</v>
      </c>
      <c r="I864" t="s">
        <v>2535</v>
      </c>
      <c r="J864">
        <v>2025</v>
      </c>
      <c r="K864" t="s">
        <v>3025</v>
      </c>
      <c r="N864" t="s">
        <v>545</v>
      </c>
      <c r="P864" t="s">
        <v>3448</v>
      </c>
    </row>
    <row r="865" spans="1:16" x14ac:dyDescent="0.2">
      <c r="A865" t="s">
        <v>3449</v>
      </c>
      <c r="C865" t="s">
        <v>59</v>
      </c>
      <c r="D865" t="s">
        <v>3450</v>
      </c>
      <c r="F865" t="s">
        <v>3451</v>
      </c>
      <c r="G865" t="s">
        <v>3452</v>
      </c>
      <c r="H865" t="s">
        <v>129</v>
      </c>
      <c r="I865" t="s">
        <v>129</v>
      </c>
      <c r="J865">
        <v>2025</v>
      </c>
      <c r="N865" t="s">
        <v>545</v>
      </c>
      <c r="P865" t="s">
        <v>3453</v>
      </c>
    </row>
    <row r="866" spans="1:16" x14ac:dyDescent="0.2">
      <c r="A866" t="s">
        <v>3454</v>
      </c>
      <c r="C866" t="s">
        <v>31</v>
      </c>
      <c r="D866" t="s">
        <v>3029</v>
      </c>
      <c r="F866" t="s">
        <v>3455</v>
      </c>
      <c r="G866" t="s">
        <v>3439</v>
      </c>
      <c r="H866" t="s">
        <v>3456</v>
      </c>
      <c r="I866" t="s">
        <v>3187</v>
      </c>
      <c r="J866">
        <v>2025</v>
      </c>
      <c r="K866" t="s">
        <v>3188</v>
      </c>
      <c r="P866" t="s">
        <v>3457</v>
      </c>
    </row>
    <row r="867" spans="1:16" x14ac:dyDescent="0.2">
      <c r="A867" t="s">
        <v>3458</v>
      </c>
      <c r="B867" t="s">
        <v>3459</v>
      </c>
      <c r="C867" t="s">
        <v>59</v>
      </c>
      <c r="D867" t="s">
        <v>2751</v>
      </c>
      <c r="F867" t="s">
        <v>2752</v>
      </c>
      <c r="G867" t="s">
        <v>3460</v>
      </c>
      <c r="H867" t="s">
        <v>1132</v>
      </c>
      <c r="I867" t="s">
        <v>1132</v>
      </c>
      <c r="J867">
        <v>2025</v>
      </c>
      <c r="K867" t="s">
        <v>202</v>
      </c>
      <c r="L867">
        <v>45966</v>
      </c>
      <c r="N867" t="s">
        <v>545</v>
      </c>
      <c r="P867" t="s">
        <v>3461</v>
      </c>
    </row>
    <row r="868" spans="1:16" x14ac:dyDescent="0.2">
      <c r="A868" t="s">
        <v>3462</v>
      </c>
      <c r="B868" t="s">
        <v>3463</v>
      </c>
      <c r="C868" t="s">
        <v>59</v>
      </c>
      <c r="D868" t="s">
        <v>167</v>
      </c>
      <c r="E868" t="s">
        <v>3464</v>
      </c>
      <c r="H868" t="s">
        <v>3465</v>
      </c>
      <c r="I868" t="s">
        <v>1132</v>
      </c>
      <c r="J868">
        <v>2025</v>
      </c>
      <c r="K868" t="s">
        <v>2296</v>
      </c>
      <c r="M868" t="s">
        <v>1832</v>
      </c>
      <c r="N868" t="s">
        <v>545</v>
      </c>
      <c r="P868" t="s">
        <v>3466</v>
      </c>
    </row>
    <row r="869" spans="1:16" x14ac:dyDescent="0.2">
      <c r="A869" t="s">
        <v>3467</v>
      </c>
      <c r="B869" t="s">
        <v>3468</v>
      </c>
      <c r="C869" t="s">
        <v>59</v>
      </c>
      <c r="D869" t="s">
        <v>2751</v>
      </c>
      <c r="F869" t="s">
        <v>2752</v>
      </c>
      <c r="G869" t="s">
        <v>3469</v>
      </c>
      <c r="H869" t="s">
        <v>1132</v>
      </c>
      <c r="I869" t="s">
        <v>1132</v>
      </c>
      <c r="J869">
        <v>2025</v>
      </c>
      <c r="K869" t="s">
        <v>3470</v>
      </c>
      <c r="L869">
        <v>45968</v>
      </c>
      <c r="N869" t="s">
        <v>545</v>
      </c>
      <c r="P869" t="s">
        <v>3471</v>
      </c>
    </row>
    <row r="870" spans="1:16" x14ac:dyDescent="0.2">
      <c r="A870" t="s">
        <v>3472</v>
      </c>
      <c r="C870" t="s">
        <v>59</v>
      </c>
      <c r="D870" t="s">
        <v>1973</v>
      </c>
      <c r="F870" t="s">
        <v>2885</v>
      </c>
      <c r="G870" t="s">
        <v>3473</v>
      </c>
      <c r="H870" t="s">
        <v>77</v>
      </c>
      <c r="I870" t="s">
        <v>1132</v>
      </c>
      <c r="J870">
        <v>2025</v>
      </c>
      <c r="K870" t="s">
        <v>31</v>
      </c>
      <c r="N870" t="s">
        <v>545</v>
      </c>
      <c r="P870" t="s">
        <v>3474</v>
      </c>
    </row>
    <row r="871" spans="1:16" x14ac:dyDescent="0.2">
      <c r="C871" t="s">
        <v>31</v>
      </c>
      <c r="P871" t="s">
        <v>3475</v>
      </c>
    </row>
    <row r="872" spans="1:16" x14ac:dyDescent="0.2">
      <c r="C872" t="s">
        <v>31</v>
      </c>
      <c r="P872" t="s">
        <v>3475</v>
      </c>
    </row>
    <row r="873" spans="1:16" x14ac:dyDescent="0.2">
      <c r="C873" t="s">
        <v>31</v>
      </c>
      <c r="P873" t="s">
        <v>3475</v>
      </c>
    </row>
    <row r="874" spans="1:16" x14ac:dyDescent="0.2">
      <c r="C874" t="s">
        <v>31</v>
      </c>
      <c r="P874" t="s">
        <v>3475</v>
      </c>
    </row>
    <row r="875" spans="1:16" x14ac:dyDescent="0.2">
      <c r="C875" t="s">
        <v>31</v>
      </c>
      <c r="P875" t="s">
        <v>3475</v>
      </c>
    </row>
    <row r="876" spans="1:16" x14ac:dyDescent="0.2">
      <c r="C876" t="s">
        <v>31</v>
      </c>
      <c r="P876" t="s">
        <v>3475</v>
      </c>
    </row>
    <row r="877" spans="1:16" x14ac:dyDescent="0.2">
      <c r="C877" t="s">
        <v>31</v>
      </c>
      <c r="P877" t="s">
        <v>3475</v>
      </c>
    </row>
    <row r="878" spans="1:16" x14ac:dyDescent="0.2">
      <c r="C878" t="s">
        <v>31</v>
      </c>
      <c r="P878" t="s">
        <v>3475</v>
      </c>
    </row>
    <row r="879" spans="1:16" x14ac:dyDescent="0.2">
      <c r="C879" t="s">
        <v>31</v>
      </c>
      <c r="P879" t="s">
        <v>3475</v>
      </c>
    </row>
    <row r="880" spans="1:16" x14ac:dyDescent="0.2">
      <c r="C880" t="s">
        <v>31</v>
      </c>
      <c r="P880" t="s">
        <v>3475</v>
      </c>
    </row>
    <row r="881" spans="3:16" x14ac:dyDescent="0.2">
      <c r="C881" t="s">
        <v>31</v>
      </c>
      <c r="P881" t="s">
        <v>3475</v>
      </c>
    </row>
    <row r="882" spans="3:16" x14ac:dyDescent="0.2">
      <c r="C882" t="s">
        <v>31</v>
      </c>
      <c r="P882" t="s">
        <v>3475</v>
      </c>
    </row>
    <row r="883" spans="3:16" x14ac:dyDescent="0.2">
      <c r="C883" t="s">
        <v>31</v>
      </c>
      <c r="P883" t="s">
        <v>3475</v>
      </c>
    </row>
    <row r="884" spans="3:16" x14ac:dyDescent="0.2">
      <c r="C884" t="s">
        <v>31</v>
      </c>
      <c r="P884" t="s">
        <v>3475</v>
      </c>
    </row>
    <row r="885" spans="3:16" x14ac:dyDescent="0.2">
      <c r="C885" t="s">
        <v>31</v>
      </c>
      <c r="P885" t="s">
        <v>3475</v>
      </c>
    </row>
    <row r="886" spans="3:16" x14ac:dyDescent="0.2">
      <c r="C886" t="s">
        <v>31</v>
      </c>
      <c r="P886" t="s">
        <v>3475</v>
      </c>
    </row>
    <row r="887" spans="3:16" x14ac:dyDescent="0.2">
      <c r="C887" t="s">
        <v>31</v>
      </c>
      <c r="P887" t="s">
        <v>3475</v>
      </c>
    </row>
    <row r="888" spans="3:16" x14ac:dyDescent="0.2">
      <c r="C888" t="s">
        <v>31</v>
      </c>
      <c r="P888" t="s">
        <v>3475</v>
      </c>
    </row>
    <row r="889" spans="3:16" x14ac:dyDescent="0.2">
      <c r="C889" t="s">
        <v>31</v>
      </c>
      <c r="P889" t="s">
        <v>3475</v>
      </c>
    </row>
    <row r="890" spans="3:16" x14ac:dyDescent="0.2">
      <c r="C890" t="s">
        <v>31</v>
      </c>
      <c r="P890" t="s">
        <v>3475</v>
      </c>
    </row>
    <row r="891" spans="3:16" x14ac:dyDescent="0.2">
      <c r="C891" t="s">
        <v>31</v>
      </c>
      <c r="P891" t="s">
        <v>3475</v>
      </c>
    </row>
    <row r="892" spans="3:16" x14ac:dyDescent="0.2">
      <c r="C892" t="s">
        <v>31</v>
      </c>
      <c r="P892" t="s">
        <v>3475</v>
      </c>
    </row>
    <row r="893" spans="3:16" x14ac:dyDescent="0.2">
      <c r="C893" t="s">
        <v>31</v>
      </c>
      <c r="P893" t="s">
        <v>3475</v>
      </c>
    </row>
    <row r="894" spans="3:16" x14ac:dyDescent="0.2">
      <c r="C894" t="s">
        <v>31</v>
      </c>
      <c r="P894" t="s">
        <v>3475</v>
      </c>
    </row>
    <row r="895" spans="3:16" x14ac:dyDescent="0.2">
      <c r="C895" t="s">
        <v>31</v>
      </c>
      <c r="P895" t="s">
        <v>3475</v>
      </c>
    </row>
    <row r="896" spans="3:16" x14ac:dyDescent="0.2">
      <c r="C896" t="s">
        <v>31</v>
      </c>
      <c r="P896" t="s">
        <v>3475</v>
      </c>
    </row>
    <row r="897" spans="3:16" x14ac:dyDescent="0.2">
      <c r="C897" t="s">
        <v>31</v>
      </c>
      <c r="P897" t="s">
        <v>3475</v>
      </c>
    </row>
    <row r="898" spans="3:16" x14ac:dyDescent="0.2">
      <c r="C898" t="s">
        <v>31</v>
      </c>
      <c r="P898" t="s">
        <v>3475</v>
      </c>
    </row>
    <row r="899" spans="3:16" x14ac:dyDescent="0.2">
      <c r="C899" t="s">
        <v>31</v>
      </c>
      <c r="P899" t="s">
        <v>3475</v>
      </c>
    </row>
    <row r="900" spans="3:16" x14ac:dyDescent="0.2">
      <c r="C900" t="s">
        <v>31</v>
      </c>
      <c r="P900" t="s">
        <v>3475</v>
      </c>
    </row>
    <row r="901" spans="3:16" x14ac:dyDescent="0.2">
      <c r="C901" t="s">
        <v>31</v>
      </c>
      <c r="P901" t="s">
        <v>3475</v>
      </c>
    </row>
    <row r="902" spans="3:16" x14ac:dyDescent="0.2">
      <c r="C902" t="s">
        <v>31</v>
      </c>
      <c r="P902" t="s">
        <v>3475</v>
      </c>
    </row>
    <row r="903" spans="3:16" x14ac:dyDescent="0.2">
      <c r="C903" t="s">
        <v>31</v>
      </c>
      <c r="P903" t="s">
        <v>3475</v>
      </c>
    </row>
    <row r="904" spans="3:16" x14ac:dyDescent="0.2">
      <c r="C904" t="s">
        <v>31</v>
      </c>
      <c r="P904" t="s">
        <v>3475</v>
      </c>
    </row>
    <row r="905" spans="3:16" x14ac:dyDescent="0.2">
      <c r="C905" t="s">
        <v>31</v>
      </c>
      <c r="P905" t="s">
        <v>3475</v>
      </c>
    </row>
    <row r="906" spans="3:16" x14ac:dyDescent="0.2">
      <c r="C906" t="s">
        <v>31</v>
      </c>
      <c r="P906" t="s">
        <v>3475</v>
      </c>
    </row>
    <row r="907" spans="3:16" x14ac:dyDescent="0.2">
      <c r="C907" t="s">
        <v>31</v>
      </c>
      <c r="P907" t="s">
        <v>3475</v>
      </c>
    </row>
    <row r="908" spans="3:16" x14ac:dyDescent="0.2">
      <c r="C908" t="s">
        <v>31</v>
      </c>
      <c r="P908" t="s">
        <v>3475</v>
      </c>
    </row>
    <row r="909" spans="3:16" x14ac:dyDescent="0.2">
      <c r="C909" t="s">
        <v>31</v>
      </c>
      <c r="P909" t="s">
        <v>3475</v>
      </c>
    </row>
    <row r="910" spans="3:16" x14ac:dyDescent="0.2">
      <c r="C910" t="s">
        <v>31</v>
      </c>
      <c r="P910" t="s">
        <v>3475</v>
      </c>
    </row>
    <row r="911" spans="3:16" x14ac:dyDescent="0.2">
      <c r="C911" t="s">
        <v>31</v>
      </c>
      <c r="P911" t="s">
        <v>3475</v>
      </c>
    </row>
    <row r="912" spans="3:16" x14ac:dyDescent="0.2">
      <c r="C912" t="s">
        <v>31</v>
      </c>
      <c r="P912" t="s">
        <v>3475</v>
      </c>
    </row>
    <row r="913" spans="3:16" x14ac:dyDescent="0.2">
      <c r="C913" t="s">
        <v>31</v>
      </c>
      <c r="P913" t="s">
        <v>3475</v>
      </c>
    </row>
    <row r="914" spans="3:16" x14ac:dyDescent="0.2">
      <c r="C914" t="s">
        <v>31</v>
      </c>
      <c r="P914" t="s">
        <v>3475</v>
      </c>
    </row>
    <row r="915" spans="3:16" x14ac:dyDescent="0.2">
      <c r="C915" t="s">
        <v>31</v>
      </c>
      <c r="P915" t="s">
        <v>3475</v>
      </c>
    </row>
    <row r="916" spans="3:16" x14ac:dyDescent="0.2">
      <c r="C916" t="s">
        <v>31</v>
      </c>
      <c r="P916" t="s">
        <v>3475</v>
      </c>
    </row>
    <row r="917" spans="3:16" x14ac:dyDescent="0.2">
      <c r="C917" t="s">
        <v>31</v>
      </c>
      <c r="P917" t="s">
        <v>3475</v>
      </c>
    </row>
    <row r="918" spans="3:16" x14ac:dyDescent="0.2">
      <c r="C918" t="s">
        <v>31</v>
      </c>
      <c r="P918" t="s">
        <v>3475</v>
      </c>
    </row>
    <row r="919" spans="3:16" x14ac:dyDescent="0.2">
      <c r="C919" t="s">
        <v>31</v>
      </c>
      <c r="P919" t="s">
        <v>3475</v>
      </c>
    </row>
    <row r="920" spans="3:16" x14ac:dyDescent="0.2">
      <c r="C920" t="s">
        <v>31</v>
      </c>
      <c r="P920" t="s">
        <v>3475</v>
      </c>
    </row>
    <row r="921" spans="3:16" x14ac:dyDescent="0.2">
      <c r="C921" t="s">
        <v>31</v>
      </c>
      <c r="P921" t="s">
        <v>3475</v>
      </c>
    </row>
    <row r="922" spans="3:16" x14ac:dyDescent="0.2">
      <c r="C922" t="s">
        <v>31</v>
      </c>
      <c r="P922" t="s">
        <v>3475</v>
      </c>
    </row>
    <row r="923" spans="3:16" x14ac:dyDescent="0.2">
      <c r="C923" t="s">
        <v>31</v>
      </c>
      <c r="P923" t="s">
        <v>3475</v>
      </c>
    </row>
    <row r="924" spans="3:16" x14ac:dyDescent="0.2">
      <c r="C924" t="s">
        <v>31</v>
      </c>
      <c r="P924" t="s">
        <v>3475</v>
      </c>
    </row>
    <row r="925" spans="3:16" x14ac:dyDescent="0.2">
      <c r="C925" t="s">
        <v>31</v>
      </c>
      <c r="P925" t="s">
        <v>3475</v>
      </c>
    </row>
    <row r="926" spans="3:16" x14ac:dyDescent="0.2">
      <c r="C926" t="s">
        <v>31</v>
      </c>
      <c r="P926" t="s">
        <v>3475</v>
      </c>
    </row>
    <row r="927" spans="3:16" x14ac:dyDescent="0.2">
      <c r="C927" t="s">
        <v>31</v>
      </c>
      <c r="P927" t="s">
        <v>3475</v>
      </c>
    </row>
    <row r="928" spans="3:16" x14ac:dyDescent="0.2">
      <c r="C928" t="s">
        <v>31</v>
      </c>
      <c r="P928" t="s">
        <v>3475</v>
      </c>
    </row>
    <row r="929" spans="3:16" x14ac:dyDescent="0.2">
      <c r="C929" t="s">
        <v>31</v>
      </c>
      <c r="P929" t="s">
        <v>3475</v>
      </c>
    </row>
    <row r="930" spans="3:16" x14ac:dyDescent="0.2">
      <c r="C930" t="s">
        <v>31</v>
      </c>
      <c r="P930" t="s">
        <v>3475</v>
      </c>
    </row>
    <row r="931" spans="3:16" x14ac:dyDescent="0.2">
      <c r="C931" t="s">
        <v>31</v>
      </c>
      <c r="P931" t="s">
        <v>3475</v>
      </c>
    </row>
    <row r="932" spans="3:16" x14ac:dyDescent="0.2">
      <c r="C932" t="s">
        <v>31</v>
      </c>
      <c r="P932" t="s">
        <v>3475</v>
      </c>
    </row>
    <row r="933" spans="3:16" x14ac:dyDescent="0.2">
      <c r="C933" t="s">
        <v>31</v>
      </c>
      <c r="P933" t="s">
        <v>3475</v>
      </c>
    </row>
    <row r="934" spans="3:16" x14ac:dyDescent="0.2">
      <c r="C934" t="s">
        <v>31</v>
      </c>
      <c r="P934" t="s">
        <v>3475</v>
      </c>
    </row>
    <row r="935" spans="3:16" x14ac:dyDescent="0.2">
      <c r="C935" t="s">
        <v>31</v>
      </c>
      <c r="P935" t="s">
        <v>3475</v>
      </c>
    </row>
    <row r="936" spans="3:16" x14ac:dyDescent="0.2">
      <c r="C936" t="s">
        <v>31</v>
      </c>
      <c r="P936" t="s">
        <v>3475</v>
      </c>
    </row>
    <row r="937" spans="3:16" x14ac:dyDescent="0.2">
      <c r="C937" t="s">
        <v>31</v>
      </c>
      <c r="P937" t="s">
        <v>3475</v>
      </c>
    </row>
    <row r="938" spans="3:16" x14ac:dyDescent="0.2">
      <c r="C938" t="s">
        <v>31</v>
      </c>
      <c r="P938" t="s">
        <v>3475</v>
      </c>
    </row>
    <row r="939" spans="3:16" x14ac:dyDescent="0.2">
      <c r="C939" t="s">
        <v>31</v>
      </c>
      <c r="P939" t="s">
        <v>3475</v>
      </c>
    </row>
    <row r="940" spans="3:16" x14ac:dyDescent="0.2">
      <c r="C940" t="s">
        <v>31</v>
      </c>
      <c r="P940" t="s">
        <v>3475</v>
      </c>
    </row>
    <row r="941" spans="3:16" x14ac:dyDescent="0.2">
      <c r="C941" t="s">
        <v>31</v>
      </c>
      <c r="P941" t="s">
        <v>3475</v>
      </c>
    </row>
    <row r="942" spans="3:16" x14ac:dyDescent="0.2">
      <c r="C942" t="s">
        <v>31</v>
      </c>
      <c r="P942" t="s">
        <v>3475</v>
      </c>
    </row>
    <row r="943" spans="3:16" x14ac:dyDescent="0.2">
      <c r="C943" t="s">
        <v>31</v>
      </c>
      <c r="P943" t="s">
        <v>3475</v>
      </c>
    </row>
    <row r="944" spans="3:16" x14ac:dyDescent="0.2">
      <c r="C944" t="s">
        <v>31</v>
      </c>
      <c r="P944" t="s">
        <v>3475</v>
      </c>
    </row>
    <row r="945" spans="3:16" x14ac:dyDescent="0.2">
      <c r="C945" t="s">
        <v>31</v>
      </c>
      <c r="P945" t="s">
        <v>3475</v>
      </c>
    </row>
    <row r="946" spans="3:16" x14ac:dyDescent="0.2">
      <c r="C946" t="s">
        <v>31</v>
      </c>
      <c r="P946" t="s">
        <v>3475</v>
      </c>
    </row>
    <row r="947" spans="3:16" x14ac:dyDescent="0.2">
      <c r="C947" t="s">
        <v>31</v>
      </c>
      <c r="P947" t="s">
        <v>3475</v>
      </c>
    </row>
    <row r="948" spans="3:16" x14ac:dyDescent="0.2">
      <c r="C948" t="s">
        <v>31</v>
      </c>
      <c r="P948" t="s">
        <v>3475</v>
      </c>
    </row>
    <row r="949" spans="3:16" x14ac:dyDescent="0.2">
      <c r="C949" t="s">
        <v>31</v>
      </c>
      <c r="P949" t="s">
        <v>3475</v>
      </c>
    </row>
  </sheetData>
  <phoneticPr fontId="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Q103"/>
  <sheetViews>
    <sheetView showGridLines="0" tabSelected="1" zoomScaleNormal="100" zoomScaleSheetLayoutView="55" workbookViewId="0">
      <selection activeCell="L5" sqref="L5"/>
    </sheetView>
  </sheetViews>
  <sheetFormatPr defaultRowHeight="15" customHeight="1" x14ac:dyDescent="0.2"/>
  <cols>
    <col min="1" max="1" width="17.1640625" style="1" customWidth="1"/>
    <col min="2" max="2" width="15.6640625" style="1" customWidth="1"/>
    <col min="3" max="3" width="17.6640625" style="1" customWidth="1"/>
    <col min="4" max="4" width="9.5" style="3" customWidth="1"/>
    <col min="5" max="5" width="30.33203125" style="3" customWidth="1"/>
    <col min="6" max="6" width="14.6640625" style="3" customWidth="1"/>
    <col min="7" max="7" width="7.83203125" style="3" customWidth="1"/>
    <col min="8" max="8" width="4.6640625" style="3" customWidth="1"/>
    <col min="9" max="9" width="49.33203125" style="3" bestFit="1" customWidth="1"/>
    <col min="10" max="10" width="12.6640625" style="3" customWidth="1"/>
    <col min="11" max="11" width="14.1640625" style="3" customWidth="1"/>
    <col min="12" max="12" width="14" style="3" customWidth="1"/>
    <col min="13" max="13" width="19.33203125" style="3" customWidth="1"/>
    <col min="14" max="14" width="11.5" style="3" bestFit="1" customWidth="1"/>
    <col min="15" max="15" width="39.33203125" style="3" customWidth="1"/>
    <col min="16" max="16384" width="9.33203125" style="1"/>
  </cols>
  <sheetData>
    <row r="1" spans="1:16" ht="62.25" customHeight="1" thickBot="1" x14ac:dyDescent="0.25">
      <c r="A1" s="155" t="s">
        <v>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7"/>
      <c r="O1" s="36" t="s">
        <v>27</v>
      </c>
    </row>
    <row r="2" spans="1:16" ht="18.75" customHeight="1" x14ac:dyDescent="0.2">
      <c r="A2" s="15" t="s">
        <v>4</v>
      </c>
      <c r="B2" s="178" t="str">
        <f>IFERROR(IF(VLOOKUP(TRIM($B$6), Foglio1!$B$2:$I$1167, 3, FALSE) = 0, "", VLOOKUP(TRIM($B$6), Foglio1!$B$2:$I$1167, 3, FALSE)), "-")</f>
        <v>SOBONO ENERGY</v>
      </c>
      <c r="C2" s="179"/>
      <c r="D2" s="179"/>
      <c r="E2" s="180"/>
      <c r="F2" s="16" t="s">
        <v>22</v>
      </c>
      <c r="G2" s="32">
        <v>0</v>
      </c>
      <c r="H2" s="17" t="s">
        <v>23</v>
      </c>
      <c r="I2" s="158" t="s">
        <v>3122</v>
      </c>
      <c r="J2" s="159"/>
      <c r="K2" s="18" t="s">
        <v>15</v>
      </c>
      <c r="L2" s="38">
        <v>45755</v>
      </c>
      <c r="M2" s="110" t="s">
        <v>6</v>
      </c>
      <c r="N2" s="111"/>
      <c r="O2" s="40"/>
    </row>
    <row r="3" spans="1:16" ht="18.75" customHeight="1" x14ac:dyDescent="0.2">
      <c r="A3" s="19" t="s">
        <v>43</v>
      </c>
      <c r="B3" s="116" t="str">
        <f>IFERROR(IF(VLOOKUP(TRIM($B$6), Foglio1!$B$2:$I$1167, 4, FALSE) = 0, "", VLOOKUP(TRIM($B$6), Foglio1!$B$2:$I$1167, 4, FALSE)), "-")</f>
        <v/>
      </c>
      <c r="C3" s="117"/>
      <c r="D3" s="117"/>
      <c r="E3" s="118"/>
      <c r="F3" s="20" t="s">
        <v>22</v>
      </c>
      <c r="G3" s="33">
        <v>1</v>
      </c>
      <c r="H3" s="21" t="s">
        <v>23</v>
      </c>
      <c r="I3" s="114" t="s">
        <v>3122</v>
      </c>
      <c r="J3" s="115"/>
      <c r="K3" s="22" t="s">
        <v>15</v>
      </c>
      <c r="L3" s="53">
        <v>45824</v>
      </c>
      <c r="M3" s="112"/>
      <c r="N3" s="113"/>
      <c r="O3" s="41"/>
    </row>
    <row r="4" spans="1:16" ht="18.75" customHeight="1" x14ac:dyDescent="0.2">
      <c r="A4" s="19" t="s">
        <v>5</v>
      </c>
      <c r="B4" s="116" t="str">
        <f>IFERROR(IF(VLOOKUP(TRIM($B$6), Foglio1!$B$2:$I$1167, 5, FALSE) = 0, "", VLOOKUP(TRIM($B$6), Foglio1!$B$2:$I$1167, 5, FALSE)), "-")</f>
        <v>Energy Plant</v>
      </c>
      <c r="C4" s="117"/>
      <c r="D4" s="117"/>
      <c r="E4" s="118"/>
      <c r="F4" s="20" t="s">
        <v>22</v>
      </c>
      <c r="G4" s="67">
        <v>2</v>
      </c>
      <c r="H4" s="21" t="s">
        <v>23</v>
      </c>
      <c r="I4" s="114" t="s">
        <v>3122</v>
      </c>
      <c r="J4" s="115"/>
      <c r="K4" s="22" t="s">
        <v>15</v>
      </c>
      <c r="L4" s="39">
        <v>45855</v>
      </c>
      <c r="M4" s="181" t="s">
        <v>3389</v>
      </c>
      <c r="N4" s="182"/>
      <c r="O4" s="41"/>
    </row>
    <row r="5" spans="1:16" ht="21" customHeight="1" x14ac:dyDescent="0.2">
      <c r="A5" s="37" t="s">
        <v>18</v>
      </c>
      <c r="B5" s="116" t="str">
        <f>IFERROR(IF(VLOOKUP(TRIM($B$6), Foglio1!$B$2:$I$1167, 7, FALSE) = 0, "", VLOOKUP(TRIM($B$6), Foglio1!$B$2:$I$1167, 7, FALSE)), "-")</f>
        <v>SINGAPORE</v>
      </c>
      <c r="C5" s="117"/>
      <c r="D5" s="117"/>
      <c r="E5" s="118"/>
      <c r="F5" s="20" t="s">
        <v>22</v>
      </c>
      <c r="G5" s="33"/>
      <c r="H5" s="21" t="s">
        <v>23</v>
      </c>
      <c r="I5" s="114"/>
      <c r="J5" s="115"/>
      <c r="K5" s="22" t="s">
        <v>15</v>
      </c>
      <c r="L5" s="39"/>
      <c r="M5" s="181"/>
      <c r="N5" s="182"/>
      <c r="O5" s="41"/>
    </row>
    <row r="6" spans="1:16" ht="21" customHeight="1" thickBot="1" x14ac:dyDescent="0.25">
      <c r="A6" s="45" t="s">
        <v>14</v>
      </c>
      <c r="B6" s="139" t="s">
        <v>3396</v>
      </c>
      <c r="C6" s="140"/>
      <c r="D6" s="46" t="s">
        <v>19</v>
      </c>
      <c r="E6" s="54" t="str">
        <f>IFERROR(INDEX(Foglio1!A2:A1167, MATCH(TRIM($B$6), Foglio1!B2:B1167, 0)),"-")</f>
        <v>IT0012025TRT00044</v>
      </c>
      <c r="F6" s="47" t="s">
        <v>22</v>
      </c>
      <c r="G6" s="48"/>
      <c r="H6" s="49" t="s">
        <v>23</v>
      </c>
      <c r="I6" s="119"/>
      <c r="J6" s="120"/>
      <c r="K6" s="50" t="s">
        <v>15</v>
      </c>
      <c r="L6" s="51"/>
      <c r="M6" s="183"/>
      <c r="N6" s="184"/>
      <c r="O6" s="52"/>
    </row>
    <row r="7" spans="1:16" ht="21" customHeight="1" thickBot="1" x14ac:dyDescent="0.25">
      <c r="A7" s="188" t="s">
        <v>42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90"/>
    </row>
    <row r="8" spans="1:16" ht="21" customHeight="1" thickBot="1" x14ac:dyDescent="0.25">
      <c r="A8" s="185"/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7"/>
    </row>
    <row r="9" spans="1:16" s="4" customFormat="1" ht="15" customHeight="1" x14ac:dyDescent="0.2">
      <c r="A9" s="133" t="s">
        <v>13</v>
      </c>
      <c r="B9" s="136" t="s">
        <v>21</v>
      </c>
      <c r="C9" s="166" t="s">
        <v>12</v>
      </c>
      <c r="D9" s="169" t="s">
        <v>20</v>
      </c>
      <c r="E9" s="172" t="s">
        <v>7</v>
      </c>
      <c r="F9" s="173"/>
      <c r="G9" s="173"/>
      <c r="H9" s="174"/>
      <c r="I9" s="163" t="s">
        <v>16</v>
      </c>
      <c r="J9" s="160" t="s">
        <v>9</v>
      </c>
      <c r="K9" s="161"/>
      <c r="L9" s="162"/>
      <c r="M9" s="163" t="s">
        <v>11</v>
      </c>
      <c r="N9" s="163" t="s">
        <v>17</v>
      </c>
      <c r="O9" s="153" t="s">
        <v>2</v>
      </c>
    </row>
    <row r="10" spans="1:16" s="4" customFormat="1" ht="15" customHeight="1" x14ac:dyDescent="0.2">
      <c r="A10" s="134"/>
      <c r="B10" s="137"/>
      <c r="C10" s="167"/>
      <c r="D10" s="170"/>
      <c r="E10" s="104"/>
      <c r="F10" s="105"/>
      <c r="G10" s="105"/>
      <c r="H10" s="106"/>
      <c r="I10" s="164"/>
      <c r="J10" s="34"/>
      <c r="K10" s="34"/>
      <c r="L10" s="11" t="s">
        <v>10</v>
      </c>
      <c r="M10" s="164"/>
      <c r="N10" s="164"/>
      <c r="O10" s="125"/>
    </row>
    <row r="11" spans="1:16" s="4" customFormat="1" ht="15" customHeight="1" x14ac:dyDescent="0.2">
      <c r="A11" s="135"/>
      <c r="B11" s="138"/>
      <c r="C11" s="168"/>
      <c r="D11" s="171"/>
      <c r="E11" s="175"/>
      <c r="F11" s="176"/>
      <c r="G11" s="176"/>
      <c r="H11" s="177"/>
      <c r="I11" s="165"/>
      <c r="J11" s="35" t="s">
        <v>3</v>
      </c>
      <c r="K11" s="35" t="s">
        <v>1</v>
      </c>
      <c r="L11" s="35" t="s">
        <v>0</v>
      </c>
      <c r="M11" s="165"/>
      <c r="N11" s="165"/>
      <c r="O11" s="154"/>
    </row>
    <row r="12" spans="1:16" ht="18" customHeight="1" x14ac:dyDescent="0.25">
      <c r="A12" s="24"/>
      <c r="B12" s="25"/>
      <c r="C12" s="26"/>
      <c r="D12" s="27"/>
      <c r="E12" s="107"/>
      <c r="F12" s="108"/>
      <c r="G12" s="108"/>
      <c r="H12" s="109"/>
      <c r="I12" s="28"/>
      <c r="J12" s="28"/>
      <c r="K12" s="28"/>
      <c r="L12" s="28"/>
      <c r="M12" s="28"/>
      <c r="N12" s="28"/>
      <c r="O12" s="29"/>
    </row>
    <row r="13" spans="1:16" ht="18" customHeight="1" x14ac:dyDescent="0.25">
      <c r="A13" s="12" t="s">
        <v>3073</v>
      </c>
      <c r="B13" s="56" t="s">
        <v>3081</v>
      </c>
      <c r="C13" s="57" t="s">
        <v>3082</v>
      </c>
      <c r="D13" s="7">
        <v>2</v>
      </c>
      <c r="E13" s="76" t="s">
        <v>29</v>
      </c>
      <c r="F13" s="77"/>
      <c r="G13" s="77"/>
      <c r="H13" s="78"/>
      <c r="I13" s="63" t="str">
        <f>IF(A13&gt;0,VLOOKUP(A13,[1]SE!$A$1:$K$65536,5,FALSE)," ")</f>
        <v>XS630B1PAL2</v>
      </c>
      <c r="J13" s="63">
        <f>IF(A13&gt;0,VLOOKUP(A13,[1]SE!$A$1:$K$65536,6,FALSE)," ")</f>
        <v>24</v>
      </c>
      <c r="K13" s="63" t="str">
        <f>IF(A13&gt;0,VLOOKUP(A13,[1]SE!$A$1:$K$65536,7,FALSE)," ")</f>
        <v>DC</v>
      </c>
      <c r="L13" s="63">
        <f>IF(A13&gt;0,VLOOKUP(A13,[1]SE!$A$1:$K$65536,8,FALSE)," ")</f>
        <v>0</v>
      </c>
      <c r="M13" s="63" t="str">
        <f>IF(A13&gt;0,VLOOKUP(A13,[1]SE!$A$1:$K$65536,4,FALSE)," ")</f>
        <v>Telemecanique</v>
      </c>
      <c r="N13" s="63">
        <f>IF(A13&gt;0,VLOOKUP(A13,[1]SE!$A$1:$K$65536,10,FALSE)," ")</f>
        <v>0</v>
      </c>
      <c r="O13" s="23">
        <f>IF(A13&gt;0,VLOOKUP(A13,[1]SE!$A$1:$K$65536,11,FALSE)," ")</f>
        <v>0</v>
      </c>
      <c r="P13" s="69" t="s">
        <v>390</v>
      </c>
    </row>
    <row r="14" spans="1:16" ht="18" customHeight="1" x14ac:dyDescent="0.25">
      <c r="A14" s="55"/>
      <c r="B14" s="56"/>
      <c r="C14" s="57"/>
      <c r="D14" s="58"/>
      <c r="E14" s="64"/>
      <c r="F14" s="65"/>
      <c r="G14" s="65"/>
      <c r="H14" s="66"/>
      <c r="I14" s="60"/>
      <c r="J14" s="60"/>
      <c r="K14" s="60"/>
      <c r="L14" s="60"/>
      <c r="M14" s="60"/>
      <c r="N14" s="60"/>
      <c r="O14" s="59"/>
    </row>
    <row r="15" spans="1:16" ht="18" customHeight="1" x14ac:dyDescent="0.25">
      <c r="A15" s="55" t="s">
        <v>3073</v>
      </c>
      <c r="B15" s="56" t="s">
        <v>3083</v>
      </c>
      <c r="C15" s="57" t="s">
        <v>3084</v>
      </c>
      <c r="D15" s="58">
        <v>1</v>
      </c>
      <c r="E15" s="76" t="s">
        <v>34</v>
      </c>
      <c r="F15" s="77"/>
      <c r="G15" s="77"/>
      <c r="H15" s="78"/>
      <c r="I15" s="63" t="str">
        <f>IF(A15&gt;0,VLOOKUP(A15,[1]SE!$A$1:$K$65536,5,FALSE)," ")</f>
        <v>XS630B1PAL2</v>
      </c>
      <c r="J15" s="63">
        <f>IF(A15&gt;0,VLOOKUP(A15,[1]SE!$A$1:$K$65536,6,FALSE)," ")</f>
        <v>24</v>
      </c>
      <c r="K15" s="63" t="str">
        <f>IF(A15&gt;0,VLOOKUP(A15,[1]SE!$A$1:$K$65536,7,FALSE)," ")</f>
        <v>DC</v>
      </c>
      <c r="L15" s="63">
        <f>IF(A15&gt;0,VLOOKUP(A15,[1]SE!$A$1:$K$65536,8,FALSE)," ")</f>
        <v>0</v>
      </c>
      <c r="M15" s="63" t="str">
        <f>IF(A15&gt;0,VLOOKUP(A15,[1]SE!$A$1:$K$65536,4,FALSE)," ")</f>
        <v>Telemecanique</v>
      </c>
      <c r="N15" s="63">
        <f>IF(A15&gt;0,VLOOKUP(A15,[1]SE!$A$1:$K$65536,10,FALSE)," ")</f>
        <v>0</v>
      </c>
      <c r="O15" s="23">
        <f>IF(A15&gt;0,VLOOKUP(A15,[1]SE!$A$1:$K$65536,11,FALSE)," ")</f>
        <v>0</v>
      </c>
      <c r="P15" s="68" t="s">
        <v>3390</v>
      </c>
    </row>
    <row r="16" spans="1:16" ht="36" customHeight="1" x14ac:dyDescent="0.25">
      <c r="A16" s="55" t="s">
        <v>3391</v>
      </c>
      <c r="B16" s="79" t="s">
        <v>3083</v>
      </c>
      <c r="C16" s="82" t="s">
        <v>3084</v>
      </c>
      <c r="D16" s="58">
        <v>1</v>
      </c>
      <c r="E16" s="85" t="s">
        <v>3118</v>
      </c>
      <c r="F16" s="86"/>
      <c r="G16" s="86"/>
      <c r="H16" s="87"/>
      <c r="I16" s="63" t="str">
        <f>IF(A16&gt;0,VLOOKUP(A16,[1]SE!$A$1:$K$65536,5,FALSE)," ")</f>
        <v>ROTACOD AS58-12-04-AI12-10-PT-RM8</v>
      </c>
      <c r="J16" s="63">
        <f>IF(A16&gt;0,VLOOKUP(A16,[1]SE!$A$1:$K$65536,6,FALSE)," ")</f>
        <v>24</v>
      </c>
      <c r="K16" s="63" t="str">
        <f>IF(A16&gt;0,VLOOKUP(A16,[1]SE!$A$1:$K$65536,7,FALSE)," ")</f>
        <v>DC</v>
      </c>
      <c r="L16" s="63">
        <f>IF(A16&gt;0,VLOOKUP(A16,[1]SE!$A$1:$K$65536,8,FALSE)," ")</f>
        <v>0</v>
      </c>
      <c r="M16" s="63" t="str">
        <f>IF(A16&gt;0,VLOOKUP(A16,[1]SE!$A$1:$K$65536,4,FALSE)," ")</f>
        <v>LIKA</v>
      </c>
      <c r="N16" s="63" t="str">
        <f>IF(A16&gt;0,VLOOKUP(A16,[1]SE!$A$1:$K$65536,10,FALSE)," ")</f>
        <v>NO</v>
      </c>
      <c r="O16" s="70" t="str">
        <f>IF(A16&gt;0,VLOOKUP(A16,[1]SE!$A$1:$K$65536,11,FALSE)," ")</f>
        <v>WITH SE1023 E SE1020. Output 4-20mA, 4096 info/round, 16 rounds , shaft Ø10mm, radial connector M12 8pin</v>
      </c>
      <c r="P16" s="68" t="s">
        <v>3390</v>
      </c>
    </row>
    <row r="17" spans="1:16" ht="36" customHeight="1" x14ac:dyDescent="0.25">
      <c r="A17" s="55" t="s">
        <v>3392</v>
      </c>
      <c r="B17" s="80"/>
      <c r="C17" s="83"/>
      <c r="D17" s="58">
        <v>1</v>
      </c>
      <c r="E17" s="88"/>
      <c r="F17" s="89"/>
      <c r="G17" s="89"/>
      <c r="H17" s="90"/>
      <c r="I17" s="63" t="str">
        <f>IF(A17&gt;0,VLOOKUP(A17,[1]SE!$A$1:$K$65536,5,FALSE)," ")</f>
        <v xml:space="preserve">EC-M12F8-LK-M8-L050  </v>
      </c>
      <c r="J17" s="63">
        <f>IF(A17&gt;0,VLOOKUP(A17,[1]SE!$A$1:$K$65536,6,FALSE)," ")</f>
        <v>0</v>
      </c>
      <c r="K17" s="63">
        <f>IF(A17&gt;0,VLOOKUP(A17,[1]SE!$A$1:$K$65536,7,FALSE)," ")</f>
        <v>0</v>
      </c>
      <c r="L17" s="63">
        <f>IF(A17&gt;0,VLOOKUP(A17,[1]SE!$A$1:$K$65536,8,FALSE)," ")</f>
        <v>0</v>
      </c>
      <c r="M17" s="63" t="str">
        <f>IF(A17&gt;0,VLOOKUP(A17,[1]SE!$A$1:$K$65536,4,FALSE)," ")</f>
        <v>LIKA</v>
      </c>
      <c r="N17" s="63" t="str">
        <f>IF(A17&gt;0,VLOOKUP(A17,[1]SE!$A$1:$K$65536,10,FALSE)," ")</f>
        <v>NO</v>
      </c>
      <c r="O17" s="70" t="str">
        <f>IF(A17&gt;0,VLOOKUP(A17,[1]SE!$A$1:$K$65536,11,FALSE)," ")</f>
        <v>Cable connector M12 8pin, on the other side free cables</v>
      </c>
      <c r="P17" s="68" t="s">
        <v>3390</v>
      </c>
    </row>
    <row r="18" spans="1:16" ht="18" customHeight="1" x14ac:dyDescent="0.25">
      <c r="A18" s="55" t="s">
        <v>3393</v>
      </c>
      <c r="B18" s="81"/>
      <c r="C18" s="84"/>
      <c r="D18" s="58">
        <v>1</v>
      </c>
      <c r="E18" s="91"/>
      <c r="F18" s="92"/>
      <c r="G18" s="92"/>
      <c r="H18" s="93"/>
      <c r="I18" s="63" t="str">
        <f>IF(A18&gt;0,VLOOKUP(A18,[1]SE!$A$1:$K$65536,5,FALSE)," ")</f>
        <v xml:space="preserve">PAN -10 </v>
      </c>
      <c r="J18" s="63">
        <f>IF(A18&gt;0,VLOOKUP(A18,[1]SE!$A$1:$K$65536,6,FALSE)," ")</f>
        <v>0</v>
      </c>
      <c r="K18" s="63">
        <f>IF(A18&gt;0,VLOOKUP(A18,[1]SE!$A$1:$K$65536,7,FALSE)," ")</f>
        <v>0</v>
      </c>
      <c r="L18" s="63">
        <f>IF(A18&gt;0,VLOOKUP(A18,[1]SE!$A$1:$K$65536,8,FALSE)," ")</f>
        <v>0</v>
      </c>
      <c r="M18" s="63" t="str">
        <f>IF(A18&gt;0,VLOOKUP(A18,[1]SE!$A$1:$K$65536,4,FALSE)," ")</f>
        <v>LIKA</v>
      </c>
      <c r="N18" s="63" t="str">
        <f>IF(A18&gt;0,VLOOKUP(A18,[1]SE!$A$1:$K$65536,10,FALSE)," ")</f>
        <v>NO</v>
      </c>
      <c r="O18" s="23" t="str">
        <f>IF(A18&gt;0,VLOOKUP(A18,[1]SE!$A$1:$K$65536,11,FALSE)," ")</f>
        <v>Coupling joint Ø10 - Ø10</v>
      </c>
      <c r="P18" s="68" t="s">
        <v>3390</v>
      </c>
    </row>
    <row r="19" spans="1:16" ht="36.75" customHeight="1" x14ac:dyDescent="0.25">
      <c r="A19" s="62" t="s">
        <v>3119</v>
      </c>
      <c r="B19" s="121" t="s">
        <v>3083</v>
      </c>
      <c r="C19" s="141" t="s">
        <v>3084</v>
      </c>
      <c r="D19" s="71">
        <v>1</v>
      </c>
      <c r="E19" s="144" t="s">
        <v>3078</v>
      </c>
      <c r="F19" s="145"/>
      <c r="G19" s="145"/>
      <c r="H19" s="146"/>
      <c r="I19" s="72" t="s">
        <v>3120</v>
      </c>
      <c r="J19" s="72">
        <v>24</v>
      </c>
      <c r="K19" s="72" t="s">
        <v>3117</v>
      </c>
      <c r="L19" s="72">
        <v>0</v>
      </c>
      <c r="M19" s="72" t="s">
        <v>3121</v>
      </c>
      <c r="N19" s="72" t="s">
        <v>545</v>
      </c>
      <c r="O19" s="74" t="s">
        <v>3488</v>
      </c>
      <c r="P19" s="68" t="s">
        <v>3390</v>
      </c>
    </row>
    <row r="20" spans="1:16" ht="18" customHeight="1" x14ac:dyDescent="0.25">
      <c r="A20" s="62" t="s">
        <v>3476</v>
      </c>
      <c r="B20" s="122"/>
      <c r="C20" s="142"/>
      <c r="D20" s="71">
        <v>1</v>
      </c>
      <c r="E20" s="147"/>
      <c r="F20" s="148"/>
      <c r="G20" s="148"/>
      <c r="H20" s="149"/>
      <c r="I20" s="72" t="s">
        <v>3477</v>
      </c>
      <c r="J20" s="72">
        <v>0</v>
      </c>
      <c r="K20" s="72">
        <v>0</v>
      </c>
      <c r="L20" s="72">
        <v>0</v>
      </c>
      <c r="M20" s="72" t="s">
        <v>3121</v>
      </c>
      <c r="N20" s="72" t="s">
        <v>545</v>
      </c>
      <c r="O20" s="73"/>
      <c r="P20" s="68" t="s">
        <v>3390</v>
      </c>
    </row>
    <row r="21" spans="1:16" ht="18" customHeight="1" x14ac:dyDescent="0.25">
      <c r="A21" s="62" t="s">
        <v>3482</v>
      </c>
      <c r="B21" s="122"/>
      <c r="C21" s="142"/>
      <c r="D21" s="71">
        <v>1</v>
      </c>
      <c r="E21" s="147"/>
      <c r="F21" s="148"/>
      <c r="G21" s="148"/>
      <c r="H21" s="149"/>
      <c r="I21" s="72" t="s">
        <v>3478</v>
      </c>
      <c r="J21" s="72">
        <v>0</v>
      </c>
      <c r="K21" s="72">
        <v>0</v>
      </c>
      <c r="L21" s="72">
        <v>0</v>
      </c>
      <c r="M21" s="72" t="s">
        <v>3121</v>
      </c>
      <c r="N21" s="72" t="s">
        <v>545</v>
      </c>
      <c r="O21" s="73"/>
      <c r="P21" s="68" t="s">
        <v>3390</v>
      </c>
    </row>
    <row r="22" spans="1:16" ht="18" customHeight="1" x14ac:dyDescent="0.25">
      <c r="A22" s="62" t="s">
        <v>3483</v>
      </c>
      <c r="B22" s="122"/>
      <c r="C22" s="142"/>
      <c r="D22" s="71">
        <v>1</v>
      </c>
      <c r="E22" s="147"/>
      <c r="F22" s="148"/>
      <c r="G22" s="148"/>
      <c r="H22" s="149"/>
      <c r="I22" s="72" t="s">
        <v>3489</v>
      </c>
      <c r="J22" s="72">
        <v>0</v>
      </c>
      <c r="K22" s="72">
        <v>0</v>
      </c>
      <c r="L22" s="72">
        <v>0</v>
      </c>
      <c r="M22" s="72" t="s">
        <v>3121</v>
      </c>
      <c r="N22" s="72" t="s">
        <v>545</v>
      </c>
      <c r="O22" s="73"/>
      <c r="P22" s="68" t="s">
        <v>3390</v>
      </c>
    </row>
    <row r="23" spans="1:16" ht="18" customHeight="1" x14ac:dyDescent="0.25">
      <c r="A23" s="62" t="s">
        <v>3484</v>
      </c>
      <c r="B23" s="122"/>
      <c r="C23" s="142"/>
      <c r="D23" s="71">
        <v>1</v>
      </c>
      <c r="E23" s="147"/>
      <c r="F23" s="148"/>
      <c r="G23" s="148"/>
      <c r="H23" s="149"/>
      <c r="I23" s="72" t="s">
        <v>3479</v>
      </c>
      <c r="J23" s="72">
        <v>24</v>
      </c>
      <c r="K23" s="72" t="s">
        <v>3117</v>
      </c>
      <c r="L23" s="72">
        <v>0</v>
      </c>
      <c r="M23" s="72" t="s">
        <v>3121</v>
      </c>
      <c r="N23" s="72" t="s">
        <v>545</v>
      </c>
      <c r="O23" s="73" t="s">
        <v>3487</v>
      </c>
      <c r="P23" s="68" t="s">
        <v>3390</v>
      </c>
    </row>
    <row r="24" spans="1:16" ht="18" customHeight="1" x14ac:dyDescent="0.25">
      <c r="A24" s="62" t="s">
        <v>3485</v>
      </c>
      <c r="B24" s="122"/>
      <c r="C24" s="142"/>
      <c r="D24" s="71">
        <v>1</v>
      </c>
      <c r="E24" s="147"/>
      <c r="F24" s="148"/>
      <c r="G24" s="148"/>
      <c r="H24" s="149"/>
      <c r="I24" s="72" t="s">
        <v>3480</v>
      </c>
      <c r="J24" s="72">
        <v>0</v>
      </c>
      <c r="K24" s="72">
        <v>0</v>
      </c>
      <c r="L24" s="72">
        <v>0</v>
      </c>
      <c r="M24" s="72" t="s">
        <v>3121</v>
      </c>
      <c r="N24" s="72" t="s">
        <v>545</v>
      </c>
      <c r="O24" s="73"/>
      <c r="P24" s="68" t="s">
        <v>3390</v>
      </c>
    </row>
    <row r="25" spans="1:16" ht="18" customHeight="1" x14ac:dyDescent="0.25">
      <c r="A25" s="62" t="s">
        <v>3486</v>
      </c>
      <c r="B25" s="123"/>
      <c r="C25" s="143"/>
      <c r="D25" s="71">
        <v>1</v>
      </c>
      <c r="E25" s="150"/>
      <c r="F25" s="151"/>
      <c r="G25" s="151"/>
      <c r="H25" s="152"/>
      <c r="I25" s="72" t="s">
        <v>3481</v>
      </c>
      <c r="J25" s="72">
        <v>0</v>
      </c>
      <c r="K25" s="72">
        <v>0</v>
      </c>
      <c r="L25" s="72">
        <v>0</v>
      </c>
      <c r="M25" s="72" t="s">
        <v>3121</v>
      </c>
      <c r="N25" s="72" t="s">
        <v>545</v>
      </c>
      <c r="O25" s="73"/>
      <c r="P25" s="68" t="s">
        <v>3390</v>
      </c>
    </row>
    <row r="26" spans="1:16" ht="18" customHeight="1" x14ac:dyDescent="0.25">
      <c r="A26" s="55"/>
      <c r="B26" s="56"/>
      <c r="C26" s="57"/>
      <c r="D26" s="58"/>
      <c r="E26" s="76"/>
      <c r="F26" s="77"/>
      <c r="G26" s="77"/>
      <c r="H26" s="78"/>
      <c r="I26" s="60"/>
      <c r="J26" s="60"/>
      <c r="K26" s="60"/>
      <c r="L26" s="60"/>
      <c r="M26" s="60"/>
      <c r="N26" s="60"/>
      <c r="O26" s="59"/>
    </row>
    <row r="27" spans="1:16" ht="18" customHeight="1" x14ac:dyDescent="0.25">
      <c r="A27" s="55" t="s">
        <v>3130</v>
      </c>
      <c r="B27" s="56" t="s">
        <v>3085</v>
      </c>
      <c r="C27" s="57" t="s">
        <v>3086</v>
      </c>
      <c r="D27" s="7">
        <v>1</v>
      </c>
      <c r="E27" s="76" t="s">
        <v>34</v>
      </c>
      <c r="F27" s="77"/>
      <c r="G27" s="77"/>
      <c r="H27" s="78"/>
      <c r="I27" s="63" t="str">
        <f>IF(A27&gt;0,VLOOKUP(A27,[1]SE!$A$1:$K$65536,5,FALSE)," ")</f>
        <v>XS630B1PAL2EX</v>
      </c>
      <c r="J27" s="63" t="str">
        <f>IF(A27&gt;0,VLOOKUP(A27,[1]SE!$A$1:$K$65536,6,FALSE)," ")</f>
        <v>10 ÷ 48</v>
      </c>
      <c r="K27" s="63" t="str">
        <f>IF(A27&gt;0,VLOOKUP(A27,[1]SE!$A$1:$K$65536,7,FALSE)," ")</f>
        <v>DC</v>
      </c>
      <c r="L27" s="63">
        <f>IF(A27&gt;0,VLOOKUP(A27,[1]SE!$A$1:$K$65536,8,FALSE)," ")</f>
        <v>0</v>
      </c>
      <c r="M27" s="63" t="str">
        <f>IF(A27&gt;0,VLOOKUP(A27,[1]SE!$A$1:$K$65536,4,FALSE)," ")</f>
        <v>Telemecanique</v>
      </c>
      <c r="N27" s="63" t="str">
        <f>IF(A27&gt;0,VLOOKUP(A27,[1]SE!$A$1:$K$65536,10,FALSE)," ")</f>
        <v>ATEX21</v>
      </c>
      <c r="O27" s="23" t="str">
        <f>IF(A27&gt;0,VLOOKUP(A27,[1]SE!$A$1:$K$65536,11,FALSE)," ")</f>
        <v>cable 2 m</v>
      </c>
      <c r="P27" s="69" t="s">
        <v>390</v>
      </c>
    </row>
    <row r="28" spans="1:16" ht="18" customHeight="1" x14ac:dyDescent="0.25">
      <c r="A28" s="55" t="s">
        <v>3130</v>
      </c>
      <c r="B28" s="56" t="s">
        <v>3085</v>
      </c>
      <c r="C28" s="57" t="s">
        <v>3086</v>
      </c>
      <c r="D28" s="7">
        <v>4</v>
      </c>
      <c r="E28" s="76" t="s">
        <v>32</v>
      </c>
      <c r="F28" s="77"/>
      <c r="G28" s="77"/>
      <c r="H28" s="78"/>
      <c r="I28" s="63" t="str">
        <f>IF(A28&gt;0,VLOOKUP(A28,[1]SE!$A$1:$K$65536,5,FALSE)," ")</f>
        <v>XS630B1PAL2EX</v>
      </c>
      <c r="J28" s="63" t="str">
        <f>IF(A28&gt;0,VLOOKUP(A28,[1]SE!$A$1:$K$65536,6,FALSE)," ")</f>
        <v>10 ÷ 48</v>
      </c>
      <c r="K28" s="63" t="str">
        <f>IF(A28&gt;0,VLOOKUP(A28,[1]SE!$A$1:$K$65536,7,FALSE)," ")</f>
        <v>DC</v>
      </c>
      <c r="L28" s="63">
        <f>IF(A28&gt;0,VLOOKUP(A28,[1]SE!$A$1:$K$65536,8,FALSE)," ")</f>
        <v>0</v>
      </c>
      <c r="M28" s="63" t="str">
        <f>IF(A28&gt;0,VLOOKUP(A28,[1]SE!$A$1:$K$65536,4,FALSE)," ")</f>
        <v>Telemecanique</v>
      </c>
      <c r="N28" s="63" t="str">
        <f>IF(A28&gt;0,VLOOKUP(A28,[1]SE!$A$1:$K$65536,10,FALSE)," ")</f>
        <v>ATEX21</v>
      </c>
      <c r="O28" s="23" t="str">
        <f>IF(A28&gt;0,VLOOKUP(A28,[1]SE!$A$1:$K$65536,11,FALSE)," ")</f>
        <v>cable 2 m</v>
      </c>
      <c r="P28" s="69" t="s">
        <v>390</v>
      </c>
    </row>
    <row r="29" spans="1:16" ht="18" customHeight="1" x14ac:dyDescent="0.25">
      <c r="A29" s="55" t="s">
        <v>3129</v>
      </c>
      <c r="B29" s="56" t="s">
        <v>3085</v>
      </c>
      <c r="C29" s="57" t="s">
        <v>3086</v>
      </c>
      <c r="D29" s="7">
        <v>2</v>
      </c>
      <c r="E29" s="76" t="s">
        <v>33</v>
      </c>
      <c r="F29" s="77"/>
      <c r="G29" s="77"/>
      <c r="H29" s="78"/>
      <c r="I29" s="63" t="str">
        <f>IF(A29&gt;0,VLOOKUP(A29,[1]SE!$A$1:$K$65536,5,FALSE)," ")</f>
        <v>IF504A</v>
      </c>
      <c r="J29" s="63">
        <f>IF(A29&gt;0,VLOOKUP(A29,[1]SE!$A$1:$K$65536,6,FALSE)," ")</f>
        <v>24</v>
      </c>
      <c r="K29" s="63" t="str">
        <f>IF(A29&gt;0,VLOOKUP(A29,[1]SE!$A$1:$K$65536,7,FALSE)," ")</f>
        <v>DC</v>
      </c>
      <c r="L29" s="63">
        <f>IF(A29&gt;0,VLOOKUP(A29,[1]SE!$A$1:$K$65536,8,FALSE)," ")</f>
        <v>0</v>
      </c>
      <c r="M29" s="63" t="str">
        <f>IF(A29&gt;0,VLOOKUP(A29,[1]SE!$A$1:$K$65536,4,FALSE)," ")</f>
        <v>IFM</v>
      </c>
      <c r="N29" s="63" t="str">
        <f>IF(A29&gt;0,VLOOKUP(A29,[1]SE!$A$1:$K$65536,10,FALSE)," ")</f>
        <v>ATEX22</v>
      </c>
      <c r="O29" s="23">
        <f>IF(A29&gt;0,VLOOKUP(A29,[1]SE!$A$1:$K$65536,11,FALSE)," ")</f>
        <v>0</v>
      </c>
      <c r="P29" s="68" t="s">
        <v>3390</v>
      </c>
    </row>
    <row r="30" spans="1:16" ht="18" customHeight="1" x14ac:dyDescent="0.25">
      <c r="A30" s="55" t="s">
        <v>3079</v>
      </c>
      <c r="B30" s="56" t="s">
        <v>3085</v>
      </c>
      <c r="C30" s="57" t="s">
        <v>3086</v>
      </c>
      <c r="D30" s="7">
        <v>2</v>
      </c>
      <c r="E30" s="76" t="s">
        <v>30</v>
      </c>
      <c r="F30" s="77"/>
      <c r="G30" s="77"/>
      <c r="H30" s="78"/>
      <c r="I30" s="63" t="str">
        <f>IF(A30&gt;0,VLOOKUP(A30,[1]SE!$A$1:$K$65536,5,FALSE)," ")</f>
        <v>EVC27A</v>
      </c>
      <c r="J30" s="63">
        <f>IF(A30&gt;0,VLOOKUP(A30,[1]SE!$A$1:$K$65536,6,FALSE)," ")</f>
        <v>0</v>
      </c>
      <c r="K30" s="63">
        <f>IF(A30&gt;0,VLOOKUP(A30,[1]SE!$A$1:$K$65536,7,FALSE)," ")</f>
        <v>0</v>
      </c>
      <c r="L30" s="63">
        <f>IF(A30&gt;0,VLOOKUP(A30,[1]SE!$A$1:$K$65536,8,FALSE)," ")</f>
        <v>0</v>
      </c>
      <c r="M30" s="63" t="str">
        <f>IF(A30&gt;0,VLOOKUP(A30,[1]SE!$A$1:$K$65536,4,FALSE)," ")</f>
        <v>IFM</v>
      </c>
      <c r="N30" s="63" t="str">
        <f>IF(A30&gt;0,VLOOKUP(A30,[1]SE!$A$1:$K$65536,10,FALSE)," ")</f>
        <v>ATEX22</v>
      </c>
      <c r="O30" s="23" t="str">
        <f>IF(A30&gt;0,VLOOKUP(A30,[1]SE!$A$1:$K$65536,11,FALSE)," ")</f>
        <v>CONNECTOR AND CABLE ATEX22</v>
      </c>
      <c r="P30" s="68" t="s">
        <v>3390</v>
      </c>
    </row>
    <row r="31" spans="1:16" ht="18" customHeight="1" x14ac:dyDescent="0.25">
      <c r="A31" s="55" t="s">
        <v>3130</v>
      </c>
      <c r="B31" s="56" t="s">
        <v>3085</v>
      </c>
      <c r="C31" s="57" t="s">
        <v>3086</v>
      </c>
      <c r="D31" s="7">
        <v>1</v>
      </c>
      <c r="E31" s="76" t="s">
        <v>28</v>
      </c>
      <c r="F31" s="77"/>
      <c r="G31" s="77"/>
      <c r="H31" s="78"/>
      <c r="I31" s="63" t="str">
        <f>IF(A31&gt;0,VLOOKUP(A31,[1]SE!$A$1:$K$65536,5,FALSE)," ")</f>
        <v>XS630B1PAL2EX</v>
      </c>
      <c r="J31" s="63" t="str">
        <f>IF(A31&gt;0,VLOOKUP(A31,[1]SE!$A$1:$K$65536,6,FALSE)," ")</f>
        <v>10 ÷ 48</v>
      </c>
      <c r="K31" s="63" t="str">
        <f>IF(A31&gt;0,VLOOKUP(A31,[1]SE!$A$1:$K$65536,7,FALSE)," ")</f>
        <v>DC</v>
      </c>
      <c r="L31" s="63">
        <f>IF(A31&gt;0,VLOOKUP(A31,[1]SE!$A$1:$K$65536,8,FALSE)," ")</f>
        <v>0</v>
      </c>
      <c r="M31" s="63" t="str">
        <f>IF(A31&gt;0,VLOOKUP(A31,[1]SE!$A$1:$K$65536,4,FALSE)," ")</f>
        <v>Telemecanique</v>
      </c>
      <c r="N31" s="63" t="str">
        <f>IF(A31&gt;0,VLOOKUP(A31,[1]SE!$A$1:$K$65536,10,FALSE)," ")</f>
        <v>ATEX21</v>
      </c>
      <c r="O31" s="23" t="str">
        <f>IF(A31&gt;0,VLOOKUP(A31,[1]SE!$A$1:$K$65536,11,FALSE)," ")</f>
        <v>cable 2 m</v>
      </c>
      <c r="P31" s="69" t="s">
        <v>390</v>
      </c>
    </row>
    <row r="32" spans="1:16" ht="18" customHeight="1" x14ac:dyDescent="0.25">
      <c r="A32" s="55"/>
      <c r="B32" s="56"/>
      <c r="C32" s="57"/>
      <c r="D32" s="58"/>
      <c r="E32" s="42"/>
      <c r="F32" s="43"/>
      <c r="G32" s="43"/>
      <c r="H32" s="44"/>
      <c r="I32" s="60"/>
      <c r="J32" s="60"/>
      <c r="K32" s="60"/>
      <c r="L32" s="60"/>
      <c r="M32" s="60"/>
      <c r="N32" s="60"/>
      <c r="O32" s="59"/>
    </row>
    <row r="33" spans="1:16" ht="18" customHeight="1" x14ac:dyDescent="0.25">
      <c r="A33" s="12" t="s">
        <v>3130</v>
      </c>
      <c r="B33" s="56" t="s">
        <v>3087</v>
      </c>
      <c r="C33" s="57" t="s">
        <v>3088</v>
      </c>
      <c r="D33" s="7">
        <v>2</v>
      </c>
      <c r="E33" s="76" t="s">
        <v>29</v>
      </c>
      <c r="F33" s="77"/>
      <c r="G33" s="77"/>
      <c r="H33" s="78"/>
      <c r="I33" s="63" t="str">
        <f>IF(A33&gt;0,VLOOKUP(A33,[1]SE!$A$1:$K$65536,5,FALSE)," ")</f>
        <v>XS630B1PAL2EX</v>
      </c>
      <c r="J33" s="63" t="str">
        <f>IF(A33&gt;0,VLOOKUP(A33,[1]SE!$A$1:$K$65536,6,FALSE)," ")</f>
        <v>10 ÷ 48</v>
      </c>
      <c r="K33" s="63" t="str">
        <f>IF(A33&gt;0,VLOOKUP(A33,[1]SE!$A$1:$K$65536,7,FALSE)," ")</f>
        <v>DC</v>
      </c>
      <c r="L33" s="63">
        <f>IF(A33&gt;0,VLOOKUP(A33,[1]SE!$A$1:$K$65536,8,FALSE)," ")</f>
        <v>0</v>
      </c>
      <c r="M33" s="63" t="str">
        <f>IF(A33&gt;0,VLOOKUP(A33,[1]SE!$A$1:$K$65536,4,FALSE)," ")</f>
        <v>Telemecanique</v>
      </c>
      <c r="N33" s="63" t="str">
        <f>IF(A33&gt;0,VLOOKUP(A33,[1]SE!$A$1:$K$65536,10,FALSE)," ")</f>
        <v>ATEX21</v>
      </c>
      <c r="O33" s="23" t="str">
        <f>IF(A33&gt;0,VLOOKUP(A33,[1]SE!$A$1:$K$65536,11,FALSE)," ")</f>
        <v>cable 2 m</v>
      </c>
      <c r="P33" s="69" t="s">
        <v>390</v>
      </c>
    </row>
    <row r="34" spans="1:16" ht="18" customHeight="1" x14ac:dyDescent="0.25">
      <c r="A34" s="55"/>
      <c r="B34" s="56"/>
      <c r="C34" s="57"/>
      <c r="D34" s="58"/>
      <c r="E34" s="42"/>
      <c r="F34" s="43"/>
      <c r="G34" s="43"/>
      <c r="H34" s="44"/>
      <c r="I34" s="60"/>
      <c r="J34" s="60"/>
      <c r="K34" s="60"/>
      <c r="L34" s="60"/>
      <c r="M34" s="60"/>
      <c r="N34" s="60"/>
      <c r="O34" s="59"/>
    </row>
    <row r="35" spans="1:16" ht="18" customHeight="1" x14ac:dyDescent="0.25">
      <c r="A35" s="55" t="s">
        <v>3130</v>
      </c>
      <c r="B35" s="56" t="s">
        <v>3089</v>
      </c>
      <c r="C35" s="57" t="s">
        <v>3090</v>
      </c>
      <c r="D35" s="7">
        <v>1</v>
      </c>
      <c r="E35" s="76" t="s">
        <v>28</v>
      </c>
      <c r="F35" s="77"/>
      <c r="G35" s="77"/>
      <c r="H35" s="78"/>
      <c r="I35" s="63" t="str">
        <f>IF(A35&gt;0,VLOOKUP(A35,[1]SE!$A$1:$K$65536,5,FALSE)," ")</f>
        <v>XS630B1PAL2EX</v>
      </c>
      <c r="J35" s="63" t="str">
        <f>IF(A35&gt;0,VLOOKUP(A35,[1]SE!$A$1:$K$65536,6,FALSE)," ")</f>
        <v>10 ÷ 48</v>
      </c>
      <c r="K35" s="63" t="str">
        <f>IF(A35&gt;0,VLOOKUP(A35,[1]SE!$A$1:$K$65536,7,FALSE)," ")</f>
        <v>DC</v>
      </c>
      <c r="L35" s="63">
        <f>IF(A35&gt;0,VLOOKUP(A35,[1]SE!$A$1:$K$65536,8,FALSE)," ")</f>
        <v>0</v>
      </c>
      <c r="M35" s="63" t="str">
        <f>IF(A35&gt;0,VLOOKUP(A35,[1]SE!$A$1:$K$65536,4,FALSE)," ")</f>
        <v>Telemecanique</v>
      </c>
      <c r="N35" s="63" t="str">
        <f>IF(A35&gt;0,VLOOKUP(A35,[1]SE!$A$1:$K$65536,10,FALSE)," ")</f>
        <v>ATEX21</v>
      </c>
      <c r="O35" s="23" t="str">
        <f>IF(A35&gt;0,VLOOKUP(A35,[1]SE!$A$1:$K$65536,11,FALSE)," ")</f>
        <v>cable 2 m</v>
      </c>
      <c r="P35" s="69" t="s">
        <v>390</v>
      </c>
    </row>
    <row r="36" spans="1:16" ht="18" customHeight="1" x14ac:dyDescent="0.25">
      <c r="A36" s="55" t="s">
        <v>3132</v>
      </c>
      <c r="B36" s="56" t="s">
        <v>3089</v>
      </c>
      <c r="C36" s="57" t="s">
        <v>3090</v>
      </c>
      <c r="D36" s="7">
        <v>1</v>
      </c>
      <c r="E36" s="76" t="s">
        <v>39</v>
      </c>
      <c r="F36" s="77"/>
      <c r="G36" s="77"/>
      <c r="H36" s="78"/>
      <c r="I36" s="63" t="str">
        <f>IF(A36&gt;0,VLOOKUP(A36,[1]SE!$A$1:$K$65536,5,FALSE)," ")</f>
        <v>XY2CE2A250EX</v>
      </c>
      <c r="J36" s="63">
        <f>IF(A36&gt;0,VLOOKUP(A36,[1]SE!$A$1:$K$65536,6,FALSE)," ")</f>
        <v>0</v>
      </c>
      <c r="K36" s="63">
        <f>IF(A36&gt;0,VLOOKUP(A36,[1]SE!$A$1:$K$65536,7,FALSE)," ")</f>
        <v>0</v>
      </c>
      <c r="L36" s="63">
        <f>IF(A36&gt;0,VLOOKUP(A36,[1]SE!$A$1:$K$65536,8,FALSE)," ")</f>
        <v>0</v>
      </c>
      <c r="M36" s="63" t="str">
        <f>IF(A36&gt;0,VLOOKUP(A36,[1]SE!$A$1:$K$65536,4,FALSE)," ")</f>
        <v>Telemecanique</v>
      </c>
      <c r="N36" s="63" t="str">
        <f>IF(A36&gt;0,VLOOKUP(A36,[1]SE!$A$1:$K$65536,10,FALSE)," ")</f>
        <v>ATEX21</v>
      </c>
      <c r="O36" s="23" t="str">
        <f>IF(A36&gt;0,VLOOKUP(A36,[1]SE!$A$1:$K$65536,11,FALSE)," ")</f>
        <v xml:space="preserve">Nr. 1 x side Max. &lt;=40 mt. ==&gt; nr. 2 </v>
      </c>
      <c r="P36" s="69" t="s">
        <v>390</v>
      </c>
    </row>
    <row r="37" spans="1:16" ht="18" customHeight="1" x14ac:dyDescent="0.25">
      <c r="A37" s="55" t="s">
        <v>3133</v>
      </c>
      <c r="B37" s="56" t="s">
        <v>3089</v>
      </c>
      <c r="C37" s="57" t="s">
        <v>3090</v>
      </c>
      <c r="D37" s="7">
        <v>1</v>
      </c>
      <c r="E37" s="76" t="s">
        <v>40</v>
      </c>
      <c r="F37" s="77"/>
      <c r="G37" s="77"/>
      <c r="H37" s="78"/>
      <c r="I37" s="63" t="str">
        <f>IF(A37&gt;0,VLOOKUP(A37,[1]SE!$A$1:$K$65536,5,FALSE)," ")</f>
        <v>XY2CE1A250EX</v>
      </c>
      <c r="J37" s="63">
        <f>IF(A37&gt;0,VLOOKUP(A37,[1]SE!$A$1:$K$65536,6,FALSE)," ")</f>
        <v>0</v>
      </c>
      <c r="K37" s="63">
        <f>IF(A37&gt;0,VLOOKUP(A37,[1]SE!$A$1:$K$65536,7,FALSE)," ")</f>
        <v>0</v>
      </c>
      <c r="L37" s="63">
        <f>IF(A37&gt;0,VLOOKUP(A37,[1]SE!$A$1:$K$65536,8,FALSE)," ")</f>
        <v>0</v>
      </c>
      <c r="M37" s="63" t="str">
        <f>IF(A37&gt;0,VLOOKUP(A37,[1]SE!$A$1:$K$65536,4,FALSE)," ")</f>
        <v>Telemecanique</v>
      </c>
      <c r="N37" s="63" t="str">
        <f>IF(A37&gt;0,VLOOKUP(A37,[1]SE!$A$1:$K$65536,10,FALSE)," ")</f>
        <v>ATEX21</v>
      </c>
      <c r="O37" s="23" t="str">
        <f>IF(A37&gt;0,VLOOKUP(A37,[1]SE!$A$1:$K$65536,11,FALSE)," ")</f>
        <v xml:space="preserve">Nr. 1 x side Max. &lt;=40 mt. ==&gt; nr. 2 </v>
      </c>
      <c r="P37" s="69" t="s">
        <v>390</v>
      </c>
    </row>
    <row r="38" spans="1:16" ht="18" customHeight="1" x14ac:dyDescent="0.25">
      <c r="A38" s="55" t="s">
        <v>3131</v>
      </c>
      <c r="B38" s="56" t="s">
        <v>3089</v>
      </c>
      <c r="C38" s="57" t="s">
        <v>3090</v>
      </c>
      <c r="D38" s="7">
        <v>4</v>
      </c>
      <c r="E38" s="76" t="s">
        <v>38</v>
      </c>
      <c r="F38" s="77"/>
      <c r="G38" s="77"/>
      <c r="H38" s="78"/>
      <c r="I38" s="63" t="str">
        <f>IF(A38&gt;0,VLOOKUP(A38,[1]SE!$A$1:$K$65536,5,FALSE)," ")</f>
        <v>XCRT115EX</v>
      </c>
      <c r="J38" s="63">
        <f>IF(A38&gt;0,VLOOKUP(A38,[1]SE!$A$1:$K$65536,6,FALSE)," ")</f>
        <v>0</v>
      </c>
      <c r="K38" s="63">
        <f>IF(A38&gt;0,VLOOKUP(A38,[1]SE!$A$1:$K$65536,7,FALSE)," ")</f>
        <v>0</v>
      </c>
      <c r="L38" s="63">
        <f>IF(A38&gt;0,VLOOKUP(A38,[1]SE!$A$1:$K$65536,8,FALSE)," ")</f>
        <v>0</v>
      </c>
      <c r="M38" s="63" t="str">
        <f>IF(A38&gt;0,VLOOKUP(A38,[1]SE!$A$1:$K$65536,4,FALSE)," ")</f>
        <v>Telemecanique</v>
      </c>
      <c r="N38" s="63" t="str">
        <f>IF(A38&gt;0,VLOOKUP(A38,[1]SE!$A$1:$K$65536,10,FALSE)," ")</f>
        <v>ATEX21</v>
      </c>
      <c r="O38" s="23">
        <f>IF(A38&gt;0,VLOOKUP(A38,[1]SE!$A$1:$K$65536,11,FALSE)," ")</f>
        <v>0</v>
      </c>
      <c r="P38" s="69" t="s">
        <v>390</v>
      </c>
    </row>
    <row r="39" spans="1:16" ht="18" customHeight="1" x14ac:dyDescent="0.25">
      <c r="A39" s="55" t="s">
        <v>3134</v>
      </c>
      <c r="B39" s="56" t="s">
        <v>3089</v>
      </c>
      <c r="C39" s="57" t="s">
        <v>3090</v>
      </c>
      <c r="D39" s="58">
        <v>1</v>
      </c>
      <c r="E39" s="76" t="s">
        <v>36</v>
      </c>
      <c r="F39" s="77"/>
      <c r="G39" s="77"/>
      <c r="H39" s="78"/>
      <c r="I39" s="63" t="str">
        <f>IF(A39&gt;0,VLOOKUP(A39,[1]SE!$A$1:$K$65536,5,FALSE)," ")</f>
        <v>VB62.GXTGDRAMX</v>
      </c>
      <c r="J39" s="63">
        <f>IF(A39&gt;0,VLOOKUP(A39,[1]SE!$A$1:$K$65536,6,FALSE)," ")</f>
        <v>24</v>
      </c>
      <c r="K39" s="63" t="str">
        <f>IF(A39&gt;0,VLOOKUP(A39,[1]SE!$A$1:$K$65536,7,FALSE)," ")</f>
        <v>DC</v>
      </c>
      <c r="L39" s="63">
        <f>IF(A39&gt;0,VLOOKUP(A39,[1]SE!$A$1:$K$65536,8,FALSE)," ")</f>
        <v>0</v>
      </c>
      <c r="M39" s="63" t="str">
        <f>IF(A39&gt;0,VLOOKUP(A39,[1]SE!$A$1:$K$65536,4,FALSE)," ")</f>
        <v>Vega</v>
      </c>
      <c r="N39" s="63" t="str">
        <f>IF(A39&gt;0,VLOOKUP(A39,[1]SE!$A$1:$K$65536,10,FALSE)," ")</f>
        <v>ATEX22</v>
      </c>
      <c r="O39" s="23" t="str">
        <f>IF(A39&gt;0,VLOOKUP(A39,[1]SE!$A$1:$K$65536,11,FALSE)," ")</f>
        <v>L= 1500mm</v>
      </c>
      <c r="P39" s="68" t="s">
        <v>3390</v>
      </c>
    </row>
    <row r="40" spans="1:16" ht="18" customHeight="1" x14ac:dyDescent="0.25">
      <c r="A40" s="55"/>
      <c r="B40" s="56"/>
      <c r="C40" s="57"/>
      <c r="D40" s="58"/>
      <c r="E40" s="42"/>
      <c r="F40" s="43"/>
      <c r="G40" s="43"/>
      <c r="H40" s="44"/>
      <c r="I40" s="60"/>
      <c r="J40" s="60"/>
      <c r="K40" s="60"/>
      <c r="L40" s="60"/>
      <c r="M40" s="60"/>
      <c r="N40" s="60"/>
      <c r="O40" s="59"/>
    </row>
    <row r="41" spans="1:16" ht="18" customHeight="1" x14ac:dyDescent="0.25">
      <c r="A41" s="12" t="s">
        <v>3130</v>
      </c>
      <c r="B41" s="56" t="s">
        <v>3091</v>
      </c>
      <c r="C41" s="57" t="s">
        <v>3092</v>
      </c>
      <c r="D41" s="7">
        <v>2</v>
      </c>
      <c r="E41" s="76" t="s">
        <v>29</v>
      </c>
      <c r="F41" s="77"/>
      <c r="G41" s="77"/>
      <c r="H41" s="78"/>
      <c r="I41" s="63" t="str">
        <f>IF(A41&gt;0,VLOOKUP(A41,[1]SE!$A$1:$K$65536,5,FALSE)," ")</f>
        <v>XS630B1PAL2EX</v>
      </c>
      <c r="J41" s="63" t="str">
        <f>IF(A41&gt;0,VLOOKUP(A41,[1]SE!$A$1:$K$65536,6,FALSE)," ")</f>
        <v>10 ÷ 48</v>
      </c>
      <c r="K41" s="63" t="str">
        <f>IF(A41&gt;0,VLOOKUP(A41,[1]SE!$A$1:$K$65536,7,FALSE)," ")</f>
        <v>DC</v>
      </c>
      <c r="L41" s="63">
        <f>IF(A41&gt;0,VLOOKUP(A41,[1]SE!$A$1:$K$65536,8,FALSE)," ")</f>
        <v>0</v>
      </c>
      <c r="M41" s="63" t="str">
        <f>IF(A41&gt;0,VLOOKUP(A41,[1]SE!$A$1:$K$65536,4,FALSE)," ")</f>
        <v>Telemecanique</v>
      </c>
      <c r="N41" s="63" t="str">
        <f>IF(A41&gt;0,VLOOKUP(A41,[1]SE!$A$1:$K$65536,10,FALSE)," ")</f>
        <v>ATEX21</v>
      </c>
      <c r="O41" s="23" t="str">
        <f>IF(A41&gt;0,VLOOKUP(A41,[1]SE!$A$1:$K$65536,11,FALSE)," ")</f>
        <v>cable 2 m</v>
      </c>
      <c r="P41" s="69" t="s">
        <v>390</v>
      </c>
    </row>
    <row r="42" spans="1:16" ht="18" customHeight="1" x14ac:dyDescent="0.25">
      <c r="A42" s="55"/>
      <c r="B42" s="56"/>
      <c r="C42" s="57"/>
      <c r="D42" s="58"/>
      <c r="E42" s="42"/>
      <c r="F42" s="43"/>
      <c r="G42" s="43"/>
      <c r="H42" s="44"/>
      <c r="I42" s="60"/>
      <c r="J42" s="60"/>
      <c r="K42" s="60"/>
      <c r="L42" s="60"/>
      <c r="M42" s="60"/>
      <c r="N42" s="60"/>
      <c r="O42" s="59"/>
    </row>
    <row r="43" spans="1:16" ht="18" customHeight="1" x14ac:dyDescent="0.25">
      <c r="A43" s="55" t="s">
        <v>3130</v>
      </c>
      <c r="B43" s="56" t="s">
        <v>3093</v>
      </c>
      <c r="C43" s="57" t="s">
        <v>3094</v>
      </c>
      <c r="D43" s="58">
        <v>1</v>
      </c>
      <c r="E43" s="76" t="s">
        <v>34</v>
      </c>
      <c r="F43" s="77"/>
      <c r="G43" s="77"/>
      <c r="H43" s="78"/>
      <c r="I43" s="63" t="str">
        <f>IF(A43&gt;0,VLOOKUP(A43,[1]SE!$A$1:$K$65536,5,FALSE)," ")</f>
        <v>XS630B1PAL2EX</v>
      </c>
      <c r="J43" s="63" t="str">
        <f>IF(A43&gt;0,VLOOKUP(A43,[1]SE!$A$1:$K$65536,6,FALSE)," ")</f>
        <v>10 ÷ 48</v>
      </c>
      <c r="K43" s="63" t="str">
        <f>IF(A43&gt;0,VLOOKUP(A43,[1]SE!$A$1:$K$65536,7,FALSE)," ")</f>
        <v>DC</v>
      </c>
      <c r="L43" s="63">
        <f>IF(A43&gt;0,VLOOKUP(A43,[1]SE!$A$1:$K$65536,8,FALSE)," ")</f>
        <v>0</v>
      </c>
      <c r="M43" s="63" t="str">
        <f>IF(A43&gt;0,VLOOKUP(A43,[1]SE!$A$1:$K$65536,4,FALSE)," ")</f>
        <v>Telemecanique</v>
      </c>
      <c r="N43" s="63" t="str">
        <f>IF(A43&gt;0,VLOOKUP(A43,[1]SE!$A$1:$K$65536,10,FALSE)," ")</f>
        <v>ATEX21</v>
      </c>
      <c r="O43" s="23" t="str">
        <f>IF(A43&gt;0,VLOOKUP(A43,[1]SE!$A$1:$K$65536,11,FALSE)," ")</f>
        <v>cable 2 m</v>
      </c>
      <c r="P43" s="69" t="s">
        <v>390</v>
      </c>
    </row>
    <row r="44" spans="1:16" ht="18" customHeight="1" x14ac:dyDescent="0.25">
      <c r="A44" s="55" t="s">
        <v>3130</v>
      </c>
      <c r="B44" s="56" t="s">
        <v>3093</v>
      </c>
      <c r="C44" s="57" t="s">
        <v>3094</v>
      </c>
      <c r="D44" s="58">
        <v>1</v>
      </c>
      <c r="E44" s="76" t="s">
        <v>28</v>
      </c>
      <c r="F44" s="77"/>
      <c r="G44" s="77"/>
      <c r="H44" s="78"/>
      <c r="I44" s="63" t="str">
        <f>IF(A44&gt;0,VLOOKUP(A44,[1]SE!$A$1:$K$65536,5,FALSE)," ")</f>
        <v>XS630B1PAL2EX</v>
      </c>
      <c r="J44" s="63" t="str">
        <f>IF(A44&gt;0,VLOOKUP(A44,[1]SE!$A$1:$K$65536,6,FALSE)," ")</f>
        <v>10 ÷ 48</v>
      </c>
      <c r="K44" s="63" t="str">
        <f>IF(A44&gt;0,VLOOKUP(A44,[1]SE!$A$1:$K$65536,7,FALSE)," ")</f>
        <v>DC</v>
      </c>
      <c r="L44" s="63">
        <f>IF(A44&gt;0,VLOOKUP(A44,[1]SE!$A$1:$K$65536,8,FALSE)," ")</f>
        <v>0</v>
      </c>
      <c r="M44" s="63" t="str">
        <f>IF(A44&gt;0,VLOOKUP(A44,[1]SE!$A$1:$K$65536,4,FALSE)," ")</f>
        <v>Telemecanique</v>
      </c>
      <c r="N44" s="63" t="str">
        <f>IF(A44&gt;0,VLOOKUP(A44,[1]SE!$A$1:$K$65536,10,FALSE)," ")</f>
        <v>ATEX21</v>
      </c>
      <c r="O44" s="23" t="str">
        <f>IF(A44&gt;0,VLOOKUP(A44,[1]SE!$A$1:$K$65536,11,FALSE)," ")</f>
        <v>cable 2 m</v>
      </c>
      <c r="P44" s="69" t="s">
        <v>390</v>
      </c>
    </row>
    <row r="45" spans="1:16" ht="18" customHeight="1" x14ac:dyDescent="0.25">
      <c r="A45" s="55"/>
      <c r="B45" s="56"/>
      <c r="C45" s="57"/>
      <c r="D45" s="58"/>
      <c r="E45" s="42"/>
      <c r="F45" s="43"/>
      <c r="G45" s="43"/>
      <c r="H45" s="44"/>
      <c r="I45" s="60"/>
      <c r="J45" s="60"/>
      <c r="K45" s="60"/>
      <c r="L45" s="60"/>
      <c r="M45" s="60"/>
      <c r="N45" s="60"/>
      <c r="O45" s="59"/>
    </row>
    <row r="46" spans="1:16" ht="18" customHeight="1" x14ac:dyDescent="0.25">
      <c r="A46" s="55" t="s">
        <v>3130</v>
      </c>
      <c r="B46" s="56" t="s">
        <v>3095</v>
      </c>
      <c r="C46" s="57" t="s">
        <v>3096</v>
      </c>
      <c r="D46" s="7">
        <v>1</v>
      </c>
      <c r="E46" s="76" t="s">
        <v>28</v>
      </c>
      <c r="F46" s="77"/>
      <c r="G46" s="77"/>
      <c r="H46" s="78"/>
      <c r="I46" s="63" t="str">
        <f>IF(A46&gt;0,VLOOKUP(A46,[1]SE!$A$1:$K$65536,5,FALSE)," ")</f>
        <v>XS630B1PAL2EX</v>
      </c>
      <c r="J46" s="63" t="str">
        <f>IF(A46&gt;0,VLOOKUP(A46,[1]SE!$A$1:$K$65536,6,FALSE)," ")</f>
        <v>10 ÷ 48</v>
      </c>
      <c r="K46" s="63" t="str">
        <f>IF(A46&gt;0,VLOOKUP(A46,[1]SE!$A$1:$K$65536,7,FALSE)," ")</f>
        <v>DC</v>
      </c>
      <c r="L46" s="63">
        <f>IF(A46&gt;0,VLOOKUP(A46,[1]SE!$A$1:$K$65536,8,FALSE)," ")</f>
        <v>0</v>
      </c>
      <c r="M46" s="63" t="str">
        <f>IF(A46&gt;0,VLOOKUP(A46,[1]SE!$A$1:$K$65536,4,FALSE)," ")</f>
        <v>Telemecanique</v>
      </c>
      <c r="N46" s="63" t="str">
        <f>IF(A46&gt;0,VLOOKUP(A46,[1]SE!$A$1:$K$65536,10,FALSE)," ")</f>
        <v>ATEX21</v>
      </c>
      <c r="O46" s="23" t="str">
        <f>IF(A46&gt;0,VLOOKUP(A46,[1]SE!$A$1:$K$65536,11,FALSE)," ")</f>
        <v>cable 2 m</v>
      </c>
      <c r="P46" s="69" t="s">
        <v>390</v>
      </c>
    </row>
    <row r="47" spans="1:16" ht="18" customHeight="1" x14ac:dyDescent="0.25">
      <c r="A47" s="55" t="s">
        <v>3132</v>
      </c>
      <c r="B47" s="56" t="s">
        <v>3095</v>
      </c>
      <c r="C47" s="57" t="s">
        <v>3096</v>
      </c>
      <c r="D47" s="7">
        <v>1</v>
      </c>
      <c r="E47" s="76" t="s">
        <v>39</v>
      </c>
      <c r="F47" s="77"/>
      <c r="G47" s="77"/>
      <c r="H47" s="78"/>
      <c r="I47" s="63" t="str">
        <f>IF(A47&gt;0,VLOOKUP(A47,[1]SE!$A$1:$K$65536,5,FALSE)," ")</f>
        <v>XY2CE2A250EX</v>
      </c>
      <c r="J47" s="63">
        <f>IF(A47&gt;0,VLOOKUP(A47,[1]SE!$A$1:$K$65536,6,FALSE)," ")</f>
        <v>0</v>
      </c>
      <c r="K47" s="63">
        <f>IF(A47&gt;0,VLOOKUP(A47,[1]SE!$A$1:$K$65536,7,FALSE)," ")</f>
        <v>0</v>
      </c>
      <c r="L47" s="63">
        <f>IF(A47&gt;0,VLOOKUP(A47,[1]SE!$A$1:$K$65536,8,FALSE)," ")</f>
        <v>0</v>
      </c>
      <c r="M47" s="63" t="str">
        <f>IF(A47&gt;0,VLOOKUP(A47,[1]SE!$A$1:$K$65536,4,FALSE)," ")</f>
        <v>Telemecanique</v>
      </c>
      <c r="N47" s="63" t="str">
        <f>IF(A47&gt;0,VLOOKUP(A47,[1]SE!$A$1:$K$65536,10,FALSE)," ")</f>
        <v>ATEX21</v>
      </c>
      <c r="O47" s="23" t="str">
        <f>IF(A47&gt;0,VLOOKUP(A47,[1]SE!$A$1:$K$65536,11,FALSE)," ")</f>
        <v xml:space="preserve">Nr. 1 x side Max. &lt;=40 mt. ==&gt; nr. 2 </v>
      </c>
      <c r="P47" s="69" t="s">
        <v>390</v>
      </c>
    </row>
    <row r="48" spans="1:16" ht="18" customHeight="1" x14ac:dyDescent="0.25">
      <c r="A48" s="55" t="s">
        <v>3133</v>
      </c>
      <c r="B48" s="56" t="s">
        <v>3095</v>
      </c>
      <c r="C48" s="57" t="s">
        <v>3096</v>
      </c>
      <c r="D48" s="7">
        <v>1</v>
      </c>
      <c r="E48" s="76" t="s">
        <v>40</v>
      </c>
      <c r="F48" s="77"/>
      <c r="G48" s="77"/>
      <c r="H48" s="78"/>
      <c r="I48" s="63" t="str">
        <f>IF(A48&gt;0,VLOOKUP(A48,[1]SE!$A$1:$K$65536,5,FALSE)," ")</f>
        <v>XY2CE1A250EX</v>
      </c>
      <c r="J48" s="63">
        <f>IF(A48&gt;0,VLOOKUP(A48,[1]SE!$A$1:$K$65536,6,FALSE)," ")</f>
        <v>0</v>
      </c>
      <c r="K48" s="63">
        <f>IF(A48&gt;0,VLOOKUP(A48,[1]SE!$A$1:$K$65536,7,FALSE)," ")</f>
        <v>0</v>
      </c>
      <c r="L48" s="63">
        <f>IF(A48&gt;0,VLOOKUP(A48,[1]SE!$A$1:$K$65536,8,FALSE)," ")</f>
        <v>0</v>
      </c>
      <c r="M48" s="63" t="str">
        <f>IF(A48&gt;0,VLOOKUP(A48,[1]SE!$A$1:$K$65536,4,FALSE)," ")</f>
        <v>Telemecanique</v>
      </c>
      <c r="N48" s="63" t="str">
        <f>IF(A48&gt;0,VLOOKUP(A48,[1]SE!$A$1:$K$65536,10,FALSE)," ")</f>
        <v>ATEX21</v>
      </c>
      <c r="O48" s="23" t="str">
        <f>IF(A48&gt;0,VLOOKUP(A48,[1]SE!$A$1:$K$65536,11,FALSE)," ")</f>
        <v xml:space="preserve">Nr. 1 x side Max. &lt;=40 mt. ==&gt; nr. 2 </v>
      </c>
      <c r="P48" s="69" t="s">
        <v>390</v>
      </c>
    </row>
    <row r="49" spans="1:16" ht="18" customHeight="1" x14ac:dyDescent="0.25">
      <c r="A49" s="55" t="s">
        <v>3131</v>
      </c>
      <c r="B49" s="56" t="s">
        <v>3095</v>
      </c>
      <c r="C49" s="57" t="s">
        <v>3096</v>
      </c>
      <c r="D49" s="7">
        <v>4</v>
      </c>
      <c r="E49" s="76" t="s">
        <v>38</v>
      </c>
      <c r="F49" s="77"/>
      <c r="G49" s="77"/>
      <c r="H49" s="78"/>
      <c r="I49" s="63" t="str">
        <f>IF(A49&gt;0,VLOOKUP(A49,[1]SE!$A$1:$K$65536,5,FALSE)," ")</f>
        <v>XCRT115EX</v>
      </c>
      <c r="J49" s="63">
        <f>IF(A49&gt;0,VLOOKUP(A49,[1]SE!$A$1:$K$65536,6,FALSE)," ")</f>
        <v>0</v>
      </c>
      <c r="K49" s="63">
        <f>IF(A49&gt;0,VLOOKUP(A49,[1]SE!$A$1:$K$65536,7,FALSE)," ")</f>
        <v>0</v>
      </c>
      <c r="L49" s="63">
        <f>IF(A49&gt;0,VLOOKUP(A49,[1]SE!$A$1:$K$65536,8,FALSE)," ")</f>
        <v>0</v>
      </c>
      <c r="M49" s="63" t="str">
        <f>IF(A49&gt;0,VLOOKUP(A49,[1]SE!$A$1:$K$65536,4,FALSE)," ")</f>
        <v>Telemecanique</v>
      </c>
      <c r="N49" s="63" t="str">
        <f>IF(A49&gt;0,VLOOKUP(A49,[1]SE!$A$1:$K$65536,10,FALSE)," ")</f>
        <v>ATEX21</v>
      </c>
      <c r="O49" s="23">
        <f>IF(A49&gt;0,VLOOKUP(A49,[1]SE!$A$1:$K$65536,11,FALSE)," ")</f>
        <v>0</v>
      </c>
      <c r="P49" s="69" t="s">
        <v>390</v>
      </c>
    </row>
    <row r="50" spans="1:16" ht="18" customHeight="1" x14ac:dyDescent="0.25">
      <c r="A50" s="55" t="s">
        <v>3130</v>
      </c>
      <c r="B50" s="56" t="s">
        <v>3095</v>
      </c>
      <c r="C50" s="57" t="s">
        <v>3096</v>
      </c>
      <c r="D50" s="7">
        <v>20</v>
      </c>
      <c r="E50" s="76" t="s">
        <v>41</v>
      </c>
      <c r="F50" s="77"/>
      <c r="G50" s="77"/>
      <c r="H50" s="78"/>
      <c r="I50" s="63" t="str">
        <f>IF(A50&gt;0,VLOOKUP(A50,[1]SE!$A$1:$K$65536,5,FALSE)," ")</f>
        <v>XS630B1PAL2EX</v>
      </c>
      <c r="J50" s="63" t="str">
        <f>IF(A50&gt;0,VLOOKUP(A50,[1]SE!$A$1:$K$65536,6,FALSE)," ")</f>
        <v>10 ÷ 48</v>
      </c>
      <c r="K50" s="63" t="str">
        <f>IF(A50&gt;0,VLOOKUP(A50,[1]SE!$A$1:$K$65536,7,FALSE)," ")</f>
        <v>DC</v>
      </c>
      <c r="L50" s="63">
        <f>IF(A50&gt;0,VLOOKUP(A50,[1]SE!$A$1:$K$65536,8,FALSE)," ")</f>
        <v>0</v>
      </c>
      <c r="M50" s="63" t="str">
        <f>IF(A50&gt;0,VLOOKUP(A50,[1]SE!$A$1:$K$65536,4,FALSE)," ")</f>
        <v>Telemecanique</v>
      </c>
      <c r="N50" s="63" t="str">
        <f>IF(A50&gt;0,VLOOKUP(A50,[1]SE!$A$1:$K$65536,10,FALSE)," ")</f>
        <v>ATEX21</v>
      </c>
      <c r="O50" s="23" t="str">
        <f>IF(A50&gt;0,VLOOKUP(A50,[1]SE!$A$1:$K$65536,11,FALSE)," ")</f>
        <v>cable 2 m</v>
      </c>
      <c r="P50" s="69" t="s">
        <v>390</v>
      </c>
    </row>
    <row r="51" spans="1:16" ht="18" customHeight="1" x14ac:dyDescent="0.25">
      <c r="A51" s="55" t="s">
        <v>3134</v>
      </c>
      <c r="B51" s="56" t="s">
        <v>3095</v>
      </c>
      <c r="C51" s="57" t="s">
        <v>3096</v>
      </c>
      <c r="D51" s="58">
        <v>2</v>
      </c>
      <c r="E51" s="76" t="s">
        <v>36</v>
      </c>
      <c r="F51" s="77"/>
      <c r="G51" s="77"/>
      <c r="H51" s="78"/>
      <c r="I51" s="63" t="str">
        <f>IF(A51&gt;0,VLOOKUP(A51,[1]SE!$A$1:$K$65536,5,FALSE)," ")</f>
        <v>VB62.GXTGDRAMX</v>
      </c>
      <c r="J51" s="63">
        <f>IF(A51&gt;0,VLOOKUP(A51,[1]SE!$A$1:$K$65536,6,FALSE)," ")</f>
        <v>24</v>
      </c>
      <c r="K51" s="63" t="str">
        <f>IF(A51&gt;0,VLOOKUP(A51,[1]SE!$A$1:$K$65536,7,FALSE)," ")</f>
        <v>DC</v>
      </c>
      <c r="L51" s="63">
        <f>IF(A51&gt;0,VLOOKUP(A51,[1]SE!$A$1:$K$65536,8,FALSE)," ")</f>
        <v>0</v>
      </c>
      <c r="M51" s="63" t="str">
        <f>IF(A51&gt;0,VLOOKUP(A51,[1]SE!$A$1:$K$65536,4,FALSE)," ")</f>
        <v>Vega</v>
      </c>
      <c r="N51" s="63" t="str">
        <f>IF(A51&gt;0,VLOOKUP(A51,[1]SE!$A$1:$K$65536,10,FALSE)," ")</f>
        <v>ATEX22</v>
      </c>
      <c r="O51" s="23" t="str">
        <f>IF(A51&gt;0,VLOOKUP(A51,[1]SE!$A$1:$K$65536,11,FALSE)," ")</f>
        <v>L= 1500mm</v>
      </c>
      <c r="P51" s="68" t="s">
        <v>3390</v>
      </c>
    </row>
    <row r="52" spans="1:16" ht="18" customHeight="1" x14ac:dyDescent="0.25">
      <c r="A52" s="55"/>
      <c r="B52" s="56"/>
      <c r="C52" s="57"/>
      <c r="D52" s="58"/>
      <c r="E52" s="42"/>
      <c r="F52" s="43"/>
      <c r="G52" s="43"/>
      <c r="H52" s="44"/>
      <c r="I52" s="60"/>
      <c r="J52" s="60"/>
      <c r="K52" s="60"/>
      <c r="L52" s="60"/>
      <c r="M52" s="60"/>
      <c r="N52" s="60"/>
      <c r="O52" s="59"/>
    </row>
    <row r="53" spans="1:16" ht="18" customHeight="1" x14ac:dyDescent="0.25">
      <c r="A53" s="55" t="s">
        <v>3130</v>
      </c>
      <c r="B53" s="56" t="s">
        <v>3097</v>
      </c>
      <c r="C53" s="57" t="s">
        <v>3098</v>
      </c>
      <c r="D53" s="58">
        <v>1</v>
      </c>
      <c r="E53" s="76" t="s">
        <v>34</v>
      </c>
      <c r="F53" s="77"/>
      <c r="G53" s="77"/>
      <c r="H53" s="78"/>
      <c r="I53" s="63" t="str">
        <f>IF(A53&gt;0,VLOOKUP(A53,[1]SE!$A$1:$K$65536,5,FALSE)," ")</f>
        <v>XS630B1PAL2EX</v>
      </c>
      <c r="J53" s="63" t="str">
        <f>IF(A53&gt;0,VLOOKUP(A53,[1]SE!$A$1:$K$65536,6,FALSE)," ")</f>
        <v>10 ÷ 48</v>
      </c>
      <c r="K53" s="63" t="str">
        <f>IF(A53&gt;0,VLOOKUP(A53,[1]SE!$A$1:$K$65536,7,FALSE)," ")</f>
        <v>DC</v>
      </c>
      <c r="L53" s="63">
        <f>IF(A53&gt;0,VLOOKUP(A53,[1]SE!$A$1:$K$65536,8,FALSE)," ")</f>
        <v>0</v>
      </c>
      <c r="M53" s="63" t="str">
        <f>IF(A53&gt;0,VLOOKUP(A53,[1]SE!$A$1:$K$65536,4,FALSE)," ")</f>
        <v>Telemecanique</v>
      </c>
      <c r="N53" s="63" t="str">
        <f>IF(A53&gt;0,VLOOKUP(A53,[1]SE!$A$1:$K$65536,10,FALSE)," ")</f>
        <v>ATEX21</v>
      </c>
      <c r="O53" s="23" t="str">
        <f>IF(A53&gt;0,VLOOKUP(A53,[1]SE!$A$1:$K$65536,11,FALSE)," ")</f>
        <v>cable 2 m</v>
      </c>
      <c r="P53" s="69" t="s">
        <v>390</v>
      </c>
    </row>
    <row r="54" spans="1:16" ht="18" customHeight="1" x14ac:dyDescent="0.25">
      <c r="A54" s="55" t="s">
        <v>3130</v>
      </c>
      <c r="B54" s="56" t="s">
        <v>3097</v>
      </c>
      <c r="C54" s="57" t="s">
        <v>3098</v>
      </c>
      <c r="D54" s="58">
        <v>1</v>
      </c>
      <c r="E54" s="76" t="s">
        <v>28</v>
      </c>
      <c r="F54" s="77"/>
      <c r="G54" s="77"/>
      <c r="H54" s="78"/>
      <c r="I54" s="63" t="str">
        <f>IF(A54&gt;0,VLOOKUP(A54,[1]SE!$A$1:$K$65536,5,FALSE)," ")</f>
        <v>XS630B1PAL2EX</v>
      </c>
      <c r="J54" s="63" t="str">
        <f>IF(A54&gt;0,VLOOKUP(A54,[1]SE!$A$1:$K$65536,6,FALSE)," ")</f>
        <v>10 ÷ 48</v>
      </c>
      <c r="K54" s="63" t="str">
        <f>IF(A54&gt;0,VLOOKUP(A54,[1]SE!$A$1:$K$65536,7,FALSE)," ")</f>
        <v>DC</v>
      </c>
      <c r="L54" s="63">
        <f>IF(A54&gt;0,VLOOKUP(A54,[1]SE!$A$1:$K$65536,8,FALSE)," ")</f>
        <v>0</v>
      </c>
      <c r="M54" s="63" t="str">
        <f>IF(A54&gt;0,VLOOKUP(A54,[1]SE!$A$1:$K$65536,4,FALSE)," ")</f>
        <v>Telemecanique</v>
      </c>
      <c r="N54" s="63" t="str">
        <f>IF(A54&gt;0,VLOOKUP(A54,[1]SE!$A$1:$K$65536,10,FALSE)," ")</f>
        <v>ATEX21</v>
      </c>
      <c r="O54" s="23" t="str">
        <f>IF(A54&gt;0,VLOOKUP(A54,[1]SE!$A$1:$K$65536,11,FALSE)," ")</f>
        <v>cable 2 m</v>
      </c>
      <c r="P54" s="69" t="s">
        <v>390</v>
      </c>
    </row>
    <row r="55" spans="1:16" ht="18" customHeight="1" x14ac:dyDescent="0.25">
      <c r="A55" s="55"/>
      <c r="B55" s="56"/>
      <c r="C55" s="57"/>
      <c r="D55" s="58"/>
      <c r="E55" s="42"/>
      <c r="F55" s="43"/>
      <c r="G55" s="43"/>
      <c r="H55" s="44"/>
      <c r="I55" s="60"/>
      <c r="J55" s="60"/>
      <c r="K55" s="60"/>
      <c r="L55" s="60"/>
      <c r="M55" s="60"/>
      <c r="N55" s="60"/>
      <c r="O55" s="59"/>
    </row>
    <row r="56" spans="1:16" ht="18" customHeight="1" x14ac:dyDescent="0.25">
      <c r="A56" s="55" t="s">
        <v>3130</v>
      </c>
      <c r="B56" s="56" t="s">
        <v>3099</v>
      </c>
      <c r="C56" s="57" t="s">
        <v>3100</v>
      </c>
      <c r="D56" s="7">
        <v>1</v>
      </c>
      <c r="E56" s="76" t="s">
        <v>28</v>
      </c>
      <c r="F56" s="77"/>
      <c r="G56" s="77"/>
      <c r="H56" s="78"/>
      <c r="I56" s="63" t="str">
        <f>IF(A56&gt;0,VLOOKUP(A56,[1]SE!$A$1:$K$65536,5,FALSE)," ")</f>
        <v>XS630B1PAL2EX</v>
      </c>
      <c r="J56" s="63" t="str">
        <f>IF(A56&gt;0,VLOOKUP(A56,[1]SE!$A$1:$K$65536,6,FALSE)," ")</f>
        <v>10 ÷ 48</v>
      </c>
      <c r="K56" s="63" t="str">
        <f>IF(A56&gt;0,VLOOKUP(A56,[1]SE!$A$1:$K$65536,7,FALSE)," ")</f>
        <v>DC</v>
      </c>
      <c r="L56" s="63">
        <f>IF(A56&gt;0,VLOOKUP(A56,[1]SE!$A$1:$K$65536,8,FALSE)," ")</f>
        <v>0</v>
      </c>
      <c r="M56" s="63" t="str">
        <f>IF(A56&gt;0,VLOOKUP(A56,[1]SE!$A$1:$K$65536,4,FALSE)," ")</f>
        <v>Telemecanique</v>
      </c>
      <c r="N56" s="63" t="str">
        <f>IF(A56&gt;0,VLOOKUP(A56,[1]SE!$A$1:$K$65536,10,FALSE)," ")</f>
        <v>ATEX21</v>
      </c>
      <c r="O56" s="23" t="str">
        <f>IF(A56&gt;0,VLOOKUP(A56,[1]SE!$A$1:$K$65536,11,FALSE)," ")</f>
        <v>cable 2 m</v>
      </c>
      <c r="P56" s="69" t="s">
        <v>390</v>
      </c>
    </row>
    <row r="57" spans="1:16" ht="18" customHeight="1" x14ac:dyDescent="0.25">
      <c r="A57" s="55" t="s">
        <v>3132</v>
      </c>
      <c r="B57" s="56" t="s">
        <v>3099</v>
      </c>
      <c r="C57" s="57" t="s">
        <v>3100</v>
      </c>
      <c r="D57" s="7">
        <v>1</v>
      </c>
      <c r="E57" s="76" t="s">
        <v>39</v>
      </c>
      <c r="F57" s="77"/>
      <c r="G57" s="77"/>
      <c r="H57" s="78"/>
      <c r="I57" s="63" t="str">
        <f>IF(A57&gt;0,VLOOKUP(A57,[1]SE!$A$1:$K$65536,5,FALSE)," ")</f>
        <v>XY2CE2A250EX</v>
      </c>
      <c r="J57" s="63">
        <f>IF(A57&gt;0,VLOOKUP(A57,[1]SE!$A$1:$K$65536,6,FALSE)," ")</f>
        <v>0</v>
      </c>
      <c r="K57" s="63">
        <f>IF(A57&gt;0,VLOOKUP(A57,[1]SE!$A$1:$K$65536,7,FALSE)," ")</f>
        <v>0</v>
      </c>
      <c r="L57" s="63">
        <f>IF(A57&gt;0,VLOOKUP(A57,[1]SE!$A$1:$K$65536,8,FALSE)," ")</f>
        <v>0</v>
      </c>
      <c r="M57" s="63" t="str">
        <f>IF(A57&gt;0,VLOOKUP(A57,[1]SE!$A$1:$K$65536,4,FALSE)," ")</f>
        <v>Telemecanique</v>
      </c>
      <c r="N57" s="63" t="str">
        <f>IF(A57&gt;0,VLOOKUP(A57,[1]SE!$A$1:$K$65536,10,FALSE)," ")</f>
        <v>ATEX21</v>
      </c>
      <c r="O57" s="23" t="str">
        <f>IF(A57&gt;0,VLOOKUP(A57,[1]SE!$A$1:$K$65536,11,FALSE)," ")</f>
        <v xml:space="preserve">Nr. 1 x side Max. &lt;=40 mt. ==&gt; nr. 2 </v>
      </c>
      <c r="P57" s="69" t="s">
        <v>390</v>
      </c>
    </row>
    <row r="58" spans="1:16" ht="18" customHeight="1" x14ac:dyDescent="0.25">
      <c r="A58" s="55" t="s">
        <v>3133</v>
      </c>
      <c r="B58" s="56" t="s">
        <v>3099</v>
      </c>
      <c r="C58" s="57" t="s">
        <v>3100</v>
      </c>
      <c r="D58" s="7">
        <v>1</v>
      </c>
      <c r="E58" s="76" t="s">
        <v>40</v>
      </c>
      <c r="F58" s="77"/>
      <c r="G58" s="77"/>
      <c r="H58" s="78"/>
      <c r="I58" s="63" t="str">
        <f>IF(A58&gt;0,VLOOKUP(A58,[1]SE!$A$1:$K$65536,5,FALSE)," ")</f>
        <v>XY2CE1A250EX</v>
      </c>
      <c r="J58" s="63">
        <f>IF(A58&gt;0,VLOOKUP(A58,[1]SE!$A$1:$K$65536,6,FALSE)," ")</f>
        <v>0</v>
      </c>
      <c r="K58" s="63">
        <f>IF(A58&gt;0,VLOOKUP(A58,[1]SE!$A$1:$K$65536,7,FALSE)," ")</f>
        <v>0</v>
      </c>
      <c r="L58" s="63">
        <f>IF(A58&gt;0,VLOOKUP(A58,[1]SE!$A$1:$K$65536,8,FALSE)," ")</f>
        <v>0</v>
      </c>
      <c r="M58" s="63" t="str">
        <f>IF(A58&gt;0,VLOOKUP(A58,[1]SE!$A$1:$K$65536,4,FALSE)," ")</f>
        <v>Telemecanique</v>
      </c>
      <c r="N58" s="63" t="str">
        <f>IF(A58&gt;0,VLOOKUP(A58,[1]SE!$A$1:$K$65536,10,FALSE)," ")</f>
        <v>ATEX21</v>
      </c>
      <c r="O58" s="23" t="str">
        <f>IF(A58&gt;0,VLOOKUP(A58,[1]SE!$A$1:$K$65536,11,FALSE)," ")</f>
        <v xml:space="preserve">Nr. 1 x side Max. &lt;=40 mt. ==&gt; nr. 2 </v>
      </c>
      <c r="P58" s="69" t="s">
        <v>390</v>
      </c>
    </row>
    <row r="59" spans="1:16" ht="18" customHeight="1" x14ac:dyDescent="0.25">
      <c r="A59" s="55" t="s">
        <v>3131</v>
      </c>
      <c r="B59" s="56" t="s">
        <v>3099</v>
      </c>
      <c r="C59" s="57" t="s">
        <v>3100</v>
      </c>
      <c r="D59" s="7">
        <v>4</v>
      </c>
      <c r="E59" s="76" t="s">
        <v>38</v>
      </c>
      <c r="F59" s="77"/>
      <c r="G59" s="77"/>
      <c r="H59" s="78"/>
      <c r="I59" s="63" t="str">
        <f>IF(A59&gt;0,VLOOKUP(A59,[1]SE!$A$1:$K$65536,5,FALSE)," ")</f>
        <v>XCRT115EX</v>
      </c>
      <c r="J59" s="63">
        <f>IF(A59&gt;0,VLOOKUP(A59,[1]SE!$A$1:$K$65536,6,FALSE)," ")</f>
        <v>0</v>
      </c>
      <c r="K59" s="63">
        <f>IF(A59&gt;0,VLOOKUP(A59,[1]SE!$A$1:$K$65536,7,FALSE)," ")</f>
        <v>0</v>
      </c>
      <c r="L59" s="63">
        <f>IF(A59&gt;0,VLOOKUP(A59,[1]SE!$A$1:$K$65536,8,FALSE)," ")</f>
        <v>0</v>
      </c>
      <c r="M59" s="63" t="str">
        <f>IF(A59&gt;0,VLOOKUP(A59,[1]SE!$A$1:$K$65536,4,FALSE)," ")</f>
        <v>Telemecanique</v>
      </c>
      <c r="N59" s="63" t="str">
        <f>IF(A59&gt;0,VLOOKUP(A59,[1]SE!$A$1:$K$65536,10,FALSE)," ")</f>
        <v>ATEX21</v>
      </c>
      <c r="O59" s="23">
        <f>IF(A59&gt;0,VLOOKUP(A59,[1]SE!$A$1:$K$65536,11,FALSE)," ")</f>
        <v>0</v>
      </c>
      <c r="P59" s="69" t="s">
        <v>390</v>
      </c>
    </row>
    <row r="60" spans="1:16" ht="18" customHeight="1" x14ac:dyDescent="0.25">
      <c r="A60" s="55" t="s">
        <v>3130</v>
      </c>
      <c r="B60" s="56" t="s">
        <v>3099</v>
      </c>
      <c r="C60" s="57" t="s">
        <v>3100</v>
      </c>
      <c r="D60" s="7">
        <v>20</v>
      </c>
      <c r="E60" s="76" t="s">
        <v>41</v>
      </c>
      <c r="F60" s="77"/>
      <c r="G60" s="77"/>
      <c r="H60" s="78"/>
      <c r="I60" s="63" t="str">
        <f>IF(A60&gt;0,VLOOKUP(A60,[1]SE!$A$1:$K$65536,5,FALSE)," ")</f>
        <v>XS630B1PAL2EX</v>
      </c>
      <c r="J60" s="63" t="str">
        <f>IF(A60&gt;0,VLOOKUP(A60,[1]SE!$A$1:$K$65536,6,FALSE)," ")</f>
        <v>10 ÷ 48</v>
      </c>
      <c r="K60" s="63" t="str">
        <f>IF(A60&gt;0,VLOOKUP(A60,[1]SE!$A$1:$K$65536,7,FALSE)," ")</f>
        <v>DC</v>
      </c>
      <c r="L60" s="63">
        <f>IF(A60&gt;0,VLOOKUP(A60,[1]SE!$A$1:$K$65536,8,FALSE)," ")</f>
        <v>0</v>
      </c>
      <c r="M60" s="63" t="str">
        <f>IF(A60&gt;0,VLOOKUP(A60,[1]SE!$A$1:$K$65536,4,FALSE)," ")</f>
        <v>Telemecanique</v>
      </c>
      <c r="N60" s="63" t="str">
        <f>IF(A60&gt;0,VLOOKUP(A60,[1]SE!$A$1:$K$65536,10,FALSE)," ")</f>
        <v>ATEX21</v>
      </c>
      <c r="O60" s="23" t="str">
        <f>IF(A60&gt;0,VLOOKUP(A60,[1]SE!$A$1:$K$65536,11,FALSE)," ")</f>
        <v>cable 2 m</v>
      </c>
      <c r="P60" s="69" t="s">
        <v>390</v>
      </c>
    </row>
    <row r="61" spans="1:16" ht="18" customHeight="1" x14ac:dyDescent="0.25">
      <c r="A61" s="55" t="s">
        <v>3134</v>
      </c>
      <c r="B61" s="56" t="s">
        <v>3099</v>
      </c>
      <c r="C61" s="57" t="s">
        <v>3100</v>
      </c>
      <c r="D61" s="58">
        <v>2</v>
      </c>
      <c r="E61" s="76" t="s">
        <v>36</v>
      </c>
      <c r="F61" s="77"/>
      <c r="G61" s="77"/>
      <c r="H61" s="78"/>
      <c r="I61" s="63" t="str">
        <f>IF(A61&gt;0,VLOOKUP(A61,[1]SE!$A$1:$K$65536,5,FALSE)," ")</f>
        <v>VB62.GXTGDRAMX</v>
      </c>
      <c r="J61" s="63">
        <f>IF(A61&gt;0,VLOOKUP(A61,[1]SE!$A$1:$K$65536,6,FALSE)," ")</f>
        <v>24</v>
      </c>
      <c r="K61" s="63" t="str">
        <f>IF(A61&gt;0,VLOOKUP(A61,[1]SE!$A$1:$K$65536,7,FALSE)," ")</f>
        <v>DC</v>
      </c>
      <c r="L61" s="63">
        <f>IF(A61&gt;0,VLOOKUP(A61,[1]SE!$A$1:$K$65536,8,FALSE)," ")</f>
        <v>0</v>
      </c>
      <c r="M61" s="63" t="str">
        <f>IF(A61&gt;0,VLOOKUP(A61,[1]SE!$A$1:$K$65536,4,FALSE)," ")</f>
        <v>Vega</v>
      </c>
      <c r="N61" s="63" t="str">
        <f>IF(A61&gt;0,VLOOKUP(A61,[1]SE!$A$1:$K$65536,10,FALSE)," ")</f>
        <v>ATEX22</v>
      </c>
      <c r="O61" s="23" t="str">
        <f>IF(A61&gt;0,VLOOKUP(A61,[1]SE!$A$1:$K$65536,11,FALSE)," ")</f>
        <v>L= 1500mm</v>
      </c>
      <c r="P61" s="68" t="s">
        <v>3390</v>
      </c>
    </row>
    <row r="62" spans="1:16" ht="18" customHeight="1" x14ac:dyDescent="0.25">
      <c r="A62" s="55"/>
      <c r="B62" s="56"/>
      <c r="C62" s="57"/>
      <c r="D62" s="58"/>
      <c r="E62" s="42"/>
      <c r="F62" s="43"/>
      <c r="G62" s="43"/>
      <c r="H62" s="44"/>
      <c r="I62" s="60"/>
      <c r="J62" s="60"/>
      <c r="K62" s="60"/>
      <c r="L62" s="60"/>
      <c r="M62" s="60"/>
      <c r="N62" s="60"/>
      <c r="O62" s="59"/>
    </row>
    <row r="63" spans="1:16" ht="18" customHeight="1" x14ac:dyDescent="0.25">
      <c r="A63" s="12" t="s">
        <v>3073</v>
      </c>
      <c r="B63" s="56" t="s">
        <v>3101</v>
      </c>
      <c r="C63" s="57" t="s">
        <v>3102</v>
      </c>
      <c r="D63" s="7">
        <v>10</v>
      </c>
      <c r="E63" s="76" t="s">
        <v>29</v>
      </c>
      <c r="F63" s="77"/>
      <c r="G63" s="77"/>
      <c r="H63" s="78"/>
      <c r="I63" s="63" t="str">
        <f>IF(A63&gt;0,VLOOKUP(A63,[1]SE!$A$1:$K$65536,5,FALSE)," ")</f>
        <v>XS630B1PAL2</v>
      </c>
      <c r="J63" s="63">
        <f>IF(A63&gt;0,VLOOKUP(A63,[1]SE!$A$1:$K$65536,6,FALSE)," ")</f>
        <v>24</v>
      </c>
      <c r="K63" s="63" t="str">
        <f>IF(A63&gt;0,VLOOKUP(A63,[1]SE!$A$1:$K$65536,7,FALSE)," ")</f>
        <v>DC</v>
      </c>
      <c r="L63" s="63">
        <f>IF(A63&gt;0,VLOOKUP(A63,[1]SE!$A$1:$K$65536,8,FALSE)," ")</f>
        <v>0</v>
      </c>
      <c r="M63" s="63" t="str">
        <f>IF(A63&gt;0,VLOOKUP(A63,[1]SE!$A$1:$K$65536,4,FALSE)," ")</f>
        <v>Telemecanique</v>
      </c>
      <c r="N63" s="63">
        <f>IF(A63&gt;0,VLOOKUP(A63,[1]SE!$A$1:$K$65536,10,FALSE)," ")</f>
        <v>0</v>
      </c>
      <c r="O63" s="23">
        <f>IF(A63&gt;0,VLOOKUP(A63,[1]SE!$A$1:$K$65536,11,FALSE)," ")</f>
        <v>0</v>
      </c>
      <c r="P63" s="69" t="s">
        <v>390</v>
      </c>
    </row>
    <row r="64" spans="1:16" ht="18" customHeight="1" x14ac:dyDescent="0.25">
      <c r="A64" s="55"/>
      <c r="B64" s="56"/>
      <c r="C64" s="57"/>
      <c r="D64" s="58"/>
      <c r="E64" s="76"/>
      <c r="F64" s="77"/>
      <c r="G64" s="77"/>
      <c r="H64" s="78"/>
      <c r="I64" s="60"/>
      <c r="J64" s="60"/>
      <c r="K64" s="60"/>
      <c r="L64" s="60"/>
      <c r="M64" s="60"/>
      <c r="N64" s="60"/>
      <c r="O64" s="59"/>
    </row>
    <row r="65" spans="1:16" ht="18" customHeight="1" x14ac:dyDescent="0.25">
      <c r="A65" s="55" t="s">
        <v>3074</v>
      </c>
      <c r="B65" s="56" t="s">
        <v>3103</v>
      </c>
      <c r="C65" s="57" t="s">
        <v>3104</v>
      </c>
      <c r="D65" s="7">
        <v>4</v>
      </c>
      <c r="E65" s="76" t="s">
        <v>36</v>
      </c>
      <c r="F65" s="77"/>
      <c r="G65" s="77"/>
      <c r="H65" s="78"/>
      <c r="I65" s="63" t="str">
        <f>IF(A65&gt;0,VLOOKUP(A65,[1]SE!$A$1:$K$65536,5,FALSE)," ")</f>
        <v>VB62.XXTGDRAMX</v>
      </c>
      <c r="J65" s="63">
        <f>IF(A65&gt;0,VLOOKUP(A65,[1]SE!$A$1:$K$65536,6,FALSE)," ")</f>
        <v>24</v>
      </c>
      <c r="K65" s="63" t="str">
        <f>IF(A65&gt;0,VLOOKUP(A65,[1]SE!$A$1:$K$65536,7,FALSE)," ")</f>
        <v>DC</v>
      </c>
      <c r="L65" s="63">
        <f>IF(A65&gt;0,VLOOKUP(A65,[1]SE!$A$1:$K$65536,8,FALSE)," ")</f>
        <v>0</v>
      </c>
      <c r="M65" s="63" t="str">
        <f>IF(A65&gt;0,VLOOKUP(A65,[1]SE!$A$1:$K$65536,4,FALSE)," ")</f>
        <v>Vega</v>
      </c>
      <c r="N65" s="63">
        <f>IF(A65&gt;0,VLOOKUP(A65,[1]SE!$A$1:$K$65536,10,FALSE)," ")</f>
        <v>0</v>
      </c>
      <c r="O65" s="23" t="str">
        <f>IF(A65&gt;0,VLOOKUP(A65,[1]SE!$A$1:$K$65536,11,FALSE)," ")</f>
        <v>L= 3500mm</v>
      </c>
      <c r="P65" s="68" t="s">
        <v>3390</v>
      </c>
    </row>
    <row r="66" spans="1:16" ht="18" customHeight="1" x14ac:dyDescent="0.25">
      <c r="A66" s="55"/>
      <c r="B66" s="56"/>
      <c r="C66" s="57"/>
      <c r="D66" s="58"/>
      <c r="E66" s="42"/>
      <c r="F66" s="43"/>
      <c r="G66" s="43"/>
      <c r="H66" s="44"/>
      <c r="I66" s="60"/>
      <c r="J66" s="60"/>
      <c r="K66" s="60"/>
      <c r="L66" s="60"/>
      <c r="M66" s="60"/>
      <c r="N66" s="60"/>
      <c r="O66" s="59"/>
    </row>
    <row r="67" spans="1:16" ht="18" customHeight="1" x14ac:dyDescent="0.25">
      <c r="A67" s="55" t="s">
        <v>3073</v>
      </c>
      <c r="B67" s="56" t="s">
        <v>3105</v>
      </c>
      <c r="C67" s="57" t="s">
        <v>3106</v>
      </c>
      <c r="D67" s="7">
        <v>1</v>
      </c>
      <c r="E67" s="76" t="s">
        <v>34</v>
      </c>
      <c r="F67" s="77"/>
      <c r="G67" s="77"/>
      <c r="H67" s="78"/>
      <c r="I67" s="63" t="str">
        <f>IF(A67&gt;0,VLOOKUP(A67,[1]SE!$A$1:$K$65536,5,FALSE)," ")</f>
        <v>XS630B1PAL2</v>
      </c>
      <c r="J67" s="63">
        <f>IF(A67&gt;0,VLOOKUP(A67,[1]SE!$A$1:$K$65536,6,FALSE)," ")</f>
        <v>24</v>
      </c>
      <c r="K67" s="63" t="str">
        <f>IF(A67&gt;0,VLOOKUP(A67,[1]SE!$A$1:$K$65536,7,FALSE)," ")</f>
        <v>DC</v>
      </c>
      <c r="L67" s="63">
        <f>IF(A67&gt;0,VLOOKUP(A67,[1]SE!$A$1:$K$65536,8,FALSE)," ")</f>
        <v>0</v>
      </c>
      <c r="M67" s="63" t="str">
        <f>IF(A67&gt;0,VLOOKUP(A67,[1]SE!$A$1:$K$65536,4,FALSE)," ")</f>
        <v>Telemecanique</v>
      </c>
      <c r="N67" s="63">
        <f>IF(A67&gt;0,VLOOKUP(A67,[1]SE!$A$1:$K$65536,10,FALSE)," ")</f>
        <v>0</v>
      </c>
      <c r="O67" s="23">
        <f>IF(A67&gt;0,VLOOKUP(A67,[1]SE!$A$1:$K$65536,11,FALSE)," ")</f>
        <v>0</v>
      </c>
      <c r="P67" s="69" t="s">
        <v>390</v>
      </c>
    </row>
    <row r="68" spans="1:16" ht="18" customHeight="1" x14ac:dyDescent="0.25">
      <c r="A68" s="55" t="s">
        <v>3073</v>
      </c>
      <c r="B68" s="56" t="s">
        <v>3105</v>
      </c>
      <c r="C68" s="57" t="s">
        <v>3106</v>
      </c>
      <c r="D68" s="7">
        <v>4</v>
      </c>
      <c r="E68" s="76" t="s">
        <v>32</v>
      </c>
      <c r="F68" s="77"/>
      <c r="G68" s="77"/>
      <c r="H68" s="78"/>
      <c r="I68" s="63" t="str">
        <f>IF(A68&gt;0,VLOOKUP(A68,[1]SE!$A$1:$K$65536,5,FALSE)," ")</f>
        <v>XS630B1PAL2</v>
      </c>
      <c r="J68" s="63">
        <f>IF(A68&gt;0,VLOOKUP(A68,[1]SE!$A$1:$K$65536,6,FALSE)," ")</f>
        <v>24</v>
      </c>
      <c r="K68" s="63" t="str">
        <f>IF(A68&gt;0,VLOOKUP(A68,[1]SE!$A$1:$K$65536,7,FALSE)," ")</f>
        <v>DC</v>
      </c>
      <c r="L68" s="63">
        <f>IF(A68&gt;0,VLOOKUP(A68,[1]SE!$A$1:$K$65536,8,FALSE)," ")</f>
        <v>0</v>
      </c>
      <c r="M68" s="63" t="str">
        <f>IF(A68&gt;0,VLOOKUP(A68,[1]SE!$A$1:$K$65536,4,FALSE)," ")</f>
        <v>Telemecanique</v>
      </c>
      <c r="N68" s="63">
        <f>IF(A68&gt;0,VLOOKUP(A68,[1]SE!$A$1:$K$65536,10,FALSE)," ")</f>
        <v>0</v>
      </c>
      <c r="O68" s="23">
        <f>IF(A68&gt;0,VLOOKUP(A68,[1]SE!$A$1:$K$65536,11,FALSE)," ")</f>
        <v>0</v>
      </c>
      <c r="P68" s="69" t="s">
        <v>390</v>
      </c>
    </row>
    <row r="69" spans="1:16" ht="18" customHeight="1" x14ac:dyDescent="0.25">
      <c r="A69" s="62" t="s">
        <v>3129</v>
      </c>
      <c r="B69" s="56" t="s">
        <v>3105</v>
      </c>
      <c r="C69" s="57" t="s">
        <v>3106</v>
      </c>
      <c r="D69" s="7">
        <v>2</v>
      </c>
      <c r="E69" s="76" t="s">
        <v>33</v>
      </c>
      <c r="F69" s="77"/>
      <c r="G69" s="77"/>
      <c r="H69" s="78"/>
      <c r="I69" s="75" t="str">
        <f>IF(A69&gt;0,VLOOKUP(A69,[1]SE!$A$1:$K$65536,5,FALSE)," ")</f>
        <v>IF504A</v>
      </c>
      <c r="J69" s="63">
        <f>IF(A69&gt;0,VLOOKUP(A69,[1]SE!$A$1:$K$65536,6,FALSE)," ")</f>
        <v>24</v>
      </c>
      <c r="K69" s="63" t="str">
        <f>IF(A69&gt;0,VLOOKUP(A69,[1]SE!$A$1:$K$65536,7,FALSE)," ")</f>
        <v>DC</v>
      </c>
      <c r="L69" s="63">
        <f>IF(A69&gt;0,VLOOKUP(A69,[1]SE!$A$1:$K$65536,8,FALSE)," ")</f>
        <v>0</v>
      </c>
      <c r="M69" s="63" t="str">
        <f>IF(A69&gt;0,VLOOKUP(A69,[1]SE!$A$1:$K$65536,4,FALSE)," ")</f>
        <v>IFM</v>
      </c>
      <c r="N69" s="63" t="str">
        <f>IF(A69&gt;0,VLOOKUP(A69,[1]SE!$A$1:$K$65536,10,FALSE)," ")</f>
        <v>ATEX22</v>
      </c>
      <c r="O69" s="23">
        <f>IF(A69&gt;0,VLOOKUP(A69,[1]SE!$A$1:$K$65536,11,FALSE)," ")</f>
        <v>0</v>
      </c>
      <c r="P69" s="68" t="s">
        <v>3390</v>
      </c>
    </row>
    <row r="70" spans="1:16" ht="18" customHeight="1" x14ac:dyDescent="0.25">
      <c r="A70" s="55" t="s">
        <v>3079</v>
      </c>
      <c r="B70" s="56" t="s">
        <v>3105</v>
      </c>
      <c r="C70" s="57" t="s">
        <v>3106</v>
      </c>
      <c r="D70" s="7">
        <v>2</v>
      </c>
      <c r="E70" s="76" t="s">
        <v>30</v>
      </c>
      <c r="F70" s="77"/>
      <c r="G70" s="77"/>
      <c r="H70" s="78"/>
      <c r="I70" s="63" t="str">
        <f>IF(A70&gt;0,VLOOKUP(A70,[1]SE!$A$1:$K$65536,5,FALSE)," ")</f>
        <v>EVC27A</v>
      </c>
      <c r="J70" s="63">
        <f>IF(A70&gt;0,VLOOKUP(A70,[1]SE!$A$1:$K$65536,6,FALSE)," ")</f>
        <v>0</v>
      </c>
      <c r="K70" s="63">
        <f>IF(A70&gt;0,VLOOKUP(A70,[1]SE!$A$1:$K$65536,7,FALSE)," ")</f>
        <v>0</v>
      </c>
      <c r="L70" s="63">
        <f>IF(A70&gt;0,VLOOKUP(A70,[1]SE!$A$1:$K$65536,8,FALSE)," ")</f>
        <v>0</v>
      </c>
      <c r="M70" s="63" t="str">
        <f>IF(A70&gt;0,VLOOKUP(A70,[1]SE!$A$1:$K$65536,4,FALSE)," ")</f>
        <v>IFM</v>
      </c>
      <c r="N70" s="63" t="str">
        <f>IF(A70&gt;0,VLOOKUP(A70,[1]SE!$A$1:$K$65536,10,FALSE)," ")</f>
        <v>ATEX22</v>
      </c>
      <c r="O70" s="23" t="str">
        <f>IF(A70&gt;0,VLOOKUP(A70,[1]SE!$A$1:$K$65536,11,FALSE)," ")</f>
        <v>CONNECTOR AND CABLE ATEX22</v>
      </c>
      <c r="P70" s="68" t="s">
        <v>3390</v>
      </c>
    </row>
    <row r="71" spans="1:16" ht="18" customHeight="1" x14ac:dyDescent="0.25">
      <c r="A71" s="55" t="s">
        <v>3073</v>
      </c>
      <c r="B71" s="56" t="s">
        <v>3105</v>
      </c>
      <c r="C71" s="57" t="s">
        <v>3106</v>
      </c>
      <c r="D71" s="7">
        <v>1</v>
      </c>
      <c r="E71" s="76" t="s">
        <v>28</v>
      </c>
      <c r="F71" s="77"/>
      <c r="G71" s="77"/>
      <c r="H71" s="78"/>
      <c r="I71" s="63" t="str">
        <f>IF(A71&gt;0,VLOOKUP(A71,[1]SE!$A$1:$K$65536,5,FALSE)," ")</f>
        <v>XS630B1PAL2</v>
      </c>
      <c r="J71" s="63">
        <f>IF(A71&gt;0,VLOOKUP(A71,[1]SE!$A$1:$K$65536,6,FALSE)," ")</f>
        <v>24</v>
      </c>
      <c r="K71" s="63" t="str">
        <f>IF(A71&gt;0,VLOOKUP(A71,[1]SE!$A$1:$K$65536,7,FALSE)," ")</f>
        <v>DC</v>
      </c>
      <c r="L71" s="63">
        <f>IF(A71&gt;0,VLOOKUP(A71,[1]SE!$A$1:$K$65536,8,FALSE)," ")</f>
        <v>0</v>
      </c>
      <c r="M71" s="63" t="str">
        <f>IF(A71&gt;0,VLOOKUP(A71,[1]SE!$A$1:$K$65536,4,FALSE)," ")</f>
        <v>Telemecanique</v>
      </c>
      <c r="N71" s="63">
        <f>IF(A71&gt;0,VLOOKUP(A71,[1]SE!$A$1:$K$65536,10,FALSE)," ")</f>
        <v>0</v>
      </c>
      <c r="O71" s="23">
        <f>IF(A71&gt;0,VLOOKUP(A71,[1]SE!$A$1:$K$65536,11,FALSE)," ")</f>
        <v>0</v>
      </c>
      <c r="P71" s="69" t="s">
        <v>390</v>
      </c>
    </row>
    <row r="72" spans="1:16" ht="18" customHeight="1" x14ac:dyDescent="0.25">
      <c r="A72" s="55" t="s">
        <v>3073</v>
      </c>
      <c r="B72" s="56" t="s">
        <v>3105</v>
      </c>
      <c r="C72" s="57" t="s">
        <v>3106</v>
      </c>
      <c r="D72" s="7">
        <v>1</v>
      </c>
      <c r="E72" s="76" t="s">
        <v>3123</v>
      </c>
      <c r="F72" s="77"/>
      <c r="G72" s="77"/>
      <c r="H72" s="78"/>
      <c r="I72" s="63" t="str">
        <f>IF(A72&gt;0,VLOOKUP(A72,[1]SE!$A$1:$K$65536,5,FALSE)," ")</f>
        <v>XS630B1PAL2</v>
      </c>
      <c r="J72" s="63">
        <f>IF(A72&gt;0,VLOOKUP(A72,[1]SE!$A$1:$K$65536,6,FALSE)," ")</f>
        <v>24</v>
      </c>
      <c r="K72" s="63" t="str">
        <f>IF(A72&gt;0,VLOOKUP(A72,[1]SE!$A$1:$K$65536,7,FALSE)," ")</f>
        <v>DC</v>
      </c>
      <c r="L72" s="63">
        <f>IF(A72&gt;0,VLOOKUP(A72,[1]SE!$A$1:$K$65536,8,FALSE)," ")</f>
        <v>0</v>
      </c>
      <c r="M72" s="63" t="str">
        <f>IF(A72&gt;0,VLOOKUP(A72,[1]SE!$A$1:$K$65536,4,FALSE)," ")</f>
        <v>Telemecanique</v>
      </c>
      <c r="N72" s="63">
        <f>IF(A72&gt;0,VLOOKUP(A72,[1]SE!$A$1:$K$65536,10,FALSE)," ")</f>
        <v>0</v>
      </c>
      <c r="O72" s="23">
        <f>IF(A72&gt;0,VLOOKUP(A72,[1]SE!$A$1:$K$65536,11,FALSE)," ")</f>
        <v>0</v>
      </c>
      <c r="P72" s="69" t="s">
        <v>390</v>
      </c>
    </row>
    <row r="73" spans="1:16" ht="18" customHeight="1" x14ac:dyDescent="0.25">
      <c r="A73" s="55"/>
      <c r="B73" s="56"/>
      <c r="C73" s="57"/>
      <c r="D73" s="58"/>
      <c r="E73" s="42"/>
      <c r="F73" s="43"/>
      <c r="G73" s="43"/>
      <c r="H73" s="44"/>
      <c r="I73" s="60"/>
      <c r="J73" s="60"/>
      <c r="K73" s="60"/>
      <c r="L73" s="60"/>
      <c r="M73" s="60"/>
      <c r="N73" s="60"/>
      <c r="O73" s="59"/>
    </row>
    <row r="74" spans="1:16" ht="18" customHeight="1" x14ac:dyDescent="0.25">
      <c r="A74" s="55" t="s">
        <v>3073</v>
      </c>
      <c r="B74" s="56" t="s">
        <v>3107</v>
      </c>
      <c r="C74" s="57" t="s">
        <v>3108</v>
      </c>
      <c r="D74" s="7">
        <v>2</v>
      </c>
      <c r="E74" s="76" t="s">
        <v>29</v>
      </c>
      <c r="F74" s="77"/>
      <c r="G74" s="77"/>
      <c r="H74" s="78"/>
      <c r="I74" s="63" t="str">
        <f>IF(A74&gt;0,VLOOKUP(A74,[1]SE!$A$1:$K$65536,5,FALSE)," ")</f>
        <v>XS630B1PAL2</v>
      </c>
      <c r="J74" s="63">
        <f>IF(A74&gt;0,VLOOKUP(A74,[1]SE!$A$1:$K$65536,6,FALSE)," ")</f>
        <v>24</v>
      </c>
      <c r="K74" s="63" t="str">
        <f>IF(A74&gt;0,VLOOKUP(A74,[1]SE!$A$1:$K$65536,7,FALSE)," ")</f>
        <v>DC</v>
      </c>
      <c r="L74" s="63">
        <f>IF(A74&gt;0,VLOOKUP(A74,[1]SE!$A$1:$K$65536,8,FALSE)," ")</f>
        <v>0</v>
      </c>
      <c r="M74" s="63" t="str">
        <f>IF(A74&gt;0,VLOOKUP(A74,[1]SE!$A$1:$K$65536,4,FALSE)," ")</f>
        <v>Telemecanique</v>
      </c>
      <c r="N74" s="63">
        <f>IF(A74&gt;0,VLOOKUP(A74,[1]SE!$A$1:$K$65536,10,FALSE)," ")</f>
        <v>0</v>
      </c>
      <c r="O74" s="23">
        <f>IF(A74&gt;0,VLOOKUP(A74,[1]SE!$A$1:$K$65536,11,FALSE)," ")</f>
        <v>0</v>
      </c>
      <c r="P74" s="69" t="s">
        <v>390</v>
      </c>
    </row>
    <row r="75" spans="1:16" ht="18" customHeight="1" x14ac:dyDescent="0.25">
      <c r="A75" s="55"/>
      <c r="B75" s="56"/>
      <c r="C75" s="57"/>
      <c r="D75" s="58"/>
      <c r="E75" s="76"/>
      <c r="F75" s="77"/>
      <c r="G75" s="77"/>
      <c r="H75" s="78"/>
      <c r="I75" s="60"/>
      <c r="J75" s="60"/>
      <c r="K75" s="60"/>
      <c r="L75" s="60"/>
      <c r="M75" s="60"/>
      <c r="N75" s="60"/>
      <c r="O75" s="59"/>
    </row>
    <row r="76" spans="1:16" ht="18" customHeight="1" x14ac:dyDescent="0.25">
      <c r="A76" s="55" t="s">
        <v>3073</v>
      </c>
      <c r="B76" s="56" t="s">
        <v>3109</v>
      </c>
      <c r="C76" s="57" t="s">
        <v>3110</v>
      </c>
      <c r="D76" s="7">
        <v>1</v>
      </c>
      <c r="E76" s="76" t="s">
        <v>28</v>
      </c>
      <c r="F76" s="77"/>
      <c r="G76" s="77"/>
      <c r="H76" s="78"/>
      <c r="I76" s="63" t="str">
        <f>IF(A76&gt;0,VLOOKUP(A76,[1]SE!$A$1:$K$65536,5,FALSE)," ")</f>
        <v>XS630B1PAL2</v>
      </c>
      <c r="J76" s="63">
        <f>IF(A76&gt;0,VLOOKUP(A76,[1]SE!$A$1:$K$65536,6,FALSE)," ")</f>
        <v>24</v>
      </c>
      <c r="K76" s="63" t="str">
        <f>IF(A76&gt;0,VLOOKUP(A76,[1]SE!$A$1:$K$65536,7,FALSE)," ")</f>
        <v>DC</v>
      </c>
      <c r="L76" s="63">
        <f>IF(A76&gt;0,VLOOKUP(A76,[1]SE!$A$1:$K$65536,8,FALSE)," ")</f>
        <v>0</v>
      </c>
      <c r="M76" s="63" t="str">
        <f>IF(A76&gt;0,VLOOKUP(A76,[1]SE!$A$1:$K$65536,4,FALSE)," ")</f>
        <v>Telemecanique</v>
      </c>
      <c r="N76" s="63">
        <f>IF(A76&gt;0,VLOOKUP(A76,[1]SE!$A$1:$K$65536,10,FALSE)," ")</f>
        <v>0</v>
      </c>
      <c r="O76" s="23">
        <f>IF(A76&gt;0,VLOOKUP(A76,[1]SE!$A$1:$K$65536,11,FALSE)," ")</f>
        <v>0</v>
      </c>
      <c r="P76" s="69" t="s">
        <v>390</v>
      </c>
    </row>
    <row r="77" spans="1:16" ht="18" customHeight="1" x14ac:dyDescent="0.25">
      <c r="A77" s="55" t="s">
        <v>3075</v>
      </c>
      <c r="B77" s="56" t="s">
        <v>3109</v>
      </c>
      <c r="C77" s="57" t="s">
        <v>3110</v>
      </c>
      <c r="D77" s="7">
        <v>2</v>
      </c>
      <c r="E77" s="76" t="s">
        <v>39</v>
      </c>
      <c r="F77" s="77"/>
      <c r="G77" s="77"/>
      <c r="H77" s="78"/>
      <c r="I77" s="63" t="str">
        <f>IF(A77&gt;0,VLOOKUP(A77,[1]SE!$A$1:$K$65536,5,FALSE)," ")</f>
        <v>XY2CE2A250</v>
      </c>
      <c r="J77" s="63">
        <f>IF(A77&gt;0,VLOOKUP(A77,[1]SE!$A$1:$K$65536,6,FALSE)," ")</f>
        <v>24</v>
      </c>
      <c r="K77" s="63" t="str">
        <f>IF(A77&gt;0,VLOOKUP(A77,[1]SE!$A$1:$K$65536,7,FALSE)," ")</f>
        <v>DC</v>
      </c>
      <c r="L77" s="63">
        <f>IF(A77&gt;0,VLOOKUP(A77,[1]SE!$A$1:$K$65536,8,FALSE)," ")</f>
        <v>0</v>
      </c>
      <c r="M77" s="63" t="str">
        <f>IF(A77&gt;0,VLOOKUP(A77,[1]SE!$A$1:$K$65536,4,FALSE)," ")</f>
        <v>Telemecanique</v>
      </c>
      <c r="N77" s="63">
        <f>IF(A77&gt;0,VLOOKUP(A77,[1]SE!$A$1:$K$65536,10,FALSE)," ")</f>
        <v>0</v>
      </c>
      <c r="O77" s="23" t="str">
        <f>IF(A77&gt;0,VLOOKUP(A77,[1]SE!$A$1:$K$65536,11,FALSE)," ")</f>
        <v>Nr. 1 x side Max. &lt;=40 mt. ==&gt; nr. 2</v>
      </c>
      <c r="P77" s="69" t="s">
        <v>390</v>
      </c>
    </row>
    <row r="78" spans="1:16" ht="18" customHeight="1" x14ac:dyDescent="0.25">
      <c r="A78" s="55" t="s">
        <v>3076</v>
      </c>
      <c r="B78" s="56" t="s">
        <v>3109</v>
      </c>
      <c r="C78" s="57" t="s">
        <v>3110</v>
      </c>
      <c r="D78" s="7">
        <v>2</v>
      </c>
      <c r="E78" s="76" t="s">
        <v>40</v>
      </c>
      <c r="F78" s="77"/>
      <c r="G78" s="77"/>
      <c r="H78" s="78"/>
      <c r="I78" s="63" t="str">
        <f>IF(A78&gt;0,VLOOKUP(A78,[1]SE!$A$1:$K$65536,5,FALSE)," ")</f>
        <v>XY2CE1A250</v>
      </c>
      <c r="J78" s="63">
        <f>IF(A78&gt;0,VLOOKUP(A78,[1]SE!$A$1:$K$65536,6,FALSE)," ")</f>
        <v>24</v>
      </c>
      <c r="K78" s="63" t="str">
        <f>IF(A78&gt;0,VLOOKUP(A78,[1]SE!$A$1:$K$65536,7,FALSE)," ")</f>
        <v>DC</v>
      </c>
      <c r="L78" s="63">
        <f>IF(A78&gt;0,VLOOKUP(A78,[1]SE!$A$1:$K$65536,8,FALSE)," ")</f>
        <v>0</v>
      </c>
      <c r="M78" s="63" t="str">
        <f>IF(A78&gt;0,VLOOKUP(A78,[1]SE!$A$1:$K$65536,4,FALSE)," ")</f>
        <v>Telemecanique</v>
      </c>
      <c r="N78" s="63">
        <f>IF(A78&gt;0,VLOOKUP(A78,[1]SE!$A$1:$K$65536,10,FALSE)," ")</f>
        <v>0</v>
      </c>
      <c r="O78" s="23" t="str">
        <f>IF(A78&gt;0,VLOOKUP(A78,[1]SE!$A$1:$K$65536,11,FALSE)," ")</f>
        <v>Nr. 1 x side Max. &lt;=40 mt. ==&gt; nr. 2</v>
      </c>
      <c r="P78" s="69" t="s">
        <v>390</v>
      </c>
    </row>
    <row r="79" spans="1:16" ht="18" customHeight="1" x14ac:dyDescent="0.25">
      <c r="A79" s="55" t="s">
        <v>3077</v>
      </c>
      <c r="B79" s="56" t="s">
        <v>3109</v>
      </c>
      <c r="C79" s="57" t="s">
        <v>3110</v>
      </c>
      <c r="D79" s="7">
        <v>4</v>
      </c>
      <c r="E79" s="76" t="s">
        <v>38</v>
      </c>
      <c r="F79" s="77"/>
      <c r="G79" s="77"/>
      <c r="H79" s="78"/>
      <c r="I79" s="63" t="str">
        <f>IF(A79&gt;0,VLOOKUP(A79,[1]SE!$A$1:$K$65536,5,FALSE)," ")</f>
        <v>XCRT115</v>
      </c>
      <c r="J79" s="63">
        <f>IF(A79&gt;0,VLOOKUP(A79,[1]SE!$A$1:$K$65536,6,FALSE)," ")</f>
        <v>24</v>
      </c>
      <c r="K79" s="63" t="str">
        <f>IF(A79&gt;0,VLOOKUP(A79,[1]SE!$A$1:$K$65536,7,FALSE)," ")</f>
        <v>DC</v>
      </c>
      <c r="L79" s="63">
        <f>IF(A79&gt;0,VLOOKUP(A79,[1]SE!$A$1:$K$65536,8,FALSE)," ")</f>
        <v>0</v>
      </c>
      <c r="M79" s="63" t="str">
        <f>IF(A79&gt;0,VLOOKUP(A79,[1]SE!$A$1:$K$65536,4,FALSE)," ")</f>
        <v>Telemecanique</v>
      </c>
      <c r="N79" s="63">
        <f>IF(A79&gt;0,VLOOKUP(A79,[1]SE!$A$1:$K$65536,10,FALSE)," ")</f>
        <v>0</v>
      </c>
      <c r="O79" s="23">
        <f>IF(A79&gt;0,VLOOKUP(A79,[1]SE!$A$1:$K$65536,11,FALSE)," ")</f>
        <v>0</v>
      </c>
      <c r="P79" s="69" t="s">
        <v>390</v>
      </c>
    </row>
    <row r="80" spans="1:16" ht="18" customHeight="1" x14ac:dyDescent="0.25">
      <c r="A80" s="55" t="s">
        <v>3073</v>
      </c>
      <c r="B80" s="56" t="s">
        <v>3109</v>
      </c>
      <c r="C80" s="57" t="s">
        <v>3110</v>
      </c>
      <c r="D80" s="7">
        <v>2</v>
      </c>
      <c r="E80" s="76" t="s">
        <v>3388</v>
      </c>
      <c r="F80" s="77"/>
      <c r="G80" s="77"/>
      <c r="H80" s="78"/>
      <c r="I80" s="63" t="str">
        <f>IF(A80&gt;0,VLOOKUP(A80,[1]SE!$A$1:$K$65536,5,FALSE)," ")</f>
        <v>XS630B1PAL2</v>
      </c>
      <c r="J80" s="63">
        <f>IF(A80&gt;0,VLOOKUP(A80,[1]SE!$A$1:$K$65536,6,FALSE)," ")</f>
        <v>24</v>
      </c>
      <c r="K80" s="63" t="str">
        <f>IF(A80&gt;0,VLOOKUP(A80,[1]SE!$A$1:$K$65536,7,FALSE)," ")</f>
        <v>DC</v>
      </c>
      <c r="L80" s="63">
        <f>IF(A80&gt;0,VLOOKUP(A80,[1]SE!$A$1:$K$65536,8,FALSE)," ")</f>
        <v>0</v>
      </c>
      <c r="M80" s="63" t="str">
        <f>IF(A80&gt;0,VLOOKUP(A80,[1]SE!$A$1:$K$65536,4,FALSE)," ")</f>
        <v>Telemecanique</v>
      </c>
      <c r="N80" s="63">
        <f>IF(A80&gt;0,VLOOKUP(A80,[1]SE!$A$1:$K$65536,10,FALSE)," ")</f>
        <v>0</v>
      </c>
      <c r="O80" s="23">
        <f>IF(A80&gt;0,VLOOKUP(A80,[1]SE!$A$1:$K$65536,11,FALSE)," ")</f>
        <v>0</v>
      </c>
      <c r="P80" s="69" t="s">
        <v>390</v>
      </c>
    </row>
    <row r="81" spans="1:16" ht="18" customHeight="1" x14ac:dyDescent="0.25">
      <c r="A81" s="55"/>
      <c r="B81" s="56"/>
      <c r="C81" s="57"/>
      <c r="D81" s="58"/>
      <c r="E81" s="42"/>
      <c r="F81" s="43"/>
      <c r="G81" s="43"/>
      <c r="H81" s="44"/>
      <c r="I81" s="60"/>
      <c r="J81" s="60"/>
      <c r="K81" s="60"/>
      <c r="L81" s="60"/>
      <c r="M81" s="60"/>
      <c r="N81" s="60"/>
      <c r="O81" s="59"/>
    </row>
    <row r="82" spans="1:16" ht="18" customHeight="1" x14ac:dyDescent="0.25">
      <c r="A82" s="55" t="s">
        <v>3073</v>
      </c>
      <c r="B82" s="56" t="s">
        <v>3111</v>
      </c>
      <c r="C82" s="57" t="s">
        <v>3112</v>
      </c>
      <c r="D82" s="7">
        <v>1</v>
      </c>
      <c r="E82" s="76" t="s">
        <v>28</v>
      </c>
      <c r="F82" s="77"/>
      <c r="G82" s="77"/>
      <c r="H82" s="78"/>
      <c r="I82" s="63" t="str">
        <f>IF(A82&gt;0,VLOOKUP(A82,[1]SE!$A$1:$K$65536,5,FALSE)," ")</f>
        <v>XS630B1PAL2</v>
      </c>
      <c r="J82" s="63">
        <f>IF(A82&gt;0,VLOOKUP(A82,[1]SE!$A$1:$K$65536,6,FALSE)," ")</f>
        <v>24</v>
      </c>
      <c r="K82" s="63" t="str">
        <f>IF(A82&gt;0,VLOOKUP(A82,[1]SE!$A$1:$K$65536,7,FALSE)," ")</f>
        <v>DC</v>
      </c>
      <c r="L82" s="63">
        <f>IF(A82&gt;0,VLOOKUP(A82,[1]SE!$A$1:$K$65536,8,FALSE)," ")</f>
        <v>0</v>
      </c>
      <c r="M82" s="63" t="str">
        <f>IF(A82&gt;0,VLOOKUP(A82,[1]SE!$A$1:$K$65536,4,FALSE)," ")</f>
        <v>Telemecanique</v>
      </c>
      <c r="N82" s="63">
        <f>IF(A82&gt;0,VLOOKUP(A82,[1]SE!$A$1:$K$65536,10,FALSE)," ")</f>
        <v>0</v>
      </c>
      <c r="O82" s="23">
        <f>IF(A82&gt;0,VLOOKUP(A82,[1]SE!$A$1:$K$65536,11,FALSE)," ")</f>
        <v>0</v>
      </c>
      <c r="P82" s="69" t="s">
        <v>390</v>
      </c>
    </row>
    <row r="83" spans="1:16" ht="18" customHeight="1" x14ac:dyDescent="0.25">
      <c r="A83" s="55" t="s">
        <v>3075</v>
      </c>
      <c r="B83" s="56" t="s">
        <v>3111</v>
      </c>
      <c r="C83" s="57" t="s">
        <v>3112</v>
      </c>
      <c r="D83" s="7">
        <v>1</v>
      </c>
      <c r="E83" s="76" t="s">
        <v>39</v>
      </c>
      <c r="F83" s="77"/>
      <c r="G83" s="77"/>
      <c r="H83" s="78"/>
      <c r="I83" s="63" t="str">
        <f>IF(A83&gt;0,VLOOKUP(A83,[1]SE!$A$1:$K$65536,5,FALSE)," ")</f>
        <v>XY2CE2A250</v>
      </c>
      <c r="J83" s="63">
        <f>IF(A83&gt;0,VLOOKUP(A83,[1]SE!$A$1:$K$65536,6,FALSE)," ")</f>
        <v>24</v>
      </c>
      <c r="K83" s="63" t="str">
        <f>IF(A83&gt;0,VLOOKUP(A83,[1]SE!$A$1:$K$65536,7,FALSE)," ")</f>
        <v>DC</v>
      </c>
      <c r="L83" s="63">
        <f>IF(A83&gt;0,VLOOKUP(A83,[1]SE!$A$1:$K$65536,8,FALSE)," ")</f>
        <v>0</v>
      </c>
      <c r="M83" s="63" t="str">
        <f>IF(A83&gt;0,VLOOKUP(A83,[1]SE!$A$1:$K$65536,4,FALSE)," ")</f>
        <v>Telemecanique</v>
      </c>
      <c r="N83" s="63">
        <f>IF(A83&gt;0,VLOOKUP(A83,[1]SE!$A$1:$K$65536,10,FALSE)," ")</f>
        <v>0</v>
      </c>
      <c r="O83" s="23" t="str">
        <f>IF(A83&gt;0,VLOOKUP(A83,[1]SE!$A$1:$K$65536,11,FALSE)," ")</f>
        <v>Nr. 1 x side Max. &lt;=40 mt. ==&gt; nr. 2</v>
      </c>
      <c r="P83" s="69" t="s">
        <v>390</v>
      </c>
    </row>
    <row r="84" spans="1:16" ht="18" customHeight="1" x14ac:dyDescent="0.25">
      <c r="A84" s="55" t="s">
        <v>3076</v>
      </c>
      <c r="B84" s="56" t="s">
        <v>3111</v>
      </c>
      <c r="C84" s="57" t="s">
        <v>3112</v>
      </c>
      <c r="D84" s="7">
        <v>1</v>
      </c>
      <c r="E84" s="76" t="s">
        <v>40</v>
      </c>
      <c r="F84" s="77"/>
      <c r="G84" s="77"/>
      <c r="H84" s="78"/>
      <c r="I84" s="63" t="str">
        <f>IF(A84&gt;0,VLOOKUP(A84,[1]SE!$A$1:$K$65536,5,FALSE)," ")</f>
        <v>XY2CE1A250</v>
      </c>
      <c r="J84" s="63">
        <f>IF(A84&gt;0,VLOOKUP(A84,[1]SE!$A$1:$K$65536,6,FALSE)," ")</f>
        <v>24</v>
      </c>
      <c r="K84" s="63" t="str">
        <f>IF(A84&gt;0,VLOOKUP(A84,[1]SE!$A$1:$K$65536,7,FALSE)," ")</f>
        <v>DC</v>
      </c>
      <c r="L84" s="63">
        <f>IF(A84&gt;0,VLOOKUP(A84,[1]SE!$A$1:$K$65536,8,FALSE)," ")</f>
        <v>0</v>
      </c>
      <c r="M84" s="63" t="str">
        <f>IF(A84&gt;0,VLOOKUP(A84,[1]SE!$A$1:$K$65536,4,FALSE)," ")</f>
        <v>Telemecanique</v>
      </c>
      <c r="N84" s="63">
        <f>IF(A84&gt;0,VLOOKUP(A84,[1]SE!$A$1:$K$65536,10,FALSE)," ")</f>
        <v>0</v>
      </c>
      <c r="O84" s="23" t="str">
        <f>IF(A84&gt;0,VLOOKUP(A84,[1]SE!$A$1:$K$65536,11,FALSE)," ")</f>
        <v>Nr. 1 x side Max. &lt;=40 mt. ==&gt; nr. 2</v>
      </c>
      <c r="P84" s="69" t="s">
        <v>390</v>
      </c>
    </row>
    <row r="85" spans="1:16" ht="18" customHeight="1" x14ac:dyDescent="0.25">
      <c r="A85" s="55" t="s">
        <v>3077</v>
      </c>
      <c r="B85" s="56" t="s">
        <v>3111</v>
      </c>
      <c r="C85" s="57" t="s">
        <v>3112</v>
      </c>
      <c r="D85" s="7">
        <v>4</v>
      </c>
      <c r="E85" s="76" t="s">
        <v>38</v>
      </c>
      <c r="F85" s="77"/>
      <c r="G85" s="77"/>
      <c r="H85" s="78"/>
      <c r="I85" s="63" t="str">
        <f>IF(A85&gt;0,VLOOKUP(A85,[1]SE!$A$1:$K$65536,5,FALSE)," ")</f>
        <v>XCRT115</v>
      </c>
      <c r="J85" s="63">
        <f>IF(A85&gt;0,VLOOKUP(A85,[1]SE!$A$1:$K$65536,6,FALSE)," ")</f>
        <v>24</v>
      </c>
      <c r="K85" s="63" t="str">
        <f>IF(A85&gt;0,VLOOKUP(A85,[1]SE!$A$1:$K$65536,7,FALSE)," ")</f>
        <v>DC</v>
      </c>
      <c r="L85" s="63">
        <f>IF(A85&gt;0,VLOOKUP(A85,[1]SE!$A$1:$K$65536,8,FALSE)," ")</f>
        <v>0</v>
      </c>
      <c r="M85" s="63" t="str">
        <f>IF(A85&gt;0,VLOOKUP(A85,[1]SE!$A$1:$K$65536,4,FALSE)," ")</f>
        <v>Telemecanique</v>
      </c>
      <c r="N85" s="63">
        <f>IF(A85&gt;0,VLOOKUP(A85,[1]SE!$A$1:$K$65536,10,FALSE)," ")</f>
        <v>0</v>
      </c>
      <c r="O85" s="23">
        <f>IF(A85&gt;0,VLOOKUP(A85,[1]SE!$A$1:$K$65536,11,FALSE)," ")</f>
        <v>0</v>
      </c>
      <c r="P85" s="69" t="s">
        <v>390</v>
      </c>
    </row>
    <row r="86" spans="1:16" ht="18" customHeight="1" x14ac:dyDescent="0.25">
      <c r="A86" s="55"/>
      <c r="B86" s="56"/>
      <c r="C86" s="57"/>
      <c r="D86" s="58"/>
      <c r="E86" s="42"/>
      <c r="F86" s="43"/>
      <c r="G86" s="43"/>
      <c r="H86" s="44"/>
      <c r="I86" s="60"/>
      <c r="J86" s="60"/>
      <c r="K86" s="60"/>
      <c r="L86" s="60"/>
      <c r="M86" s="60"/>
      <c r="N86" s="60"/>
      <c r="O86" s="59"/>
    </row>
    <row r="87" spans="1:16" ht="18" customHeight="1" x14ac:dyDescent="0.25">
      <c r="A87" s="55" t="s">
        <v>3073</v>
      </c>
      <c r="B87" s="56" t="s">
        <v>3113</v>
      </c>
      <c r="C87" s="57" t="s">
        <v>3114</v>
      </c>
      <c r="D87" s="58">
        <v>1</v>
      </c>
      <c r="E87" s="76" t="s">
        <v>34</v>
      </c>
      <c r="F87" s="77"/>
      <c r="G87" s="77"/>
      <c r="H87" s="78"/>
      <c r="I87" s="63" t="str">
        <f>IF(A87&gt;0,VLOOKUP(A87,[1]SE!$A$1:$K$65536,5,FALSE)," ")</f>
        <v>XS630B1PAL2</v>
      </c>
      <c r="J87" s="63">
        <f>IF(A87&gt;0,VLOOKUP(A87,[1]SE!$A$1:$K$65536,6,FALSE)," ")</f>
        <v>24</v>
      </c>
      <c r="K87" s="63" t="str">
        <f>IF(A87&gt;0,VLOOKUP(A87,[1]SE!$A$1:$K$65536,7,FALSE)," ")</f>
        <v>DC</v>
      </c>
      <c r="L87" s="63">
        <f>IF(A87&gt;0,VLOOKUP(A87,[1]SE!$A$1:$K$65536,8,FALSE)," ")</f>
        <v>0</v>
      </c>
      <c r="M87" s="63" t="str">
        <f>IF(A87&gt;0,VLOOKUP(A87,[1]SE!$A$1:$K$65536,4,FALSE)," ")</f>
        <v>Telemecanique</v>
      </c>
      <c r="N87" s="63">
        <f>IF(A87&gt;0,VLOOKUP(A87,[1]SE!$A$1:$K$65536,10,FALSE)," ")</f>
        <v>0</v>
      </c>
      <c r="O87" s="23">
        <f>IF(A87&gt;0,VLOOKUP(A87,[1]SE!$A$1:$K$65536,11,FALSE)," ")</f>
        <v>0</v>
      </c>
      <c r="P87" s="69" t="s">
        <v>390</v>
      </c>
    </row>
    <row r="88" spans="1:16" ht="18" customHeight="1" x14ac:dyDescent="0.25">
      <c r="A88" s="55" t="s">
        <v>3073</v>
      </c>
      <c r="B88" s="56" t="s">
        <v>3113</v>
      </c>
      <c r="C88" s="57" t="s">
        <v>3114</v>
      </c>
      <c r="D88" s="58">
        <v>1</v>
      </c>
      <c r="E88" s="76" t="s">
        <v>28</v>
      </c>
      <c r="F88" s="77"/>
      <c r="G88" s="77"/>
      <c r="H88" s="78"/>
      <c r="I88" s="63" t="str">
        <f>IF(A88&gt;0,VLOOKUP(A88,[1]SE!$A$1:$K$65536,5,FALSE)," ")</f>
        <v>XS630B1PAL2</v>
      </c>
      <c r="J88" s="63">
        <f>IF(A88&gt;0,VLOOKUP(A88,[1]SE!$A$1:$K$65536,6,FALSE)," ")</f>
        <v>24</v>
      </c>
      <c r="K88" s="63" t="str">
        <f>IF(A88&gt;0,VLOOKUP(A88,[1]SE!$A$1:$K$65536,7,FALSE)," ")</f>
        <v>DC</v>
      </c>
      <c r="L88" s="63">
        <f>IF(A88&gt;0,VLOOKUP(A88,[1]SE!$A$1:$K$65536,8,FALSE)," ")</f>
        <v>0</v>
      </c>
      <c r="M88" s="63" t="str">
        <f>IF(A88&gt;0,VLOOKUP(A88,[1]SE!$A$1:$K$65536,4,FALSE)," ")</f>
        <v>Telemecanique</v>
      </c>
      <c r="N88" s="63">
        <f>IF(A88&gt;0,VLOOKUP(A88,[1]SE!$A$1:$K$65536,10,FALSE)," ")</f>
        <v>0</v>
      </c>
      <c r="O88" s="23">
        <f>IF(A88&gt;0,VLOOKUP(A88,[1]SE!$A$1:$K$65536,11,FALSE)," ")</f>
        <v>0</v>
      </c>
      <c r="P88" s="69" t="s">
        <v>390</v>
      </c>
    </row>
    <row r="89" spans="1:16" ht="18" customHeight="1" x14ac:dyDescent="0.25">
      <c r="A89" s="55"/>
      <c r="B89" s="56"/>
      <c r="C89" s="57"/>
      <c r="D89" s="58"/>
      <c r="E89" s="42"/>
      <c r="F89" s="43"/>
      <c r="G89" s="43"/>
      <c r="H89" s="44"/>
      <c r="I89" s="60"/>
      <c r="J89" s="60"/>
      <c r="K89" s="60"/>
      <c r="L89" s="60"/>
      <c r="M89" s="60"/>
      <c r="N89" s="60"/>
      <c r="O89" s="59"/>
    </row>
    <row r="90" spans="1:16" ht="18" customHeight="1" x14ac:dyDescent="0.25">
      <c r="A90" s="55" t="s">
        <v>3073</v>
      </c>
      <c r="B90" s="56" t="s">
        <v>3115</v>
      </c>
      <c r="C90" s="57" t="s">
        <v>3116</v>
      </c>
      <c r="D90" s="7">
        <v>8</v>
      </c>
      <c r="E90" s="76" t="s">
        <v>28</v>
      </c>
      <c r="F90" s="77"/>
      <c r="G90" s="77"/>
      <c r="H90" s="78"/>
      <c r="I90" s="63" t="str">
        <f>IF(A90&gt;0,VLOOKUP(A90,[1]SE!$A$1:$K$65536,5,FALSE)," ")</f>
        <v>XS630B1PAL2</v>
      </c>
      <c r="J90" s="63">
        <f>IF(A90&gt;0,VLOOKUP(A90,[1]SE!$A$1:$K$65536,6,FALSE)," ")</f>
        <v>24</v>
      </c>
      <c r="K90" s="63" t="str">
        <f>IF(A90&gt;0,VLOOKUP(A90,[1]SE!$A$1:$K$65536,7,FALSE)," ")</f>
        <v>DC</v>
      </c>
      <c r="L90" s="63">
        <f>IF(A90&gt;0,VLOOKUP(A90,[1]SE!$A$1:$K$65536,8,FALSE)," ")</f>
        <v>0</v>
      </c>
      <c r="M90" s="63" t="str">
        <f>IF(A90&gt;0,VLOOKUP(A90,[1]SE!$A$1:$K$65536,4,FALSE)," ")</f>
        <v>Telemecanique</v>
      </c>
      <c r="N90" s="63">
        <f>IF(A90&gt;0,VLOOKUP(A90,[1]SE!$A$1:$K$65536,10,FALSE)," ")</f>
        <v>0</v>
      </c>
      <c r="O90" s="23">
        <f>IF(A90&gt;0,VLOOKUP(A90,[1]SE!$A$1:$K$65536,11,FALSE)," ")</f>
        <v>0</v>
      </c>
      <c r="P90" s="69" t="s">
        <v>390</v>
      </c>
    </row>
    <row r="91" spans="1:16" ht="18" customHeight="1" x14ac:dyDescent="0.25">
      <c r="A91" s="55" t="s">
        <v>3073</v>
      </c>
      <c r="B91" s="56" t="s">
        <v>3115</v>
      </c>
      <c r="C91" s="57" t="s">
        <v>3116</v>
      </c>
      <c r="D91" s="7">
        <v>4</v>
      </c>
      <c r="E91" s="76" t="s">
        <v>34</v>
      </c>
      <c r="F91" s="77"/>
      <c r="G91" s="77"/>
      <c r="H91" s="78"/>
      <c r="I91" s="63" t="str">
        <f>IF(A91&gt;0,VLOOKUP(A91,[1]SE!$A$1:$K$65536,5,FALSE)," ")</f>
        <v>XS630B1PAL2</v>
      </c>
      <c r="J91" s="63">
        <f>IF(A91&gt;0,VLOOKUP(A91,[1]SE!$A$1:$K$65536,6,FALSE)," ")</f>
        <v>24</v>
      </c>
      <c r="K91" s="63" t="str">
        <f>IF(A91&gt;0,VLOOKUP(A91,[1]SE!$A$1:$K$65536,7,FALSE)," ")</f>
        <v>DC</v>
      </c>
      <c r="L91" s="63">
        <f>IF(A91&gt;0,VLOOKUP(A91,[1]SE!$A$1:$K$65536,8,FALSE)," ")</f>
        <v>0</v>
      </c>
      <c r="M91" s="63" t="str">
        <f>IF(A91&gt;0,VLOOKUP(A91,[1]SE!$A$1:$K$65536,4,FALSE)," ")</f>
        <v>Telemecanique</v>
      </c>
      <c r="N91" s="63">
        <f>IF(A91&gt;0,VLOOKUP(A91,[1]SE!$A$1:$K$65536,10,FALSE)," ")</f>
        <v>0</v>
      </c>
      <c r="O91" s="23">
        <f>IF(A91&gt;0,VLOOKUP(A91,[1]SE!$A$1:$K$65536,11,FALSE)," ")</f>
        <v>0</v>
      </c>
      <c r="P91" s="69" t="s">
        <v>390</v>
      </c>
    </row>
    <row r="92" spans="1:16" ht="18" customHeight="1" x14ac:dyDescent="0.25">
      <c r="A92" s="55" t="s">
        <v>3080</v>
      </c>
      <c r="B92" s="56" t="s">
        <v>3115</v>
      </c>
      <c r="C92" s="57" t="s">
        <v>3116</v>
      </c>
      <c r="D92" s="7">
        <v>1</v>
      </c>
      <c r="E92" s="76" t="s">
        <v>37</v>
      </c>
      <c r="F92" s="77"/>
      <c r="G92" s="77"/>
      <c r="H92" s="78"/>
      <c r="I92" s="63" t="str">
        <f>IF(A92&gt;0,VLOOKUP(A92,[1]SE!$A$1:$K$65536,5,FALSE)," ")</f>
        <v>PS6X - 222 E6V</v>
      </c>
      <c r="J92" s="63" t="str">
        <f>IF(A92&gt;0,VLOOKUP(A92,[1]SE!$A$1:$K$65536,6,FALSE)," ")</f>
        <v>10 ÷ 35</v>
      </c>
      <c r="K92" s="63" t="str">
        <f>IF(A92&gt;0,VLOOKUP(A92,[1]SE!$A$1:$K$65536,7,FALSE)," ")</f>
        <v>DC</v>
      </c>
      <c r="L92" s="63">
        <f>IF(A92&gt;0,VLOOKUP(A92,[1]SE!$A$1:$K$65536,8,FALSE)," ")</f>
        <v>0</v>
      </c>
      <c r="M92" s="63" t="str">
        <f>IF(A92&gt;0,VLOOKUP(A92,[1]SE!$A$1:$K$65536,4,FALSE)," ")</f>
        <v>Vega</v>
      </c>
      <c r="N92" s="63" t="str">
        <f>IF(A92&gt;0,VLOOKUP(A92,[1]SE!$A$1:$K$65536,10,FALSE)," ")</f>
        <v>ATEX20</v>
      </c>
      <c r="O92" s="23">
        <f>IF(A92&gt;0,VLOOKUP(A92,[1]SE!$A$1:$K$65536,11,FALSE)," ")</f>
        <v>0</v>
      </c>
      <c r="P92" s="68" t="s">
        <v>3390</v>
      </c>
    </row>
    <row r="93" spans="1:16" ht="18" customHeight="1" x14ac:dyDescent="0.25">
      <c r="A93" s="55" t="s">
        <v>3128</v>
      </c>
      <c r="B93" s="56" t="s">
        <v>3115</v>
      </c>
      <c r="C93" s="57" t="s">
        <v>3116</v>
      </c>
      <c r="D93" s="7">
        <v>6</v>
      </c>
      <c r="E93" s="76" t="s">
        <v>36</v>
      </c>
      <c r="F93" s="77"/>
      <c r="G93" s="77"/>
      <c r="H93" s="78"/>
      <c r="I93" s="63" t="str">
        <f>IF(A93&gt;0,VLOOKUP(A93,[1]SE!$A$1:$K$65536,5,FALSE)," ")</f>
        <v>VB63.GXAGDRAMX</v>
      </c>
      <c r="J93" s="63">
        <f>IF(A93&gt;0,VLOOKUP(A93,[1]SE!$A$1:$K$65536,6,FALSE)," ")</f>
        <v>24</v>
      </c>
      <c r="K93" s="63" t="str">
        <f>IF(A93&gt;0,VLOOKUP(A93,[1]SE!$A$1:$K$65536,7,FALSE)," ")</f>
        <v>DC</v>
      </c>
      <c r="L93" s="63">
        <f>IF(A93&gt;0,VLOOKUP(A93,[1]SE!$A$1:$K$65536,8,FALSE)," ")</f>
        <v>0</v>
      </c>
      <c r="M93" s="63" t="str">
        <f>IF(A93&gt;0,VLOOKUP(A93,[1]SE!$A$1:$K$65536,4,FALSE)," ")</f>
        <v>Vega</v>
      </c>
      <c r="N93" s="63" t="str">
        <f>IF(A93&gt;0,VLOOKUP(A93,[1]SE!$A$1:$K$65536,10,FALSE)," ")</f>
        <v>ATEX20</v>
      </c>
      <c r="O93" s="23" t="str">
        <f>IF(A93&gt;0,VLOOKUP(A93,[1]SE!$A$1:$K$65536,11,FALSE)," ")</f>
        <v>L=300 mm</v>
      </c>
      <c r="P93" s="68" t="s">
        <v>3390</v>
      </c>
    </row>
    <row r="94" spans="1:16" ht="18" customHeight="1" x14ac:dyDescent="0.25">
      <c r="A94" s="55"/>
      <c r="B94" s="56"/>
      <c r="C94" s="57"/>
      <c r="D94" s="58"/>
      <c r="E94" s="42"/>
      <c r="F94" s="43"/>
      <c r="G94" s="43"/>
      <c r="H94" s="44"/>
      <c r="I94" s="60"/>
      <c r="J94" s="60"/>
      <c r="K94" s="60"/>
      <c r="L94" s="60"/>
      <c r="M94" s="60"/>
      <c r="N94" s="60"/>
      <c r="O94" s="59"/>
    </row>
    <row r="95" spans="1:16" ht="18" customHeight="1" thickBot="1" x14ac:dyDescent="0.3">
      <c r="A95" s="13"/>
      <c r="B95" s="8"/>
      <c r="C95" s="9"/>
      <c r="D95" s="10"/>
      <c r="E95" s="94"/>
      <c r="F95" s="95"/>
      <c r="G95" s="95"/>
      <c r="H95" s="96"/>
      <c r="I95" s="30"/>
      <c r="J95" s="30"/>
      <c r="K95" s="30"/>
      <c r="L95" s="30"/>
      <c r="M95" s="30"/>
      <c r="N95" s="30"/>
      <c r="O95" s="31"/>
    </row>
    <row r="96" spans="1:16" ht="34.5" customHeight="1" x14ac:dyDescent="0.2">
      <c r="A96" s="126" t="s">
        <v>24</v>
      </c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8"/>
    </row>
    <row r="97" spans="1:17" ht="12.75" customHeight="1" x14ac:dyDescent="0.2">
      <c r="A97" s="129" t="s">
        <v>26</v>
      </c>
      <c r="B97" s="131" t="s">
        <v>21</v>
      </c>
      <c r="C97" s="97" t="s">
        <v>12</v>
      </c>
      <c r="D97" s="99" t="s">
        <v>20</v>
      </c>
      <c r="E97" s="101" t="s">
        <v>25</v>
      </c>
      <c r="F97" s="102"/>
      <c r="G97" s="102"/>
      <c r="H97" s="102"/>
      <c r="I97" s="102"/>
      <c r="J97" s="102"/>
      <c r="K97" s="102"/>
      <c r="L97" s="102"/>
      <c r="M97" s="102"/>
      <c r="N97" s="103"/>
      <c r="O97" s="124" t="s">
        <v>2</v>
      </c>
    </row>
    <row r="98" spans="1:17" ht="18" customHeight="1" x14ac:dyDescent="0.2">
      <c r="A98" s="129"/>
      <c r="B98" s="131"/>
      <c r="C98" s="97"/>
      <c r="D98" s="99"/>
      <c r="E98" s="104"/>
      <c r="F98" s="105"/>
      <c r="G98" s="105"/>
      <c r="H98" s="105"/>
      <c r="I98" s="105"/>
      <c r="J98" s="105"/>
      <c r="K98" s="105"/>
      <c r="L98" s="105"/>
      <c r="M98" s="105"/>
      <c r="N98" s="106"/>
      <c r="O98" s="125"/>
    </row>
    <row r="99" spans="1:17" ht="18" customHeight="1" x14ac:dyDescent="0.2">
      <c r="A99" s="130"/>
      <c r="B99" s="132"/>
      <c r="C99" s="98"/>
      <c r="D99" s="100"/>
      <c r="E99" s="104"/>
      <c r="F99" s="105"/>
      <c r="G99" s="105"/>
      <c r="H99" s="105"/>
      <c r="I99" s="105"/>
      <c r="J99" s="105"/>
      <c r="K99" s="105"/>
      <c r="L99" s="105"/>
      <c r="M99" s="105"/>
      <c r="N99" s="106"/>
      <c r="O99" s="125"/>
    </row>
    <row r="100" spans="1:17" ht="18" customHeight="1" x14ac:dyDescent="0.25">
      <c r="A100" s="24"/>
      <c r="B100" s="25"/>
      <c r="C100" s="26"/>
      <c r="D100" s="27"/>
      <c r="E100" s="107"/>
      <c r="F100" s="108"/>
      <c r="G100" s="108"/>
      <c r="H100" s="108"/>
      <c r="I100" s="108"/>
      <c r="J100" s="108"/>
      <c r="K100" s="108"/>
      <c r="L100" s="108"/>
      <c r="M100" s="108"/>
      <c r="N100" s="109"/>
      <c r="O100" s="29"/>
    </row>
    <row r="101" spans="1:17" ht="18" customHeight="1" x14ac:dyDescent="0.25">
      <c r="A101" s="12"/>
      <c r="B101" s="56" t="s">
        <v>3101</v>
      </c>
      <c r="C101" s="57" t="s">
        <v>3102</v>
      </c>
      <c r="D101" s="7">
        <v>1</v>
      </c>
      <c r="E101" s="76" t="s">
        <v>3072</v>
      </c>
      <c r="F101" s="77"/>
      <c r="G101" s="77"/>
      <c r="H101" s="77"/>
      <c r="I101" s="77"/>
      <c r="J101" s="77"/>
      <c r="K101" s="77"/>
      <c r="L101" s="77"/>
      <c r="M101" s="77"/>
      <c r="N101" s="78"/>
      <c r="O101" s="23"/>
      <c r="P101" s="68" t="s">
        <v>3390</v>
      </c>
      <c r="Q101" s="61"/>
    </row>
    <row r="102" spans="1:17" ht="18" customHeight="1" x14ac:dyDescent="0.25">
      <c r="A102" s="12"/>
      <c r="B102" s="5"/>
      <c r="C102" s="6"/>
      <c r="D102" s="7"/>
      <c r="E102" s="76"/>
      <c r="F102" s="77"/>
      <c r="G102" s="77"/>
      <c r="H102" s="77"/>
      <c r="I102" s="77"/>
      <c r="J102" s="77"/>
      <c r="K102" s="77"/>
      <c r="L102" s="77"/>
      <c r="M102" s="77"/>
      <c r="N102" s="78"/>
      <c r="O102" s="23"/>
    </row>
    <row r="103" spans="1:17" ht="15" customHeight="1" thickBot="1" x14ac:dyDescent="0.3">
      <c r="A103" s="13"/>
      <c r="B103" s="8"/>
      <c r="C103" s="9"/>
      <c r="D103" s="10"/>
      <c r="E103" s="94"/>
      <c r="F103" s="95"/>
      <c r="G103" s="95"/>
      <c r="H103" s="95"/>
      <c r="I103" s="95"/>
      <c r="J103" s="95"/>
      <c r="K103" s="95"/>
      <c r="L103" s="95"/>
      <c r="M103" s="95"/>
      <c r="N103" s="96"/>
      <c r="O103" s="14" t="str">
        <f>IF(A103&gt;0,VLOOKUP(A103,[1]SE!$A$1:$K$65536,11,FALSE)," ")</f>
        <v xml:space="preserve"> </v>
      </c>
    </row>
  </sheetData>
  <sheetProtection selectLockedCells="1"/>
  <protectedRanges>
    <protectedRange password="CFF3" sqref="A12 A26 A34 A32 A40 A42:A43 A55 A52:A53 A64 A73 A75 A81 A89 A86:A87 A94 A62 A15:A18" name="COMPILAZIONE_1" securityDescriptor="O:WDG:WDD:(A;;CC;;;S-1-5-21-1644491937-436374069-1801674531-1111)(A;;CC;;;S-1-5-21-1644491937-436374069-1801674531-1110)(A;;CC;;;S-1-5-21-1644491937-436374069-1801674531-1113)(A;;CC;;;S-1-5-21-1644491937-436374069-1801674531-1107)(A;;CC;;;S-1-5-21-1644491937-436374069-1801674531-1623)(A;;CC;;;S-1-5-21-1644491937-436374069-1801674531-1112)"/>
    <protectedRange password="CFF3" sqref="A27:A31 A54 A65:A72 A74 A82:A85 A90:A93 A88 A76:A80 A44:A51 A56:A61 A35:A39" name="COMPILAZIONE_1_1" securityDescriptor="O:WDG:WDD:(A;;CC;;;S-1-5-21-1644491937-436374069-1801674531-1111)(A;;CC;;;S-1-5-21-1644491937-436374069-1801674531-1110)(A;;CC;;;S-1-5-21-1644491937-436374069-1801674531-1113)(A;;CC;;;S-1-5-21-1644491937-436374069-1801674531-1107)(A;;CC;;;S-1-5-21-1644491937-436374069-1801674531-1623)(A;;CC;;;S-1-5-21-1644491937-436374069-1801674531-1112)"/>
    <protectedRange password="CFF3" sqref="A19:A25" name="COMPILAZIONE_1_2" securityDescriptor="O:WDG:WDD:(A;;CC;;;S-1-5-21-1644491937-436374069-1801674531-1111)(A;;CC;;;S-1-5-21-1644491937-436374069-1801674531-1110)(A;;CC;;;S-1-5-21-1644491937-436374069-1801674531-1113)(A;;CC;;;S-1-5-21-1644491937-436374069-1801674531-1107)(A;;CC;;;S-1-5-21-1644491937-436374069-1801674531-1623)(A;;CC;;;S-1-5-21-1644491937-436374069-1801674531-1112)"/>
  </protectedRanges>
  <mergeCells count="101">
    <mergeCell ref="C19:C25"/>
    <mergeCell ref="E19:H25"/>
    <mergeCell ref="O9:O11"/>
    <mergeCell ref="A1:N1"/>
    <mergeCell ref="I2:J2"/>
    <mergeCell ref="I4:J4"/>
    <mergeCell ref="J9:L9"/>
    <mergeCell ref="M9:M11"/>
    <mergeCell ref="N9:N11"/>
    <mergeCell ref="C9:C11"/>
    <mergeCell ref="I9:I11"/>
    <mergeCell ref="D9:D11"/>
    <mergeCell ref="E9:H11"/>
    <mergeCell ref="B2:E2"/>
    <mergeCell ref="B4:E4"/>
    <mergeCell ref="M4:N6"/>
    <mergeCell ref="A8:O8"/>
    <mergeCell ref="A7:O7"/>
    <mergeCell ref="O97:O99"/>
    <mergeCell ref="E95:H95"/>
    <mergeCell ref="A96:O96"/>
    <mergeCell ref="A97:A99"/>
    <mergeCell ref="B97:B99"/>
    <mergeCell ref="A9:A11"/>
    <mergeCell ref="E102:N102"/>
    <mergeCell ref="B5:E5"/>
    <mergeCell ref="B9:B11"/>
    <mergeCell ref="B6:C6"/>
    <mergeCell ref="E76:H76"/>
    <mergeCell ref="E82:H82"/>
    <mergeCell ref="E64:H64"/>
    <mergeCell ref="E68:H68"/>
    <mergeCell ref="E65:H65"/>
    <mergeCell ref="E67:H67"/>
    <mergeCell ref="E75:H75"/>
    <mergeCell ref="E69:H69"/>
    <mergeCell ref="E70:H70"/>
    <mergeCell ref="E13:H13"/>
    <mergeCell ref="E15:H15"/>
    <mergeCell ref="E92:H92"/>
    <mergeCell ref="E61:H61"/>
    <mergeCell ref="E80:H80"/>
    <mergeCell ref="E103:N103"/>
    <mergeCell ref="C97:C99"/>
    <mergeCell ref="D97:D99"/>
    <mergeCell ref="E97:N99"/>
    <mergeCell ref="E100:N100"/>
    <mergeCell ref="E101:N101"/>
    <mergeCell ref="E35:H35"/>
    <mergeCell ref="M2:N3"/>
    <mergeCell ref="I3:J3"/>
    <mergeCell ref="B3:E3"/>
    <mergeCell ref="E12:H12"/>
    <mergeCell ref="I5:J5"/>
    <mergeCell ref="I6:J6"/>
    <mergeCell ref="E26:H26"/>
    <mergeCell ref="E27:H27"/>
    <mergeCell ref="E33:H33"/>
    <mergeCell ref="E28:H28"/>
    <mergeCell ref="E29:H29"/>
    <mergeCell ref="E30:H30"/>
    <mergeCell ref="E31:H31"/>
    <mergeCell ref="B19:B25"/>
    <mergeCell ref="E88:H88"/>
    <mergeCell ref="E90:H90"/>
    <mergeCell ref="E91:H91"/>
    <mergeCell ref="E54:H54"/>
    <mergeCell ref="E47:H47"/>
    <mergeCell ref="E48:H48"/>
    <mergeCell ref="E49:H49"/>
    <mergeCell ref="E50:H50"/>
    <mergeCell ref="E53:H53"/>
    <mergeCell ref="E51:H51"/>
    <mergeCell ref="E43:H43"/>
    <mergeCell ref="E41:H41"/>
    <mergeCell ref="E44:H44"/>
    <mergeCell ref="E46:H46"/>
    <mergeCell ref="E58:H58"/>
    <mergeCell ref="E59:H59"/>
    <mergeCell ref="E60:H60"/>
    <mergeCell ref="E56:H56"/>
    <mergeCell ref="E63:H63"/>
    <mergeCell ref="B16:B18"/>
    <mergeCell ref="C16:C18"/>
    <mergeCell ref="E16:H18"/>
    <mergeCell ref="E93:H93"/>
    <mergeCell ref="E39:H39"/>
    <mergeCell ref="E71:H71"/>
    <mergeCell ref="E72:H72"/>
    <mergeCell ref="E74:H74"/>
    <mergeCell ref="E87:H87"/>
    <mergeCell ref="E77:H77"/>
    <mergeCell ref="E78:H78"/>
    <mergeCell ref="E79:H79"/>
    <mergeCell ref="E83:H83"/>
    <mergeCell ref="E84:H84"/>
    <mergeCell ref="E85:H85"/>
    <mergeCell ref="E57:H57"/>
    <mergeCell ref="E36:H36"/>
    <mergeCell ref="E37:H37"/>
    <mergeCell ref="E38:H38"/>
  </mergeCells>
  <phoneticPr fontId="0" type="noConversion"/>
  <conditionalFormatting sqref="M4">
    <cfRule type="cellIs" dxfId="0" priority="1" stopIfTrue="1" operator="equal">
      <formula>"RELEASED"</formula>
    </cfRule>
  </conditionalFormatting>
  <dataValidations count="1">
    <dataValidation type="list" allowBlank="1" showInputMessage="1" showErrorMessage="1" sqref="M4" xr:uid="{00000000-0002-0000-0000-000000000000}">
      <formula1>"WORK,RELEASED"</formula1>
    </dataValidation>
  </dataValidations>
  <printOptions horizontalCentered="1"/>
  <pageMargins left="0.19685039370078741" right="0.19685039370078741" top="0.59055118110236227" bottom="0.39370078740157483" header="0.51181102362204722" footer="0.19685039370078741"/>
  <pageSetup paperSize="9" scale="69" orientation="landscape" r:id="rId1"/>
  <headerFooter alignWithMargins="0">
    <oddFooter>&amp;RPag. &amp;P / &amp;N</oddFooter>
  </headerFooter>
  <colBreaks count="2" manualBreakCount="2">
    <brk id="15" max="36" man="1"/>
    <brk id="43" max="3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B1:D1"/>
  <sheetViews>
    <sheetView workbookViewId="0">
      <selection activeCell="C60" sqref="C58:C60"/>
    </sheetView>
  </sheetViews>
  <sheetFormatPr defaultRowHeight="11.25" x14ac:dyDescent="0.2"/>
  <cols>
    <col min="2" max="4" width="10.83203125" style="2" customWidth="1"/>
  </cols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yracuseOfficeCustomData>{"createMode":"plain_doc","forceRefresh":"0"}</SyracuseOfficeCustomData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E264E0906A36439D4506E515FA98B0" ma:contentTypeVersion="11" ma:contentTypeDescription="Creare un nuovo documento." ma:contentTypeScope="" ma:versionID="4ccf18f1da8f14174de6fbeb74eeb535">
  <xsd:schema xmlns:xsd="http://www.w3.org/2001/XMLSchema" xmlns:xs="http://www.w3.org/2001/XMLSchema" xmlns:p="http://schemas.microsoft.com/office/2006/metadata/properties" xmlns:ns2="cc678dee-8343-4596-a7d7-6c0fd0f57754" xmlns:ns3="1d6d1335-94f6-419c-8c3e-87666617b423" targetNamespace="http://schemas.microsoft.com/office/2006/metadata/properties" ma:root="true" ma:fieldsID="6bc8d10be96e410b1600d0e516b6d3f3" ns2:_="" ns3:_="">
    <xsd:import namespace="cc678dee-8343-4596-a7d7-6c0fd0f57754"/>
    <xsd:import namespace="1d6d1335-94f6-419c-8c3e-87666617b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78dee-8343-4596-a7d7-6c0fd0f57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ea8e8640-98bd-4d29-a6fb-4aa9571fcf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d1335-94f6-419c-8c3e-87666617b42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0eaaacb-e155-4f95-8902-a79d45c195d7}" ma:internalName="TaxCatchAll" ma:showField="CatchAllData" ma:web="1d6d1335-94f6-419c-8c3e-87666617b4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6d1335-94f6-419c-8c3e-87666617b423" xsi:nil="true"/>
    <lcf76f155ced4ddcb4097134ff3c332f xmlns="cc678dee-8343-4596-a7d7-6c0fd0f577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8A110B-C1A8-4254-A0BC-8B10DBDD1989}">
  <ds:schemaRefs/>
</ds:datastoreItem>
</file>

<file path=customXml/itemProps2.xml><?xml version="1.0" encoding="utf-8"?>
<ds:datastoreItem xmlns:ds="http://schemas.openxmlformats.org/officeDocument/2006/customXml" ds:itemID="{2B227B4A-17DB-4B3B-8BB9-52948C3F516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BCC23F4-8ADA-4541-8F8A-567345A69006}"/>
</file>

<file path=customXml/itemProps4.xml><?xml version="1.0" encoding="utf-8"?>
<ds:datastoreItem xmlns:ds="http://schemas.openxmlformats.org/officeDocument/2006/customXml" ds:itemID="{F58892F1-323E-4717-A046-94111930E1A9}"/>
</file>

<file path=customXml/itemProps5.xml><?xml version="1.0" encoding="utf-8"?>
<ds:datastoreItem xmlns:ds="http://schemas.openxmlformats.org/officeDocument/2006/customXml" ds:itemID="{C1D77475-870F-4412-A513-03CB277C4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23</vt:i4>
      </vt:variant>
    </vt:vector>
  </HeadingPairs>
  <TitlesOfParts>
    <vt:vector size="26" baseType="lpstr">
      <vt:lpstr>Foglio1</vt:lpstr>
      <vt:lpstr>SL</vt:lpstr>
      <vt:lpstr>Foglio2</vt:lpstr>
      <vt:lpstr>_pm110</vt:lpstr>
      <vt:lpstr>_pm1100</vt:lpstr>
      <vt:lpstr>_pm12</vt:lpstr>
      <vt:lpstr>_pm150</vt:lpstr>
      <vt:lpstr>_pm1500</vt:lpstr>
      <vt:lpstr>_pm18</vt:lpstr>
      <vt:lpstr>_pm1850</vt:lpstr>
      <vt:lpstr>_pm220</vt:lpstr>
      <vt:lpstr>_pm2200</vt:lpstr>
      <vt:lpstr>_pm25</vt:lpstr>
      <vt:lpstr>_pm300</vt:lpstr>
      <vt:lpstr>_pm3000</vt:lpstr>
      <vt:lpstr>_pm37</vt:lpstr>
      <vt:lpstr>_pm3700</vt:lpstr>
      <vt:lpstr>_pm400</vt:lpstr>
      <vt:lpstr>_pm4500</vt:lpstr>
      <vt:lpstr>_pm55</vt:lpstr>
      <vt:lpstr>_pm550</vt:lpstr>
      <vt:lpstr>_pm75</vt:lpstr>
      <vt:lpstr>_pm750</vt:lpstr>
      <vt:lpstr>_pm920</vt:lpstr>
      <vt:lpstr>SL!Area_stampa</vt:lpstr>
      <vt:lpstr>SL!Titoli_stampa</vt:lpstr>
    </vt:vector>
  </TitlesOfParts>
  <Company>*****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Giuseppe Barozzi</dc:creator>
  <cp:lastModifiedBy>Francesco Franzini</cp:lastModifiedBy>
  <cp:lastPrinted>2025-04-18T11:29:06Z</cp:lastPrinted>
  <dcterms:created xsi:type="dcterms:W3CDTF">1999-12-29T07:23:18Z</dcterms:created>
  <dcterms:modified xsi:type="dcterms:W3CDTF">2025-07-17T12:47:24Z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0x01010042E264E0906A36439D4506E515FA98B0</vt:lpwstr>
  </property>
</Properties>
</file>