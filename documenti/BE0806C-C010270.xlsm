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howInkAnnotation="0" codeName="Questa_cartella_di_lavoro"/>
  <mc:AlternateContent xmlns:mc="http://schemas.openxmlformats.org/markup-compatibility/2006">
    <mc:Choice Requires="x15">
      <x15ac:absPath xmlns:x15ac="http://schemas.microsoft.com/office/spreadsheetml/2010/11/ac" url="https://trasmeccr.sharepoint.com/sites/TechnicalDept/Shared Documents/Constructive drawings for production/IT0012025TRT00044-SOBONO ENERGY--Energy Plant-2025/BE0806C-C010270/"/>
    </mc:Choice>
  </mc:AlternateContent>
  <xr:revisionPtr revIDLastSave="34" documentId="13_ncr:1_{517900AD-6652-404E-8F4F-AB09541433A7}" xr6:coauthVersionLast="47" xr6:coauthVersionMax="47" xr10:uidLastSave="{5910E1EE-F374-40BF-BA84-FD53B9AFAFAA}"/>
  <bookViews>
    <workbookView xWindow="-120" yWindow="-120" windowWidth="29040" windowHeight="15720" firstSheet="1" activeTab="1" xr2:uid="{00000000-000D-0000-FFFF-FFFF00000000}"/>
  </bookViews>
  <sheets>
    <sheet name="Foglio1" sheetId="17" state="hidden" r:id="rId1"/>
    <sheet name="BOM Index" sheetId="9" r:id="rId2"/>
    <sheet name="Structured" sheetId="5" r:id="rId3"/>
    <sheet name="Parts only" sheetId="11" r:id="rId4"/>
    <sheet name="Label" sheetId="14" r:id="rId5"/>
    <sheet name="DIZIONARIO" sheetId="15" state="hidden" r:id="rId6"/>
    <sheet name="Q.tà totali-CT" sheetId="8" state="hidden" r:id="rId7"/>
    <sheet name="Dati" sheetId="2" state="hidden" r:id="rId8"/>
  </sheets>
  <functionGroups builtInGroupCount="19"/>
  <externalReferences>
    <externalReference r:id="rId9"/>
  </externalReferences>
  <definedNames>
    <definedName name="_xlnm._FilterDatabase" localSheetId="3" hidden="1">'Parts only'!$A$7:$K$156</definedName>
    <definedName name="_xlnm._FilterDatabase" localSheetId="2" hidden="1">Structured!$A$7:$L$195</definedName>
    <definedName name="alb_tab">#REF!</definedName>
    <definedName name="ang_disc">#REF!</definedName>
    <definedName name="anno">#REF!</definedName>
    <definedName name="_xlnm.Print_Area" localSheetId="1">'BOM Index'!$A:$I</definedName>
    <definedName name="ATEX_rating">Dati!$W$72:$Z$75</definedName>
    <definedName name="ATEX_tag">Dati!$AB$71:$AD$77</definedName>
    <definedName name="attacco_parti">Dati!$B$445:$F$451</definedName>
    <definedName name="attacco_tipo">Dati!$B$428:$M$439</definedName>
    <definedName name="br_11">Dati!$B$300:$L$308</definedName>
    <definedName name="br_15">Dati!$B$312:$L$321</definedName>
    <definedName name="br_19">Dati!$B$325:$L$329</definedName>
    <definedName name="br_21">Dati!$B$333:$L$338</definedName>
    <definedName name="br_25">Dati!$B$342:$L$347</definedName>
    <definedName name="br_30">Dati!$B$351:$L$357</definedName>
    <definedName name="br_35">Dati!$B$361:$L$368</definedName>
    <definedName name="br_40">Dati!$B$372:$L$379</definedName>
    <definedName name="br_pnz">Dati!$B$383:$L$390</definedName>
    <definedName name="bulloneria_sopp_A">Dati!$B$457:$H$468</definedName>
    <definedName name="bulloneria_sopp_B">Dati!$B$474:$H$485</definedName>
    <definedName name="calettatori_D">Dati!$Q$70:$Q$87</definedName>
    <definedName name="calettatori_dati">Dati!$Q$70:$R$87</definedName>
    <definedName name="casse_cod">Dati!$B$118:$E$144</definedName>
    <definedName name="casse_L">Dati!$B$118:$B$144</definedName>
    <definedName name="catena_tipo">#REF!</definedName>
    <definedName name="catena_trasm_dati">Dati!$B$69:$F$84</definedName>
    <definedName name="catena_trasm_passo">Dati!$B$69:$B$84</definedName>
    <definedName name="catena_trasm_potenza">Dati!$F$69:$G$80</definedName>
    <definedName name="cfg">#REF!</definedName>
    <definedName name="chk_mrid">#REF!</definedName>
    <definedName name="cliente">#REF!</definedName>
    <definedName name="Cmax">#REF!</definedName>
    <definedName name="cod_anno">Dati!$P$118:$Q$144</definedName>
    <definedName name="col_N">#REF!</definedName>
    <definedName name="col_nome">#REF!</definedName>
    <definedName name="comando_dati">Dati!$B$26:$T$37</definedName>
    <definedName name="comm">#REF!</definedName>
    <definedName name="comm_RO">#REF!</definedName>
    <definedName name="config">#REF!</definedName>
    <definedName name="curva_ang">Dati!$G$118:$G$134</definedName>
    <definedName name="D_alb_com">#REF!</definedName>
    <definedName name="D_alb_rnv">#REF!</definedName>
    <definedName name="D_max_spina">#REF!</definedName>
    <definedName name="data">#REF!</definedName>
    <definedName name="DatiEsterni_1" localSheetId="0" hidden="1">Foglio1!$A$1:$S$870</definedName>
    <definedName name="dimens">Dati!$B$8:$B$19</definedName>
    <definedName name="dis">#REF!</definedName>
    <definedName name="disp_col_N">#REF!</definedName>
    <definedName name="disp_dati">Dati!$B$280:$H$293</definedName>
    <definedName name="disp_reaz_tipo">#REF!</definedName>
    <definedName name="disp_tipi">Dati!$B$280:$B$293</definedName>
    <definedName name="disp_tranc">Dati!$X$44:$AC$48</definedName>
    <definedName name="disp_tranc_opt">Dati!$Y$44:$AC$48</definedName>
    <definedName name="EAC_tag">#REF!</definedName>
    <definedName name="Ex_tag">#REF!</definedName>
    <definedName name="flg_alb_spc">#REF!</definedName>
    <definedName name="flg_br">#REF!</definedName>
    <definedName name="flg_chad">#REF!</definedName>
    <definedName name="flg_cur_ang">#REF!</definedName>
    <definedName name="flg_cur_inf">#REF!</definedName>
    <definedName name="flg_cur_sup">#REF!</definedName>
    <definedName name="flg_gmot">#REF!</definedName>
    <definedName name="flg_mrid_forn">#REF!</definedName>
    <definedName name="flg_pul">#REF!</definedName>
    <definedName name="flg_RO">#REF!</definedName>
    <definedName name="forn">Dati!$E$61:$E$64</definedName>
    <definedName name="gr_dati">Dati!$M$69:$O$71</definedName>
    <definedName name="gr_tipi">Dati!$M$69:$M$71</definedName>
    <definedName name="hm_cat">#REF!</definedName>
    <definedName name="impianto">#REF!</definedName>
    <definedName name="KA_alb_col">Dati!$Z$152:$AB$162</definedName>
    <definedName name="KH_alb_col">Dati!$Z$186:$AB$196</definedName>
    <definedName name="L_int">#REF!</definedName>
    <definedName name="L_svil">#REF!</definedName>
    <definedName name="macchina">#REF!</definedName>
    <definedName name="macchina_cod">#REF!</definedName>
    <definedName name="macchina_dati">Dati!$B$8:$AN$19</definedName>
    <definedName name="macchina_tipo">#REF!</definedName>
    <definedName name="mat_cop">#REF!</definedName>
    <definedName name="mat_fianc">#REF!</definedName>
    <definedName name="mat_fondo">#REF!</definedName>
    <definedName name="mat_guida">#REF!</definedName>
    <definedName name="mat_trasp">Dati!$AW$8:$AW$18</definedName>
    <definedName name="mat_trasp_opt">Dati!$AW$8:$AY$18</definedName>
    <definedName name="matr">#REF!</definedName>
    <definedName name="molle">Dati!$B$257:$N$274</definedName>
    <definedName name="mot_opt">Dati!$B$61:$B$64</definedName>
    <definedName name="mot_opt_dati">Dati!$B$61:$C$64</definedName>
    <definedName name="mot_opt_scelta">#REF!</definedName>
    <definedName name="mrid">#REF!</definedName>
    <definedName name="mrid_dati">Dati!$BB$8:$BF$37</definedName>
    <definedName name="mrid_eq">Dati!$BB$30:$BF$37</definedName>
    <definedName name="mrid_ID">#REF!</definedName>
    <definedName name="mrid_inst">Dati!$B$399:$O$422</definedName>
    <definedName name="mrid_K_pos">Dati!$BI$8:$BI$16</definedName>
    <definedName name="mrid_KA_A">Dati!$B$152:$V$163</definedName>
    <definedName name="mrid_KA_B">Dati!$B$169:$V$180</definedName>
    <definedName name="mrid_KH_A">Dati!$B$186:$V$197</definedName>
    <definedName name="mrid_KH_B">Dati!$B$204:$V$215</definedName>
    <definedName name="mrid_lim">#REF!</definedName>
    <definedName name="mrid_mis">#REF!</definedName>
    <definedName name="mrid_qt">#REF!</definedName>
    <definedName name="mrid_R_A">Dati!$B$222:$V$233</definedName>
    <definedName name="mrid_R_B">Dati!$B$240:$V$251</definedName>
    <definedName name="mrid_R_pos">Dati!$BH$8:$BH$12</definedName>
    <definedName name="mrid_tipi">Dati!$BB$8:$BB$37</definedName>
    <definedName name="mrid_tipi_K">Dati!$BB$16:$BB$37</definedName>
    <definedName name="mrid_tipi_R">Dati!$BB$8:$BB$15</definedName>
    <definedName name="mrid_tipo">#REF!</definedName>
    <definedName name="n_rid">#REF!</definedName>
    <definedName name="nota_1">#REF!</definedName>
    <definedName name="nota_2">#REF!</definedName>
    <definedName name="nota_3">#REF!</definedName>
    <definedName name="nota_4">#REF!</definedName>
    <definedName name="nota_5">#REF!</definedName>
    <definedName name="ol_dati">Dati!$I$69:$K$73</definedName>
    <definedName name="ol_tipi">Dati!$I$69:$I$73</definedName>
    <definedName name="P_rid">#REF!</definedName>
    <definedName name="pannelli_bul">Dati!$V$83:$AD$86</definedName>
    <definedName name="pos">#REF!</definedName>
    <definedName name="potenza">Dati!$BK$8:$BK$31</definedName>
    <definedName name="pr_guida">#REF!</definedName>
    <definedName name="Qtot">'[1]Q.tà totali'!$B$2:$D$277</definedName>
    <definedName name="rev">#REF!</definedName>
    <definedName name="rinvio_dati">Dati!$B$44:$T$55</definedName>
    <definedName name="sns_br">Dati!$N$117:$N$123</definedName>
    <definedName name="sns_cr">Dati!$J$117:$J$129</definedName>
    <definedName name="sns_int">Dati!$L$117:$L$129</definedName>
    <definedName name="sopporti_dati">Dati!$B$93:$N$101</definedName>
    <definedName name="sopporti_rnv_dati">Dati!$B$108:$M$110</definedName>
    <definedName name="sopporti_tipi">Dati!$B$93:$B$101</definedName>
    <definedName name="sp_cop">#REF!</definedName>
    <definedName name="sp_fianc">#REF!</definedName>
    <definedName name="sp_fondo">#REF!</definedName>
    <definedName name="sp_guida">#REF!</definedName>
    <definedName name="spec_curva">Dati!$B$494:$F$497</definedName>
    <definedName name="std">#REF!</definedName>
    <definedName name="std_forn">Dati!$BN$8:$CY$21</definedName>
    <definedName name="str_forn">#REF!</definedName>
    <definedName name="tab_disp">#REF!</definedName>
    <definedName name="temp">#REF!</definedName>
    <definedName name="v_trasp">#REF!</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2" i="9" l="1"/>
  <c r="G15" i="9"/>
  <c r="A15" i="9" s="1"/>
  <c r="C15" i="9" l="1"/>
  <c r="F4" i="9" l="1"/>
  <c r="D4" i="9"/>
  <c r="I18" i="9"/>
  <c r="I15" i="9" l="1"/>
  <c r="B26" i="14"/>
  <c r="B24" i="14"/>
  <c r="B22" i="14"/>
  <c r="A9" i="14" l="1"/>
  <c r="O7" i="14"/>
  <c r="E9" i="14" l="1"/>
  <c r="G9" i="14" s="1"/>
  <c r="C26" i="14"/>
  <c r="D34" i="9" l="1"/>
  <c r="G4" i="14"/>
  <c r="H17" i="14"/>
  <c r="C22" i="14"/>
  <c r="Q21" i="9" l="1"/>
  <c r="E34" i="9" s="1"/>
  <c r="Q22" i="9"/>
  <c r="Q23" i="9"/>
  <c r="Q24" i="9"/>
  <c r="Q25" i="9"/>
  <c r="Q26" i="9"/>
  <c r="Q27" i="9"/>
  <c r="Q28" i="9"/>
  <c r="Q29" i="9"/>
  <c r="Q30" i="9"/>
  <c r="F34" i="9"/>
  <c r="C34" i="9"/>
  <c r="F2" i="14" s="1"/>
  <c r="A34" i="9"/>
  <c r="F2" i="5" l="1"/>
  <c r="G2" i="14"/>
  <c r="D2" i="5"/>
  <c r="E2" i="14"/>
  <c r="D2" i="11"/>
  <c r="E2" i="5"/>
  <c r="C24" i="14"/>
  <c r="F2" i="11"/>
  <c r="F4" i="11"/>
  <c r="E2" i="11"/>
  <c r="G2" i="11"/>
  <c r="F4" i="5"/>
  <c r="G2" i="5" l="1"/>
  <c r="D18" i="9"/>
  <c r="D17"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Gabriele Mariani</author>
  </authors>
  <commentList>
    <comment ref="K18" authorId="0" shapeId="0" xr:uid="{657BC296-63D8-4ED0-8C0C-97FE7FDAA6D4}">
      <text>
        <r>
          <rPr>
            <b/>
            <sz val="9"/>
            <color indexed="81"/>
            <rFont val="Tahoma"/>
            <family val="2"/>
          </rPr>
          <t>Gabriele Mariani:</t>
        </r>
        <r>
          <rPr>
            <sz val="9"/>
            <color indexed="81"/>
            <rFont val="Tahoma"/>
            <family val="2"/>
          </rPr>
          <t xml:space="preserve">
NO= Default option
YES=only in case gearmotors are CUSTOMER SUPPLY</t>
        </r>
      </text>
    </comment>
    <comment ref="K20" authorId="0" shapeId="0" xr:uid="{FA9F17E6-51DF-49C2-B593-51DDA94811B1}">
      <text>
        <r>
          <rPr>
            <b/>
            <sz val="9"/>
            <color indexed="81"/>
            <rFont val="Tahoma"/>
            <family val="2"/>
          </rPr>
          <t>Gabriele Mariani:</t>
        </r>
        <r>
          <rPr>
            <sz val="9"/>
            <color indexed="81"/>
            <rFont val="Tahoma"/>
            <family val="2"/>
          </rPr>
          <t xml:space="preserve">
NO= Default option
YES=only in case sensors are CUSTOMER SUPPLY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Luca D'Alise</author>
  </authors>
  <commentList>
    <comment ref="J1" authorId="0" shapeId="0" xr:uid="{1A922AA0-6865-4E7E-B3AE-283D112A3156}">
      <text>
        <r>
          <rPr>
            <b/>
            <sz val="9"/>
            <color indexed="81"/>
            <rFont val="Tahoma"/>
            <family val="2"/>
          </rPr>
          <t>Luca D'Alise:</t>
        </r>
        <r>
          <rPr>
            <sz val="9"/>
            <color indexed="81"/>
            <rFont val="Tahoma"/>
            <family val="2"/>
          </rPr>
          <t xml:space="preserve">
UPDATE DATA
If you change cells J or L or both, press the button to then apply the same changes to the Parts Only sheet as well, so that you do not have to re-enter the data manually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Ing. Giuseppe Barozzi</author>
  </authors>
  <commentList>
    <comment ref="B495" authorId="0" shapeId="0" xr:uid="{00000000-0006-0000-0200-000001000000}">
      <text>
        <r>
          <rPr>
            <b/>
            <sz val="9"/>
            <color indexed="81"/>
            <rFont val="Tahoma"/>
            <family val="2"/>
          </rPr>
          <t>HP</t>
        </r>
      </text>
    </comment>
    <comment ref="B496" authorId="0" shapeId="0" xr:uid="{00000000-0006-0000-0200-000002000000}">
      <text>
        <r>
          <rPr>
            <b/>
            <sz val="9"/>
            <color indexed="81"/>
            <rFont val="Tahoma"/>
            <family val="2"/>
          </rPr>
          <t>PNZ</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A787AB-29B9-4805-A791-4DF6EBCB93E6}" keepAlive="1" name="Query - Foglio1" description="Connessione alla query 'Foglio1' nella cartella di lavoro." type="5" refreshedVersion="8" background="1" refreshOnLoad="1" saveData="1">
    <dbPr connection="Provider=Microsoft.Mashup.OleDb.1;Data Source=$Workbook$;Location=Foglio1;Extended Properties=&quot;&quot;" command="SELECT * FROM [Foglio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<sst xmlns="http://schemas.openxmlformats.org/spreadsheetml/2006/main" count="12743" uniqueCount="4593">
  <si>
    <t>macchina</t>
  </si>
  <si>
    <t>rev.</t>
  </si>
  <si>
    <t>-</t>
  </si>
  <si>
    <t>tipo</t>
  </si>
  <si>
    <t>A</t>
  </si>
  <si>
    <t>B</t>
  </si>
  <si>
    <t>C</t>
  </si>
  <si>
    <t>D</t>
  </si>
  <si>
    <t>E</t>
  </si>
  <si>
    <t>F</t>
  </si>
  <si>
    <t>NO</t>
  </si>
  <si>
    <t>11N</t>
  </si>
  <si>
    <t>15N</t>
  </si>
  <si>
    <t>19N</t>
  </si>
  <si>
    <t>21N</t>
  </si>
  <si>
    <t>21HP</t>
  </si>
  <si>
    <t>25HP</t>
  </si>
  <si>
    <t>30HP</t>
  </si>
  <si>
    <t>35HP</t>
  </si>
  <si>
    <t>40HP</t>
  </si>
  <si>
    <t>40PNZ</t>
  </si>
  <si>
    <t>50PNZ</t>
  </si>
  <si>
    <t>Materiale trasp.</t>
  </si>
  <si>
    <t>TRUCIOLO SECCO</t>
  </si>
  <si>
    <t>TRUCIOLO VERDE</t>
  </si>
  <si>
    <t>TRUCIOLO RESINATO</t>
  </si>
  <si>
    <t>CHIPS RICICLATO</t>
  </si>
  <si>
    <t>SEGATURA</t>
  </si>
  <si>
    <t>FIBRA</t>
  </si>
  <si>
    <t>OSB</t>
  </si>
  <si>
    <t>CENERE</t>
  </si>
  <si>
    <t>POLVERE</t>
  </si>
  <si>
    <t>SCARTI</t>
  </si>
  <si>
    <t>Motoriduttori</t>
  </si>
  <si>
    <t>albero</t>
  </si>
  <si>
    <t>R77</t>
  </si>
  <si>
    <t>40 k6</t>
  </si>
  <si>
    <t>R87</t>
  </si>
  <si>
    <t>50 k6</t>
  </si>
  <si>
    <t>R97</t>
  </si>
  <si>
    <t>60 m6</t>
  </si>
  <si>
    <t>R107</t>
  </si>
  <si>
    <t>70 m6</t>
  </si>
  <si>
    <t>R137</t>
  </si>
  <si>
    <t>90 m6</t>
  </si>
  <si>
    <t>R147</t>
  </si>
  <si>
    <t>110 m6</t>
  </si>
  <si>
    <t>R167</t>
  </si>
  <si>
    <t>120 m6</t>
  </si>
  <si>
    <t>KA77</t>
  </si>
  <si>
    <t>KA87</t>
  </si>
  <si>
    <t>KA97</t>
  </si>
  <si>
    <t>KA107</t>
  </si>
  <si>
    <t>KA127</t>
  </si>
  <si>
    <t>KA157</t>
  </si>
  <si>
    <t>Posizioni KA</t>
  </si>
  <si>
    <t>M1-0°</t>
  </si>
  <si>
    <t>M1A-0°</t>
  </si>
  <si>
    <t>M1-90°</t>
  </si>
  <si>
    <t>M1B-0°</t>
  </si>
  <si>
    <t>M1-180°</t>
  </si>
  <si>
    <t>M1A-90°</t>
  </si>
  <si>
    <t>M1-270°</t>
  </si>
  <si>
    <t>M1B-90°</t>
  </si>
  <si>
    <t>M1A-180°</t>
  </si>
  <si>
    <t>M1B-180°</t>
  </si>
  <si>
    <t>M1A-270°</t>
  </si>
  <si>
    <t>M1B-270°</t>
  </si>
  <si>
    <t>Posizioni R</t>
  </si>
  <si>
    <t>materiale</t>
  </si>
  <si>
    <t>mozzo pignone</t>
  </si>
  <si>
    <t>40 H8</t>
  </si>
  <si>
    <t>50 H8</t>
  </si>
  <si>
    <t>60 H8</t>
  </si>
  <si>
    <t>70 H8</t>
  </si>
  <si>
    <t>90 H8</t>
  </si>
  <si>
    <t>110 H8</t>
  </si>
  <si>
    <t>120 H8</t>
  </si>
  <si>
    <t>G</t>
  </si>
  <si>
    <t>ID</t>
  </si>
  <si>
    <t>pignone</t>
  </si>
  <si>
    <t>KH77</t>
  </si>
  <si>
    <t>KH87</t>
  </si>
  <si>
    <t>KH97</t>
  </si>
  <si>
    <t>KH107</t>
  </si>
  <si>
    <t>KH127</t>
  </si>
  <si>
    <t>KH157</t>
  </si>
  <si>
    <t>Egger</t>
  </si>
  <si>
    <t>fiancate</t>
  </si>
  <si>
    <t>fondo</t>
  </si>
  <si>
    <t>coperchi</t>
  </si>
  <si>
    <t>60x12</t>
  </si>
  <si>
    <t>70x20</t>
  </si>
  <si>
    <t>50x20</t>
  </si>
  <si>
    <t>60x20</t>
  </si>
  <si>
    <t>Potenza</t>
  </si>
  <si>
    <t>SI</t>
  </si>
  <si>
    <t>Altro&gt;&gt;</t>
  </si>
  <si>
    <t>pulitore catena</t>
  </si>
  <si>
    <t>mat_trasp</t>
  </si>
  <si>
    <t>mat_trasp_opt</t>
  </si>
  <si>
    <t>mrid_dati</t>
  </si>
  <si>
    <t>mrid_tipi</t>
  </si>
  <si>
    <t>mrid_R_pos</t>
  </si>
  <si>
    <t>mrid_K_pos</t>
  </si>
  <si>
    <t>potenza</t>
  </si>
  <si>
    <t>guide</t>
  </si>
  <si>
    <t>S235</t>
  </si>
  <si>
    <t>X120Mn12</t>
  </si>
  <si>
    <t>50x10</t>
  </si>
  <si>
    <t>AISI 304</t>
  </si>
  <si>
    <t>E01 - Trasmec Standard</t>
  </si>
  <si>
    <t>E02 - Trasmec coperchi inox</t>
  </si>
  <si>
    <t>E03 - Egger</t>
  </si>
  <si>
    <t>E04 - Borg</t>
  </si>
  <si>
    <t>Hardox 450</t>
  </si>
  <si>
    <t>E05 - Kronospan materiale abrasivo</t>
  </si>
  <si>
    <t>E06 - Kronospan materiale non abrasivo</t>
  </si>
  <si>
    <t>E07 - Rursus</t>
  </si>
  <si>
    <t>E08 - Norbord</t>
  </si>
  <si>
    <t>50x19</t>
  </si>
  <si>
    <t>70x19</t>
  </si>
  <si>
    <t>stringa</t>
  </si>
  <si>
    <t>Trasmec Standard</t>
  </si>
  <si>
    <t>Trasmec coperchi inox</t>
  </si>
  <si>
    <t>Borg</t>
  </si>
  <si>
    <t>Kronospan materiale abrasivo</t>
  </si>
  <si>
    <t>Kronospan materiale non abrasivo</t>
  </si>
  <si>
    <t>Rursus</t>
  </si>
  <si>
    <t>Norbord</t>
  </si>
  <si>
    <t>*** NON MODIFICARE - Le modifiche in questa sezione sono ad esclusivo rischio dell'ultilizzatore ***</t>
  </si>
  <si>
    <t>Armour-X</t>
  </si>
  <si>
    <t>bavetta</t>
  </si>
  <si>
    <t>KAS129</t>
  </si>
  <si>
    <t>KAS149</t>
  </si>
  <si>
    <t>KAS169</t>
  </si>
  <si>
    <t>KAS189</t>
  </si>
  <si>
    <t>mrid equiv.</t>
  </si>
  <si>
    <t>mrid_eq</t>
  </si>
  <si>
    <t>Fantoni</t>
  </si>
  <si>
    <t>E09 - FAntoni</t>
  </si>
  <si>
    <t>EverHard</t>
  </si>
  <si>
    <t>KAZS129</t>
  </si>
  <si>
    <t>KAZS149</t>
  </si>
  <si>
    <t>Item</t>
  </si>
  <si>
    <t>Part Number</t>
  </si>
  <si>
    <t>DESCRIPTION EN</t>
  </si>
  <si>
    <t>Description</t>
  </si>
  <si>
    <t>QTY</t>
  </si>
  <si>
    <t>Mass</t>
  </si>
  <si>
    <t>REV</t>
  </si>
  <si>
    <t>1</t>
  </si>
  <si>
    <t/>
  </si>
  <si>
    <t>Self locking nut Zinc 8.8 DIN 982</t>
  </si>
  <si>
    <t>Dado ATB basso Zinc 8.8 DIN 982</t>
  </si>
  <si>
    <t>I7089-12x24-Z8</t>
  </si>
  <si>
    <t>Washer M12 Zinc 8.8 ISO 7089</t>
  </si>
  <si>
    <t>Rondella M12 Zinc 8.8 ISO 7089</t>
  </si>
  <si>
    <t>Piatto inferiore</t>
  </si>
  <si>
    <t>Vite a testa esagonale</t>
  </si>
  <si>
    <t>2</t>
  </si>
  <si>
    <t>3</t>
  </si>
  <si>
    <t>D982-12x16,63-Z8</t>
  </si>
  <si>
    <t>4</t>
  </si>
  <si>
    <t>6</t>
  </si>
  <si>
    <t>8</t>
  </si>
  <si>
    <t>10</t>
  </si>
  <si>
    <t>11</t>
  </si>
  <si>
    <t>22</t>
  </si>
  <si>
    <t>9</t>
  </si>
  <si>
    <t>23</t>
  </si>
  <si>
    <t>24</t>
  </si>
  <si>
    <t>25</t>
  </si>
  <si>
    <t>26</t>
  </si>
  <si>
    <t>CT0362</t>
  </si>
  <si>
    <t>Containment plate</t>
  </si>
  <si>
    <t>Piatto di contenimento</t>
  </si>
  <si>
    <t>CT1120</t>
  </si>
  <si>
    <t>Tapparella</t>
  </si>
  <si>
    <t>CT1113</t>
  </si>
  <si>
    <t>Intermediate plate</t>
  </si>
  <si>
    <t>Piatto intermedio</t>
  </si>
  <si>
    <t>CT1115</t>
  </si>
  <si>
    <t>Bottom plate</t>
  </si>
  <si>
    <t>UNI 5738 - M12 x 1,25 x 45</t>
  </si>
  <si>
    <t>GU1001</t>
  </si>
  <si>
    <t>CT1116</t>
  </si>
  <si>
    <t>Reinforcement sheet</t>
  </si>
  <si>
    <t>Lamiera di rinforzo</t>
  </si>
  <si>
    <t>I8677-M12x80-Z8</t>
  </si>
  <si>
    <t>MHSN bolt M12x80 Zinc 8.8 ISO 8677</t>
  </si>
  <si>
    <t>Vite TTQST M12x80 Zinc 8.8 ISO 8677</t>
  </si>
  <si>
    <t>D980-12x1,25-Z8</t>
  </si>
  <si>
    <t>Conelock nut Zinc 8.8 DIN 980</t>
  </si>
  <si>
    <t>Dado Conelock Zinc 8.8 DIN 980</t>
  </si>
  <si>
    <t>CT1119</t>
  </si>
  <si>
    <t>Roller shutter</t>
  </si>
  <si>
    <t>CT1117</t>
  </si>
  <si>
    <t>Transport plate</t>
  </si>
  <si>
    <t>Piatto di trasporto</t>
  </si>
  <si>
    <t>DV14165</t>
  </si>
  <si>
    <t>Piatto al manganese</t>
  </si>
  <si>
    <t>Joint rubber 8x50x2885</t>
  </si>
  <si>
    <t>Gomma di giunzione 8x50x2885</t>
  </si>
  <si>
    <t>General data</t>
  </si>
  <si>
    <t>Sales</t>
  </si>
  <si>
    <t>Drawing Nr.</t>
  </si>
  <si>
    <t>Size &amp; type</t>
  </si>
  <si>
    <t>Conveyor category</t>
  </si>
  <si>
    <t>Date released</t>
  </si>
  <si>
    <t>Customer</t>
  </si>
  <si>
    <t>Plant</t>
  </si>
  <si>
    <t>Layout position</t>
  </si>
  <si>
    <t>Manufacturing Y.</t>
  </si>
  <si>
    <t>date</t>
  </si>
  <si>
    <t>Reviews</t>
  </si>
  <si>
    <t>Job nr.</t>
  </si>
  <si>
    <t>Plate nr.</t>
  </si>
  <si>
    <t>Page</t>
  </si>
  <si>
    <t>Document name</t>
  </si>
  <si>
    <t>rev. description</t>
  </si>
  <si>
    <t>author</t>
  </si>
  <si>
    <t>ATEX
configuration</t>
  </si>
  <si>
    <t>STD</t>
  </si>
  <si>
    <t>BOM index</t>
  </si>
  <si>
    <t>BOM structured</t>
  </si>
  <si>
    <t>BOM parts only</t>
  </si>
  <si>
    <t>Thumbnail</t>
  </si>
  <si>
    <t>marcatura</t>
  </si>
  <si>
    <t>ATEX</t>
  </si>
  <si>
    <t>Talloncino ATEX</t>
  </si>
  <si>
    <t>ATEX_rating</t>
  </si>
  <si>
    <t>ATEX_tag</t>
  </si>
  <si>
    <t>interna</t>
  </si>
  <si>
    <t>II 3/- D Ex h IIIC T135°C Dc/-</t>
  </si>
  <si>
    <t>II 3/3 D Ex h IIIC T135°C Dc/Dc</t>
  </si>
  <si>
    <t>II 2/- D Ex h IIIC T135°C Db/-</t>
  </si>
  <si>
    <t>II 2/3 D Ex h IIIC T135°C Db/Dc</t>
  </si>
  <si>
    <t>Messa a terra</t>
  </si>
  <si>
    <t>Predisporre la macchina con punti di messa a terra</t>
  </si>
  <si>
    <t>Order confirmation Nr.</t>
  </si>
  <si>
    <t>MOTOR LIST --&gt;</t>
  </si>
  <si>
    <t>SENSOR LIST --&gt;</t>
  </si>
  <si>
    <t>YES</t>
  </si>
  <si>
    <t>ML customer?</t>
  </si>
  <si>
    <t>SL customer?</t>
  </si>
  <si>
    <t>Spare part</t>
  </si>
  <si>
    <t>1 of 4</t>
  </si>
  <si>
    <t>2 of 4</t>
  </si>
  <si>
    <t>3 of 4</t>
  </si>
  <si>
    <t>4 of 4</t>
  </si>
  <si>
    <t>Label</t>
  </si>
  <si>
    <t>Section to be filled from technical dept.</t>
  </si>
  <si>
    <t>marking</t>
  </si>
  <si>
    <t>atex internal</t>
  </si>
  <si>
    <t>atex external</t>
  </si>
  <si>
    <t>Limit temp. (°C)</t>
  </si>
  <si>
    <t>ATEX sring</t>
  </si>
  <si>
    <t>EAC marking</t>
  </si>
  <si>
    <t>Machine label layout</t>
  </si>
  <si>
    <t>22-200</t>
  </si>
  <si>
    <t>21-200</t>
  </si>
  <si>
    <t>II 3/- D Ex h IIIC T200°C Dc/-</t>
  </si>
  <si>
    <t>II 2/- D Ex h IIIC T200°C Db/-</t>
  </si>
  <si>
    <t>II 3/3 D Ex h IIIC T200°C Dc/Dc</t>
  </si>
  <si>
    <t>II 2/3 D Ex h IIIC T200°C Db/Dc</t>
  </si>
  <si>
    <t>H</t>
  </si>
  <si>
    <t>22-135</t>
  </si>
  <si>
    <t>21-135</t>
  </si>
  <si>
    <t>Object type</t>
  </si>
  <si>
    <t>Thk</t>
  </si>
  <si>
    <t>Language</t>
  </si>
  <si>
    <t>MACHINE TYPE</t>
  </si>
  <si>
    <t>SERIAL NUMBER</t>
  </si>
  <si>
    <t>MASCHINE TYP</t>
  </si>
  <si>
    <t>SERIEN NR</t>
  </si>
  <si>
    <t>BAU JAHR</t>
  </si>
  <si>
    <t>MATRICULE N°</t>
  </si>
  <si>
    <t>SİCİL NO</t>
  </si>
  <si>
    <t>İMALAT YILI</t>
  </si>
  <si>
    <t>KOD MASZYNY</t>
  </si>
  <si>
    <t>NR SERY JNY</t>
  </si>
  <si>
    <t>ROK PRODUKCJI</t>
  </si>
  <si>
    <t>AÑO FABR.</t>
  </si>
  <si>
    <t>MÁQUINA TIPO</t>
  </si>
  <si>
    <t>N° DE SERIE</t>
  </si>
  <si>
    <t>NÚMERO DE SÉRIE</t>
  </si>
  <si>
    <t>CÓDIGO DA MÁQUINA</t>
  </si>
  <si>
    <t>MACCHINA TIPO</t>
  </si>
  <si>
    <t>MATRICOLA N°</t>
  </si>
  <si>
    <t>ANNO FABBR.</t>
  </si>
  <si>
    <t>ANO DE PRODUÇÃO</t>
  </si>
  <si>
    <t>TRASMEC s.r.l</t>
  </si>
  <si>
    <t>+39 0374 364011</t>
  </si>
  <si>
    <t>www.trasmec.com</t>
  </si>
  <si>
    <t>Casalbuttano (Cremona)</t>
  </si>
  <si>
    <t>Via Bergamo, 2/A - ITALY</t>
  </si>
  <si>
    <r>
      <t xml:space="preserve">www.my.trasmec.com
</t>
    </r>
    <r>
      <rPr>
        <b/>
        <u/>
        <sz val="8"/>
        <rFont val="Tahoma"/>
        <family val="2"/>
      </rPr>
      <t>SERVICE &amp; SPARES
DIRECT CONTACT</t>
    </r>
  </si>
  <si>
    <t>Label Language</t>
  </si>
  <si>
    <t>ANNÉ DE FABRICATION</t>
  </si>
  <si>
    <t>MAKİNE TİPİ</t>
  </si>
  <si>
    <t>MANUFACTURING YEAR</t>
  </si>
  <si>
    <t>Grease type</t>
  </si>
  <si>
    <t>Tamlith Grease 2 EP</t>
  </si>
  <si>
    <t>SKF LGHP 2</t>
  </si>
  <si>
    <t>type</t>
  </si>
  <si>
    <t>drawings</t>
  </si>
  <si>
    <t>LU1001</t>
  </si>
  <si>
    <t>LU1002</t>
  </si>
  <si>
    <t>datasheet</t>
  </si>
  <si>
    <t>INTERNAL ORDER CONF NR</t>
  </si>
  <si>
    <t>CUSTOMER</t>
  </si>
  <si>
    <t>FINAL CUSTOMER</t>
  </si>
  <si>
    <t>PLANT</t>
  </si>
  <si>
    <t>DESCRIPTION</t>
  </si>
  <si>
    <t>Location</t>
  </si>
  <si>
    <t>Vendor</t>
  </si>
  <si>
    <t>YEAR</t>
  </si>
  <si>
    <t>Project Engineer</t>
  </si>
  <si>
    <t>DELIVERY</t>
  </si>
  <si>
    <t>REMARKS</t>
  </si>
  <si>
    <t>MOTOR &amp; SENSOR LIST DELIVERED TO PURCHASE DEPT.
AND TO CUSTOMER</t>
  </si>
  <si>
    <t>PROJECT STATUS</t>
  </si>
  <si>
    <t>FOLDER NAME</t>
  </si>
  <si>
    <t>AT063</t>
  </si>
  <si>
    <t>link</t>
  </si>
  <si>
    <t>DIEFFENBACHER</t>
  </si>
  <si>
    <t>ARAUCO</t>
  </si>
  <si>
    <t>GRAYLING MDP</t>
  </si>
  <si>
    <t>USA</t>
  </si>
  <si>
    <t>Brugnoli</t>
  </si>
  <si>
    <t>Completato</t>
  </si>
  <si>
    <t>700-DIEFFENBACHER-ARAUCO-GRAYLING MDP-2016</t>
  </si>
  <si>
    <t>AS826</t>
  </si>
  <si>
    <t>AS822</t>
  </si>
  <si>
    <t>AS857</t>
  </si>
  <si>
    <t>NOT REQUIRED</t>
  </si>
  <si>
    <t>AT292</t>
  </si>
  <si>
    <t>AS202</t>
  </si>
  <si>
    <t>BIPAN S.P.A</t>
  </si>
  <si>
    <t>NEW SILO FIBRA</t>
  </si>
  <si>
    <t>ITALY</t>
  </si>
  <si>
    <t xml:space="preserve"> - </t>
  </si>
  <si>
    <t>701-BIPAN S.P.A--NEW SILO FIBRA-2016</t>
  </si>
  <si>
    <t>AS132</t>
  </si>
  <si>
    <t>IMAL</t>
  </si>
  <si>
    <t>RURSUS</t>
  </si>
  <si>
    <t>BELGIUM</t>
  </si>
  <si>
    <t>702-IMAL--RURSUS-2016</t>
  </si>
  <si>
    <t>AS185</t>
  </si>
  <si>
    <t>PG BISON</t>
  </si>
  <si>
    <t>SUD AFRICA</t>
  </si>
  <si>
    <t>703-IMAL--PG BISON-2016</t>
  </si>
  <si>
    <t>AS184</t>
  </si>
  <si>
    <t>NEW PB PLANT</t>
  </si>
  <si>
    <t>704-PG BISON-PG BISON-NEW PB PLANT-2016</t>
  </si>
  <si>
    <t>AS197</t>
  </si>
  <si>
    <t>DELHEZ BOIS</t>
  </si>
  <si>
    <t>IN-OUT NEW DRIER</t>
  </si>
  <si>
    <t>705-DELHEZ BOIS--IN-OUT NEW DRIER-2016</t>
  </si>
  <si>
    <t>AS196</t>
  </si>
  <si>
    <t>TECHNIC ONE</t>
  </si>
  <si>
    <t>NEW DRIER INFEED</t>
  </si>
  <si>
    <t>706-TECHNIC ONE-DELHEZ BOIS-NEW DRIER INFEED-2016</t>
  </si>
  <si>
    <t>AS253</t>
  </si>
  <si>
    <t>SONAE</t>
  </si>
  <si>
    <t>OLIVEIRA DO HOSPITAL</t>
  </si>
  <si>
    <t>OUTFEED FALCON MILLS</t>
  </si>
  <si>
    <t>PORTUGAL</t>
  </si>
  <si>
    <t>707-SONAE--OLIVEIRA DO HOSPITAL-OUTFEED FALCON MILLS-2016</t>
  </si>
  <si>
    <t>AS370-AS371</t>
  </si>
  <si>
    <t>SIA CONTIPLUS</t>
  </si>
  <si>
    <t>KRONOSPAN</t>
  </si>
  <si>
    <t>BURGOS-VARIOUS</t>
  </si>
  <si>
    <t>SPAIN</t>
  </si>
  <si>
    <t>708-SIA CONTIPLUS-KRONOSPAN-BURGOS-VARIOUS-2016</t>
  </si>
  <si>
    <t>AS195</t>
  </si>
  <si>
    <t>INSTALMEC</t>
  </si>
  <si>
    <t>BURGOS-NEW DRIER</t>
  </si>
  <si>
    <t>PER IMPIANTO VEDI FALDONE NR.698</t>
  </si>
  <si>
    <t>709-INSTALMEC-KRONOSPAN-BURGOS-NEW DRIER-2016</t>
  </si>
  <si>
    <t>AS310</t>
  </si>
  <si>
    <t xml:space="preserve">GREENPLY </t>
  </si>
  <si>
    <t>NEW MDF PLANT 2</t>
  </si>
  <si>
    <t>INDIA</t>
  </si>
  <si>
    <t>710-DIEFFENBACHER-GREENPLY -NEW MDF PLANT 2-2016</t>
  </si>
  <si>
    <t>AS302</t>
  </si>
  <si>
    <t>SZCZECINEK-NEW TB800</t>
  </si>
  <si>
    <t>POLAND</t>
  </si>
  <si>
    <t>711-KRONOSPAN--SZCZECINEK-NEW TB800-2016</t>
  </si>
  <si>
    <t>AS339</t>
  </si>
  <si>
    <t>GROUP FRANCOIS BELGIUM</t>
  </si>
  <si>
    <t>VARIOUS</t>
  </si>
  <si>
    <t>712-IMAL--GROUP FRANCOIS BELGIUM-VARIOUS-2016</t>
  </si>
  <si>
    <t>AS213</t>
  </si>
  <si>
    <t>GRUPPO MAURO SAVIOLA</t>
  </si>
  <si>
    <t>SIA VIADANA</t>
  </si>
  <si>
    <t>713-GRUPPO MAURO SAVIOLA--SIA VIADANA-VARIOUS-2016</t>
  </si>
  <si>
    <t>AS348</t>
  </si>
  <si>
    <t>SWISS KRONO</t>
  </si>
  <si>
    <t>SWITZERLAND</t>
  </si>
  <si>
    <t>AT062, AT202</t>
  </si>
  <si>
    <t>714-DIEFFENBACHER-KRONOSPAN-SWISS KRONO-2016</t>
  </si>
  <si>
    <t>AS373</t>
  </si>
  <si>
    <t>TRASMEC CHINA</t>
  </si>
  <si>
    <t>BORG</t>
  </si>
  <si>
    <t>NEW BELT CONVEYORS</t>
  </si>
  <si>
    <t>AUSTRALIA</t>
  </si>
  <si>
    <t>Longari</t>
  </si>
  <si>
    <t>715-TRASMEC CHINA-BORG-NEW BELT CONVEYORS-2016</t>
  </si>
  <si>
    <t>PANEL PLUS MDF II</t>
  </si>
  <si>
    <t>THAILAND</t>
  </si>
  <si>
    <t>DIRETTO TRASMEC CHINA</t>
  </si>
  <si>
    <t>716-TRASMEC CHINA-DIEFFENBACHER-PANEL PLUS MDF II-2016</t>
  </si>
  <si>
    <t>AS567</t>
  </si>
  <si>
    <t>PAL</t>
  </si>
  <si>
    <t>VARIOUS SCREWS - AUSTRALIA 1</t>
  </si>
  <si>
    <t>717-PAL-BORG-NEW PB PLANT-VARIOUS SCREWS - AUSTRALIA 1-2016</t>
  </si>
  <si>
    <t>AS358 parte A</t>
  </si>
  <si>
    <t>718-BORG--NEW PB PLANT-2016</t>
  </si>
  <si>
    <t>AS358 parte B</t>
  </si>
  <si>
    <t>AT675</t>
  </si>
  <si>
    <t>AS665</t>
  </si>
  <si>
    <t>PANEL PLUS</t>
  </si>
  <si>
    <t>NEW MDF 2 PLANT PROJECT</t>
  </si>
  <si>
    <t xml:space="preserve">   </t>
  </si>
  <si>
    <t>Altro ordine AT006</t>
  </si>
  <si>
    <t>719-PANEL PLUS-PANEL PLUS-NEW MDF 2 PLANT PROJECT-2016</t>
  </si>
  <si>
    <t>AS650</t>
  </si>
  <si>
    <t>NORBORD</t>
  </si>
  <si>
    <t>INVERNESS OSB</t>
  </si>
  <si>
    <t>SCOTLAND</t>
  </si>
  <si>
    <t>720-DIEFFENBACHER-NORBORD-INVERNESS OSB-2016</t>
  </si>
  <si>
    <t>SWIVEL SCREWS</t>
  </si>
  <si>
    <t>721-DIEFFENBACHER-NORBORD-INVERNESS OSB-SWIVEL SCREWS-2016</t>
  </si>
  <si>
    <t>CHIRK</t>
  </si>
  <si>
    <t>ENGLAND</t>
  </si>
  <si>
    <t>Morto</t>
  </si>
  <si>
    <t>722-INSTALMEC-KRONOSPAN-CHIRK--2016</t>
  </si>
  <si>
    <t>FALCO-NEW DRIER</t>
  </si>
  <si>
    <t>HUNGARY</t>
  </si>
  <si>
    <t>723-KRONOSPAN-KRONOSPAN-FALCO-NEW DRIER--2016</t>
  </si>
  <si>
    <t>AS771</t>
  </si>
  <si>
    <t>Franzini</t>
  </si>
  <si>
    <t>14/04/2017;31/03/2017</t>
  </si>
  <si>
    <t>Altro ordine: AT040; AT116</t>
  </si>
  <si>
    <t>724-IMAL-NORBORD-INVERNESS OSB--2016</t>
  </si>
  <si>
    <t>AT583</t>
  </si>
  <si>
    <t>SANEM OSB</t>
  </si>
  <si>
    <t>LUXENBOURG</t>
  </si>
  <si>
    <t>Franzini/Brugnoli</t>
  </si>
  <si>
    <t>725-IMAL-KRONOSPAN-SANEM OSB--2016</t>
  </si>
  <si>
    <t>PB PLANT - STEP 2</t>
  </si>
  <si>
    <t>726-IMAL-PG BISON-PB PLANT - STEP 2--2016</t>
  </si>
  <si>
    <t>AS747</t>
  </si>
  <si>
    <t>727-BIPAN S.P.A--BIPAN S.P.A--2016</t>
  </si>
  <si>
    <t>AS725</t>
  </si>
  <si>
    <t>SALAS</t>
  </si>
  <si>
    <t>Fragale</t>
  </si>
  <si>
    <t>728-KRONOSPAN--SALAS--2016</t>
  </si>
  <si>
    <t>AS767</t>
  </si>
  <si>
    <t>PLACAS BRASIL</t>
  </si>
  <si>
    <t>BRASIL</t>
  </si>
  <si>
    <t>729-DIEFFENBACHER--PLACAS BRASIL--2016</t>
  </si>
  <si>
    <t>AS763</t>
  </si>
  <si>
    <t>MDF 1 -CONVEYORS</t>
  </si>
  <si>
    <t>730-PANEL PLUS-PANEL PLUS-MDF 1 -CONVEYORS-2016</t>
  </si>
  <si>
    <t>AS569</t>
  </si>
  <si>
    <t>AUSTRALIA 2</t>
  </si>
  <si>
    <t>731-PAL-BORG-NEW PB PLANT-2016</t>
  </si>
  <si>
    <t>AS788</t>
  </si>
  <si>
    <t>FANTONI</t>
  </si>
  <si>
    <t>ALIMENTAZ NUOVA CALDAIA</t>
  </si>
  <si>
    <t>732-FANTONI--ALIMENTAZ NUOVA CALDAIA-2016</t>
  </si>
  <si>
    <t>IT00118COC00067</t>
  </si>
  <si>
    <t>MODIFICHE VARIE</t>
  </si>
  <si>
    <t>Ricambi</t>
  </si>
  <si>
    <t>AT060</t>
  </si>
  <si>
    <t>KRONOSPAN UFA</t>
  </si>
  <si>
    <t xml:space="preserve"> </t>
  </si>
  <si>
    <t>Merlini</t>
  </si>
  <si>
    <t>733-DIEFFENBACHER-KRONOSPAN UFA-OSB-2016</t>
  </si>
  <si>
    <t>AS825</t>
  </si>
  <si>
    <t>EGGER</t>
  </si>
  <si>
    <t>RAMBERVILLERS</t>
  </si>
  <si>
    <t>FRANCE</t>
  </si>
  <si>
    <t xml:space="preserve"> Altro ordine (ricambi): AT021</t>
  </si>
  <si>
    <t>734-EGGER--RAMBERVILLERS-2016</t>
  </si>
  <si>
    <t>AS823</t>
  </si>
  <si>
    <t>FALCO</t>
  </si>
  <si>
    <t>20/02/17-15/03/2017</t>
  </si>
  <si>
    <t>735-SIA CONTIPLUS--FALCO-2016</t>
  </si>
  <si>
    <t>AS815</t>
  </si>
  <si>
    <t>MOGILEV</t>
  </si>
  <si>
    <t>BELARUS</t>
  </si>
  <si>
    <t>736-KRONOSPAN--MOGILEV-2016</t>
  </si>
  <si>
    <t>AS855</t>
  </si>
  <si>
    <t>KASTAMONU</t>
  </si>
  <si>
    <t>IMPIANTO TURCHIA</t>
  </si>
  <si>
    <t>TURKIYE</t>
  </si>
  <si>
    <t>737-SIA CONTIPLUS-KASTAMONU-IMPIANTO TURCHIA-2017</t>
  </si>
  <si>
    <t>AT033</t>
  </si>
  <si>
    <t>TK15N-C</t>
  </si>
  <si>
    <t>738-TECHNIC ONE--TK15N-C-</t>
  </si>
  <si>
    <t>AT039</t>
  </si>
  <si>
    <t>LOSAN SPAGNA</t>
  </si>
  <si>
    <t>739-PAL--LOSAN SPAGNA-</t>
  </si>
  <si>
    <t>AT178</t>
  </si>
  <si>
    <t>KRONOSPAN SL</t>
  </si>
  <si>
    <t>BURGOS</t>
  </si>
  <si>
    <t>FEEDING SYSTEM SILO 8</t>
  </si>
  <si>
    <t>740-KRONOSPAN SL-KRONOSPAN-BURGOS-2017</t>
  </si>
  <si>
    <t>AT073</t>
  </si>
  <si>
    <t>BUNKERS FOR SCREENS FEEDING</t>
  </si>
  <si>
    <t>AT284</t>
  </si>
  <si>
    <t>DEWATERING SYSTEMS FOR VERT.SCREW AND TK</t>
  </si>
  <si>
    <t>AT168</t>
  </si>
  <si>
    <t>SCREW CONV.ROLLER SCREENS INSTALMEC</t>
  </si>
  <si>
    <t>AT402</t>
  </si>
  <si>
    <t>30-06-07-09/2017</t>
  </si>
  <si>
    <t>AU212</t>
  </si>
  <si>
    <t>Bonazzoli</t>
  </si>
  <si>
    <t>AT074</t>
  </si>
  <si>
    <t xml:space="preserve">FINSA </t>
  </si>
  <si>
    <t>FINSA</t>
  </si>
  <si>
    <t>FIBRANOR-RABADE</t>
  </si>
  <si>
    <t>741-FINSA -FINSA-FIBRANOR-RABADE-2017</t>
  </si>
  <si>
    <t>AT075</t>
  </si>
  <si>
    <t>FINANCIERA MADERERA</t>
  </si>
  <si>
    <t>NEW MDF REFINER</t>
  </si>
  <si>
    <t>ex LUSO FINSA</t>
  </si>
  <si>
    <t>742-FINANCIERA MADERERA--NEW MDF REFINER-2017</t>
  </si>
  <si>
    <t>AU128</t>
  </si>
  <si>
    <t>OREMBER</t>
  </si>
  <si>
    <t>CONVEYING SYSTEM FOR CLEANING TOWER</t>
  </si>
  <si>
    <t>743-FINSA -FINSA-OREMBER-2018</t>
  </si>
  <si>
    <t>AU194</t>
  </si>
  <si>
    <t>AT077</t>
  </si>
  <si>
    <t>STRZELCE</t>
  </si>
  <si>
    <t>744-DIEFFENBACHER--STRZELCE-2017</t>
  </si>
  <si>
    <t>AT091</t>
  </si>
  <si>
    <t>745-PG BISON-PG BISON--2017</t>
  </si>
  <si>
    <t>AU047</t>
  </si>
  <si>
    <t>SANTIAGO DE COMPOSTELA</t>
  </si>
  <si>
    <t>PB PLANT- STEP1-CHIPPING AND STORAGE</t>
  </si>
  <si>
    <t>Layout da iniziare</t>
  </si>
  <si>
    <t>746-FINANCIERA MADERERA-FINSA-SANTIAGO DE COMPOSTELA-2017</t>
  </si>
  <si>
    <t>AT146</t>
  </si>
  <si>
    <t>LINEX PANNEAUX</t>
  </si>
  <si>
    <t>08/05-07/07-ecc</t>
  </si>
  <si>
    <t>AT222</t>
  </si>
  <si>
    <t>747-PAL--LINEX PANNEAUX-2017</t>
  </si>
  <si>
    <t>AT167</t>
  </si>
  <si>
    <t>UFA</t>
  </si>
  <si>
    <t>RUSSIA</t>
  </si>
  <si>
    <t>AT200</t>
  </si>
  <si>
    <t>748-SIA CONTIPLUS-KRONOSPAN-UFA-2017</t>
  </si>
  <si>
    <t>AT184</t>
  </si>
  <si>
    <t>SAIB</t>
  </si>
  <si>
    <t>FOSSADELLO CAORSO</t>
  </si>
  <si>
    <t>MODIFY  MILL AREA DRY CHIP AND SCREEN</t>
  </si>
  <si>
    <t>P. Ferrari</t>
  </si>
  <si>
    <t>749-SAIB--FOSSADELLO CAORSO-2017</t>
  </si>
  <si>
    <t>AU046</t>
  </si>
  <si>
    <t>PELLET E PALLETS BLOCK BSC</t>
  </si>
  <si>
    <t>750-IMAL--PELLET E PALLETS BLOCK BSC-2017</t>
  </si>
  <si>
    <t>AT221</t>
  </si>
  <si>
    <t>ROQUETTE ITALIA</t>
  </si>
  <si>
    <t>751-ROQUETTE ITALIA---2017</t>
  </si>
  <si>
    <t>AT671</t>
  </si>
  <si>
    <t>CMP</t>
  </si>
  <si>
    <t>IMPIANTO FRATI</t>
  </si>
  <si>
    <t>Modification on bucket elevator</t>
  </si>
  <si>
    <t>ON HOLD</t>
  </si>
  <si>
    <t>752-CMP--IMPIANTO FRATI-2017</t>
  </si>
  <si>
    <t>AT253</t>
  </si>
  <si>
    <t>AT313</t>
  </si>
  <si>
    <t>PFLEIDERER</t>
  </si>
  <si>
    <t>GERMANY</t>
  </si>
  <si>
    <t>753-DIEFFENBACHER--PFLEIDERER-2017</t>
  </si>
  <si>
    <t>AT673</t>
  </si>
  <si>
    <t>CASSA AGGIUNTIVA</t>
  </si>
  <si>
    <t>AT230</t>
  </si>
  <si>
    <t>754-DELHEZ BOIS--DELHEZ BOIS-2017</t>
  </si>
  <si>
    <t>AT520</t>
  </si>
  <si>
    <t>TRICOYA</t>
  </si>
  <si>
    <t>WOOD CHIPS HANDLING SYSTEMS</t>
  </si>
  <si>
    <t>755-PAL--TRICOYA-2017</t>
  </si>
  <si>
    <t>IT00118COC00216</t>
  </si>
  <si>
    <t xml:space="preserve"> STEP 2 </t>
  </si>
  <si>
    <t>AT291</t>
  </si>
  <si>
    <t>756-TECHNIC ONE--DELHEZ BOIS-2017</t>
  </si>
  <si>
    <t>AT517</t>
  </si>
  <si>
    <t>VYNCKE</t>
  </si>
  <si>
    <t>ENECO</t>
  </si>
  <si>
    <t>HOLLAND</t>
  </si>
  <si>
    <t>Ordine per overbelt magnetic separator</t>
  </si>
  <si>
    <t>TRM CHN</t>
  </si>
  <si>
    <t>757-TRASMEC CHINA-VYNCKE-ENECO-2017</t>
  </si>
  <si>
    <t>AT336</t>
  </si>
  <si>
    <t>LE CREUSOT</t>
  </si>
  <si>
    <t>758-KRONOSPAN--LE CREUSOT-2017</t>
  </si>
  <si>
    <t>AT721</t>
  </si>
  <si>
    <t>HOLTEC</t>
  </si>
  <si>
    <t>ALTAILES PAVLOVSKY MDF</t>
  </si>
  <si>
    <t>759-HOLTEC--ALTAILES PAVLOVSKY MDF-2017</t>
  </si>
  <si>
    <t>AT368</t>
  </si>
  <si>
    <t>TN CONVEYOR FOR CHIPS LINE INFEED</t>
  </si>
  <si>
    <t>760-SAIB--FOSSADELLO CAORSO-2017</t>
  </si>
  <si>
    <t>AT363</t>
  </si>
  <si>
    <t>SEBES</t>
  </si>
  <si>
    <t>CONVEYING SYSTEM BETW. CLEANING TOWERS</t>
  </si>
  <si>
    <t>ROMANIA</t>
  </si>
  <si>
    <t>761-KRONOSPAN--SEBES-2017</t>
  </si>
  <si>
    <t>AT853</t>
  </si>
  <si>
    <t>BELT CONVEYOR FOR CLEANING TOWER , HOPPERS</t>
  </si>
  <si>
    <t>08/01/18 - 13/02/18</t>
  </si>
  <si>
    <t>AT375</t>
  </si>
  <si>
    <t>PJSC</t>
  </si>
  <si>
    <t>KOROSTENSKIY MDF PLANT</t>
  </si>
  <si>
    <t>UKRAINE</t>
  </si>
  <si>
    <t>762-PJSC--KOROSTENSKIY MDF PLANT-2017</t>
  </si>
  <si>
    <t>FSC VIETNAM CORPORATION</t>
  </si>
  <si>
    <t>KIM TIN MDF</t>
  </si>
  <si>
    <t>VIETNAM</t>
  </si>
  <si>
    <t>763-TRASMEC CHINA-FSC VIETNAM CORPORATION-KIM TIN MDF-2017</t>
  </si>
  <si>
    <t>AT584</t>
  </si>
  <si>
    <t>31/03/18-31/05/18</t>
  </si>
  <si>
    <t>764-DIEFFENBACHER-KRONOSPAN-SANEM OSB-2017</t>
  </si>
  <si>
    <t>IT00118COC00325</t>
  </si>
  <si>
    <t>764-DIEFFENBACHER-KRONOSPAN-SANEM OSB-2018</t>
  </si>
  <si>
    <t>SIAM</t>
  </si>
  <si>
    <t>FIBERBOARD</t>
  </si>
  <si>
    <t>per offerta</t>
  </si>
  <si>
    <t>765-SIAM--FIBERBOARD-2017</t>
  </si>
  <si>
    <t>AT483</t>
  </si>
  <si>
    <t>SIA BALTIC BLOCK</t>
  </si>
  <si>
    <t>Bosio</t>
  </si>
  <si>
    <t>766-IMAL--SIA BALTIC BLOCK-2017</t>
  </si>
  <si>
    <t>none</t>
  </si>
  <si>
    <t>DIMECO</t>
  </si>
  <si>
    <t>BERSEY</t>
  </si>
  <si>
    <t xml:space="preserve">KRONOSPAN SMORGON </t>
  </si>
  <si>
    <t>767-DIMECO-BERSEY-KRONOSPAN SMORGON -2017</t>
  </si>
  <si>
    <t>AT445</t>
  </si>
  <si>
    <t>768-ARAUCO--BRASIL-2017</t>
  </si>
  <si>
    <t>AT435</t>
  </si>
  <si>
    <t>POMPOSA</t>
  </si>
  <si>
    <t>SPARE PARTS</t>
  </si>
  <si>
    <t>769-KASTAMONU--POMPOSA-2017</t>
  </si>
  <si>
    <t>AT436</t>
  </si>
  <si>
    <t>Macchine nuove</t>
  </si>
  <si>
    <t>AT649</t>
  </si>
  <si>
    <t>AT773</t>
  </si>
  <si>
    <t>DISEGNI CON RELAZIONE DI CALCOLO</t>
  </si>
  <si>
    <t>Solo relazioni calcolo PCM</t>
  </si>
  <si>
    <t>AT794</t>
  </si>
  <si>
    <t>RICAMBI PER COCLEA AT1062C-C008009</t>
  </si>
  <si>
    <t>AT797</t>
  </si>
  <si>
    <t>AU251</t>
  </si>
  <si>
    <t>RICAMBI/MODIFICHE VARI + SERRANDE PNEUM</t>
  </si>
  <si>
    <t>769-KASTAMONU--POMPOSA-2018</t>
  </si>
  <si>
    <t>IT00118COC00042</t>
  </si>
  <si>
    <t>SERRANDA A GHIGLIOTTINA + RICAMBI</t>
  </si>
  <si>
    <t>IT00118COC00197</t>
  </si>
  <si>
    <t>TK 19"N - TH40"HP - SERRANDA PNEUMATICA</t>
  </si>
  <si>
    <t>Pannunzio</t>
  </si>
  <si>
    <t>IT00118COC00572</t>
  </si>
  <si>
    <t>SCREW</t>
  </si>
  <si>
    <t>AT466</t>
  </si>
  <si>
    <t>RADAUTI</t>
  </si>
  <si>
    <t>770-EGGER--RADAUTI-2017</t>
  </si>
  <si>
    <t>AT515</t>
  </si>
  <si>
    <t>SCREW FOR DRYER ONE</t>
  </si>
  <si>
    <t>771-TECHNIC ONE--SCREW FOR DRYER ONE-2017</t>
  </si>
  <si>
    <t xml:space="preserve">VANACHAI </t>
  </si>
  <si>
    <t>NEW MDF LINE</t>
  </si>
  <si>
    <t>772-TRASMEC CHINA-VANACHAI -NEW MDF LINE-2017</t>
  </si>
  <si>
    <t>AT535</t>
  </si>
  <si>
    <t>NOVOPAN</t>
  </si>
  <si>
    <t>ECUADOR</t>
  </si>
  <si>
    <t>773-PAL--NOVOPAN-2017</t>
  </si>
  <si>
    <t>AT834</t>
  </si>
  <si>
    <t>BJELOVAR</t>
  </si>
  <si>
    <t>CROATIA</t>
  </si>
  <si>
    <t>774-KRONOSPAN--BJELOVAR-2017</t>
  </si>
  <si>
    <t>AT524</t>
  </si>
  <si>
    <t>KRONOSPAN POLSKA</t>
  </si>
  <si>
    <t>SZCZECINEK</t>
  </si>
  <si>
    <t>RECY II CLEANING TOWER</t>
  </si>
  <si>
    <t>775-KRONOSPAN POLSKA--SZCZECINEK-2017</t>
  </si>
  <si>
    <t>AT523</t>
  </si>
  <si>
    <t>HORIZONT PROJECT DEV.</t>
  </si>
  <si>
    <t>BISKUPIEC</t>
  </si>
  <si>
    <t>776-HORIZONT PROJECT DEV.-EGGER-BISKUPIEC-2017</t>
  </si>
  <si>
    <t>AT679</t>
  </si>
  <si>
    <t>Banboard</t>
  </si>
  <si>
    <t>IT00118COC00114</t>
  </si>
  <si>
    <t>SPLITTED CONVEYOR</t>
  </si>
  <si>
    <t>776-HORIZONT PROJECT DEV.-EGGER-BISKUPIEC-2018</t>
  </si>
  <si>
    <t>AT609</t>
  </si>
  <si>
    <t>SONAE ARAUCO LINARES</t>
  </si>
  <si>
    <t>prolunghe + macchine nuove</t>
  </si>
  <si>
    <t>777-PAL--SONAE ARAUCO LINARES-2017</t>
  </si>
  <si>
    <t>AT633</t>
  </si>
  <si>
    <t xml:space="preserve">SZCZECINEK </t>
  </si>
  <si>
    <t>tk scarico torre</t>
  </si>
  <si>
    <t>778-INSTALMEC-KRONOSPAN-SZCZECINEK -2017</t>
  </si>
  <si>
    <t>AT650</t>
  </si>
  <si>
    <t>tn vari scarico torre</t>
  </si>
  <si>
    <t>AU085</t>
  </si>
  <si>
    <t>SCREW AND SPARE PARTS</t>
  </si>
  <si>
    <t>778-INSTALMEC-KRONOSPAN-SZCZECINEK -2018</t>
  </si>
  <si>
    <t>AT643</t>
  </si>
  <si>
    <t xml:space="preserve">LUSO FINSA </t>
  </si>
  <si>
    <t>NELAS</t>
  </si>
  <si>
    <t>VYNCKE BOILER FEEDING</t>
  </si>
  <si>
    <t>779-LUSO FINSA --NELAS-2017</t>
  </si>
  <si>
    <t>AT661</t>
  </si>
  <si>
    <t xml:space="preserve">THANH THANH DAT </t>
  </si>
  <si>
    <t>780-IMAL--THANH THANH DAT -2017</t>
  </si>
  <si>
    <t>AT660</t>
  </si>
  <si>
    <t>WISMAR</t>
  </si>
  <si>
    <t>781-PAL-EGGER-WISMAR-2017</t>
  </si>
  <si>
    <t>AT814</t>
  </si>
  <si>
    <t>THIEN LAN DAT</t>
  </si>
  <si>
    <t>On Hold</t>
  </si>
  <si>
    <t>782-DIEFFENBACHER--THIEN LAN DAT-2017</t>
  </si>
  <si>
    <t>AT835</t>
  </si>
  <si>
    <t>783-CMP--IMPIANTO FRATI-2018</t>
  </si>
  <si>
    <t>AT796</t>
  </si>
  <si>
    <t>GIM EXPORT GROUP</t>
  </si>
  <si>
    <t>PLANT RESTORE</t>
  </si>
  <si>
    <t>BULGARIA</t>
  </si>
  <si>
    <t>784-GIM EXPORT GROUP-KASTAMONU-PLANT RESTORE-2017</t>
  </si>
  <si>
    <t>AT821</t>
  </si>
  <si>
    <t>RELOCATION DARBO</t>
  </si>
  <si>
    <t>785-DIEFFENBACHER-KASTAMONU-RELOCATION DARBO-2017</t>
  </si>
  <si>
    <t>SONAE ARAUCO</t>
  </si>
  <si>
    <t>Macchine copiate da PAL Kronospan Sandebeck</t>
  </si>
  <si>
    <t>786-PAL-SONAE ARAUCO-OLIVEIRA DO HOSPITAL-2017</t>
  </si>
  <si>
    <t>SPB</t>
  </si>
  <si>
    <t>787-TRASMEC CHINA-SPB-NEW MDF LINE-2017</t>
  </si>
  <si>
    <t>AT851</t>
  </si>
  <si>
    <t>COCLEA PER TRASPORTO SABBIA DA LEVIGATRICE</t>
  </si>
  <si>
    <t>N°1 coclea, motore fornitura cliente</t>
  </si>
  <si>
    <t>788-SAIB--FOSSADELLO CAORSO-2017</t>
  </si>
  <si>
    <t>BUNGE</t>
  </si>
  <si>
    <t>SOYA MEAL</t>
  </si>
  <si>
    <t>789-TRASMEC CHINA-BUNGE-SOYA MEAL-2017</t>
  </si>
  <si>
    <t>AT876</t>
  </si>
  <si>
    <t>Belt conveyor TN800</t>
  </si>
  <si>
    <t>N°1 TN800 Later</t>
  </si>
  <si>
    <t>790-SONAE--OLIVEIRA DO HOSPITAL-2018</t>
  </si>
  <si>
    <t>AU249</t>
  </si>
  <si>
    <t>SANEM</t>
  </si>
  <si>
    <t>NASTRI A TUBO</t>
  </si>
  <si>
    <t>29/06/18-01/10/18</t>
  </si>
  <si>
    <t>New Tubolators for  recy , drier , boiler</t>
  </si>
  <si>
    <t>791-KRONOSPAN--SANEM-2018</t>
  </si>
  <si>
    <t>AT855</t>
  </si>
  <si>
    <t>SIA CONTIPLUS RIGA</t>
  </si>
  <si>
    <t>MIELEC</t>
  </si>
  <si>
    <t>RECY I CLEANING TOWER</t>
  </si>
  <si>
    <t>20/04/18-20/05/18</t>
  </si>
  <si>
    <t>792-SIA CONTIPLUS RIGA--MIELEC-2018</t>
  </si>
  <si>
    <t>AT857</t>
  </si>
  <si>
    <t>BUCINA ZVOLEN</t>
  </si>
  <si>
    <t>SLOVAKIA</t>
  </si>
  <si>
    <t>793-SIA CONTIPLUS RIGA--BUCINA ZVOLEN-2018</t>
  </si>
  <si>
    <t>IT00118COC00040</t>
  </si>
  <si>
    <t>IMAL-PAL</t>
  </si>
  <si>
    <t>EASTABOGA</t>
  </si>
  <si>
    <t>ALABAMA</t>
  </si>
  <si>
    <t>794-IMAL-PAL-KRONOSPAN-EASTABOGA-2018</t>
  </si>
  <si>
    <t>IT00118COC00327</t>
  </si>
  <si>
    <t>AU017</t>
  </si>
  <si>
    <t>SONAE-ARAUCO</t>
  </si>
  <si>
    <t>COMPONENTI PER COCLEA</t>
  </si>
  <si>
    <t>795-IMAL-SONAE-ARAUCO--2018</t>
  </si>
  <si>
    <t>AU006</t>
  </si>
  <si>
    <t>MAGNETIC OVERBELT FOR TN002569</t>
  </si>
  <si>
    <t>796-VYNCKE-KASTAMONU-POMPOSA-2018</t>
  </si>
  <si>
    <t>KASTAMONU FUEL</t>
  </si>
  <si>
    <t>797-TRASMEC CHINA-VYNCKE-KASTAMONU FUEL-2018</t>
  </si>
  <si>
    <t>AU069</t>
  </si>
  <si>
    <t>SCARICO TORRE DI PULIZIA</t>
  </si>
  <si>
    <t>798-INSTALMEC-KRONOSPAN-MIELEC-2018</t>
  </si>
  <si>
    <t>AU068</t>
  </si>
  <si>
    <t>799-INSTALMEC-KRONOSPAN-BUCINA ZVOLEN-2018</t>
  </si>
  <si>
    <t>AU083</t>
  </si>
  <si>
    <t>RECALOR</t>
  </si>
  <si>
    <t>LEUTKIRCH</t>
  </si>
  <si>
    <t>800-RECALOR-PFLEIDERER-LEUTKIRCH-2018</t>
  </si>
  <si>
    <t>AU098</t>
  </si>
  <si>
    <t>N/A</t>
  </si>
  <si>
    <t>SCREW + VARIOUS</t>
  </si>
  <si>
    <t>801-PAL-N/A-N/A-2018</t>
  </si>
  <si>
    <t>AU115</t>
  </si>
  <si>
    <t xml:space="preserve">NOVOPAN </t>
  </si>
  <si>
    <t>PB PLANT - 1000 M3</t>
  </si>
  <si>
    <t>28/08/19-21/09/18</t>
  </si>
  <si>
    <t>secco confermato, verde da confermare</t>
  </si>
  <si>
    <t>802-NOVOPAN --PB PLANT - 1000 M3-2018</t>
  </si>
  <si>
    <t>IT00118COC00021</t>
  </si>
  <si>
    <t>AU116</t>
  </si>
  <si>
    <t>CELLA  TERUEL</t>
  </si>
  <si>
    <t>DOSING SCREW INFEED NEW RING FLAKER</t>
  </si>
  <si>
    <t>803-FINANCIERA MADERERA-FINSA -CELLA  TERUEL-2018</t>
  </si>
  <si>
    <t>AU117</t>
  </si>
  <si>
    <t xml:space="preserve">CMP S.P.A. </t>
  </si>
  <si>
    <t>BIPAN</t>
  </si>
  <si>
    <t>BICINICCO</t>
  </si>
  <si>
    <t>CARICO SEPARATORI SCHEUCH MDF</t>
  </si>
  <si>
    <t>804-CMP S.P.A. -BIPAN-BICINICCO-2018</t>
  </si>
  <si>
    <t>IT00118COC00128</t>
  </si>
  <si>
    <t>Schemi approvati</t>
  </si>
  <si>
    <t>AU108</t>
  </si>
  <si>
    <t>SAIB S.P.A.</t>
  </si>
  <si>
    <t>FOSSADELLO DI CAORSO</t>
  </si>
  <si>
    <t>NEW STORAGE CHIPS</t>
  </si>
  <si>
    <t>805-SAIB S.P.A.-SAIB-FOSSADELLO DI CAORSO-2018</t>
  </si>
  <si>
    <t>AU181</t>
  </si>
  <si>
    <t>AU118</t>
  </si>
  <si>
    <t>METRO INDUSTRIAL PARK</t>
  </si>
  <si>
    <t>METROPLY</t>
  </si>
  <si>
    <t>806-METRO INDUSTRIAL PARK--METROPLY-2018</t>
  </si>
  <si>
    <t>AU109</t>
  </si>
  <si>
    <t>LA FABRIL</t>
  </si>
  <si>
    <t>807-VYNCKE--LA FABRIL-2018</t>
  </si>
  <si>
    <t>RAINBOW PELLET</t>
  </si>
  <si>
    <t>MALESIA</t>
  </si>
  <si>
    <t>808-TRASMEC CHINA--RAINBOW PELLET-2018</t>
  </si>
  <si>
    <t>AU153</t>
  </si>
  <si>
    <t>809-EGGER--SPARE PARTS-2018</t>
  </si>
  <si>
    <t>BA RIA SERECE</t>
  </si>
  <si>
    <t>810-TRASMEC CHINA-BA RIA SERECE-SOYA MEAL-2018</t>
  </si>
  <si>
    <t>811-TRASMEC CHINA-VYNCKE-LA FABRIL-2018</t>
  </si>
  <si>
    <t>AU205</t>
  </si>
  <si>
    <t>812-VYNCKE-PFLEIDERER-LEUTKIRCH-2018</t>
  </si>
  <si>
    <t>AU218</t>
  </si>
  <si>
    <t>GRAJEWO</t>
  </si>
  <si>
    <t>813-INSTALMEC-PFLEIDERER-GRAJEWO-2018</t>
  </si>
  <si>
    <t>AU217</t>
  </si>
  <si>
    <t>814-INSTALMEC-KRONOSPAN-BJELOVAR-2018</t>
  </si>
  <si>
    <t>IT00118COC00013</t>
  </si>
  <si>
    <t>COCLEA PER SCARICO CALDAIA</t>
  </si>
  <si>
    <t>AU247</t>
  </si>
  <si>
    <t>MDP LINE 2</t>
  </si>
  <si>
    <t>CONEVORS FORMING STATION AREA</t>
  </si>
  <si>
    <t>815-DIEFFENBACHER-NOVOPAN-MDP LINE 2-2018</t>
  </si>
  <si>
    <t>AU245</t>
  </si>
  <si>
    <t>ARMOR PANNEAUX</t>
  </si>
  <si>
    <t>SERRANDA RICAMBIO</t>
  </si>
  <si>
    <t>E. Vrioni</t>
  </si>
  <si>
    <t>816-ARMOR PANNEAUX-ARMOR PANNEAUX-ARMOR PANNEAUX-2018</t>
  </si>
  <si>
    <t>AU262</t>
  </si>
  <si>
    <t>TABLEROS HISPANOS</t>
  </si>
  <si>
    <t>817-DIEFFENBACHER--TABLEROS HISPANOS-2018</t>
  </si>
  <si>
    <t>AU261</t>
  </si>
  <si>
    <t>JIHLAVA</t>
  </si>
  <si>
    <t>CZECH REPUBLIC</t>
  </si>
  <si>
    <t>RICAMBI COCLEA+DISEGNI</t>
  </si>
  <si>
    <t>818-INSTALMEC-KRONOSPAN-JIHLAVA-2018</t>
  </si>
  <si>
    <t>AU0260</t>
  </si>
  <si>
    <t>RECUPERO TRASPORTATORE ESISTENTE</t>
  </si>
  <si>
    <t>819-ROQUETTE ITALIA---2018</t>
  </si>
  <si>
    <t>AU0256</t>
  </si>
  <si>
    <t>SERRANDA MOTORIZZATA SPECIALE</t>
  </si>
  <si>
    <t>IT00118COC00020</t>
  </si>
  <si>
    <t>TK30"HP sostituisce macchina non-TRM</t>
  </si>
  <si>
    <t>820-EGGER--RAMBERVILLERS-2018</t>
  </si>
  <si>
    <t>IT00118COC00047</t>
  </si>
  <si>
    <t>RIGA</t>
  </si>
  <si>
    <t>LATVIA</t>
  </si>
  <si>
    <t>821-SIA CONTIPLUS RIGA-KRONOSPAN-RIGA-2018</t>
  </si>
  <si>
    <t>IT00118COC00006</t>
  </si>
  <si>
    <t>SPARE PARTS FOR HOLTEC CONV.POS.500.02.8</t>
  </si>
  <si>
    <t>822-KRONOSPAN-KRONOSPAN-BURGOS-2018</t>
  </si>
  <si>
    <t>IT00118COC00060</t>
  </si>
  <si>
    <t xml:space="preserve">AREA 700 NEW PZ - AREA 600 BY PASS </t>
  </si>
  <si>
    <t>Completato. Manca relazioni di calcolo</t>
  </si>
  <si>
    <t>IT00118COC00077</t>
  </si>
  <si>
    <t>AREA 500 - INSTALLATION NEW OVERBELT SGM</t>
  </si>
  <si>
    <t>Completato,. Manca relaz calcolo</t>
  </si>
  <si>
    <t>IT00118COC00107</t>
  </si>
  <si>
    <t>Prospect - REC</t>
  </si>
  <si>
    <t>823-EGGER--BISKUPIEC-2018</t>
  </si>
  <si>
    <t>TARTAK II</t>
  </si>
  <si>
    <t>824-TRASMEC CHINA-VYNCKE-TARTAK II-2018</t>
  </si>
  <si>
    <t>IT00118COC00524</t>
  </si>
  <si>
    <t>COLUMBUS</t>
  </si>
  <si>
    <t>04/19-08/19</t>
  </si>
  <si>
    <t>825-EGGER--COLUMBUS-2018</t>
  </si>
  <si>
    <t>IT00118COC00127</t>
  </si>
  <si>
    <t>BEESKOW</t>
  </si>
  <si>
    <t>826-IMAL-SONAE ARAUCO-BEESKOW-2018</t>
  </si>
  <si>
    <t>VPI-OSB1</t>
  </si>
  <si>
    <t>827-TRASMEC CHINA-VANACHAI -VPI-OSB1-2018</t>
  </si>
  <si>
    <t>IT00118COC00166</t>
  </si>
  <si>
    <t>BOILER INFEED SYSTEM</t>
  </si>
  <si>
    <t>828-FINANCIERA MADERERA-FINSA-OREMBER-2018</t>
  </si>
  <si>
    <t>IT00118COC00194</t>
  </si>
  <si>
    <t>NEW PRESSING PLANT</t>
  </si>
  <si>
    <t>829-TABLEROS HISPANOS--TABLEROS HISPANOS-2018</t>
  </si>
  <si>
    <t>IT00118COC00215</t>
  </si>
  <si>
    <t>ENCHAPES DECORATICO S.A</t>
  </si>
  <si>
    <t>BOTROSA</t>
  </si>
  <si>
    <t>CONVEYING AND STORAGE SYSTEM FOR BOILER PLANT</t>
  </si>
  <si>
    <t>830-ENCHAPES DECORATICO S.A--BOTROSA-2018</t>
  </si>
  <si>
    <t>IT00118COC00251</t>
  </si>
  <si>
    <t>BRIERLEY -UK</t>
  </si>
  <si>
    <t>SEPARATORE MAGNETICO OVERBELT</t>
  </si>
  <si>
    <t>831-VYNCKE--BRIERLEY -UK-2018</t>
  </si>
  <si>
    <t>IT00118COC00283</t>
  </si>
  <si>
    <t>DIEFFENBACHER-STARWOOD</t>
  </si>
  <si>
    <t>STARWOOD</t>
  </si>
  <si>
    <t>FORMING AREA - INEGOL</t>
  </si>
  <si>
    <t>832-DIEFFENBACHER-STARWOOD-FORMING AREA - INEGOL-</t>
  </si>
  <si>
    <t>Ordine TRM Romania</t>
  </si>
  <si>
    <t>IT00118COC00269</t>
  </si>
  <si>
    <t>KRONOSPAN 000 RUSSIA</t>
  </si>
  <si>
    <t>EGORIEVSK</t>
  </si>
  <si>
    <t>SOSTITUZIONE CLAPPA CLPMTR-AE0086C IV009072</t>
  </si>
  <si>
    <t>833-KRONOSPAN 000 RUSSIA--EGORIEVSK-2018</t>
  </si>
  <si>
    <t>IT00118COC00284</t>
  </si>
  <si>
    <t>834-DIEFFENBACHER-SONAE ARAUCO-BEESKOW-2018</t>
  </si>
  <si>
    <t>IT00118COC00282</t>
  </si>
  <si>
    <t>ORIS 2 - OSB</t>
  </si>
  <si>
    <t>BOILER INFEED SYSTEM-OUTLET DRYER</t>
  </si>
  <si>
    <t>Longari/Brugnoli</t>
  </si>
  <si>
    <t>835-DIEFFENBACHER-KRONOSPAN-ORIS 2 - OSB-2018</t>
  </si>
  <si>
    <t>IT00118COC00426</t>
  </si>
  <si>
    <t>SCARICO ESSICATOIO</t>
  </si>
  <si>
    <t>IT00119COC00014</t>
  </si>
  <si>
    <t>835-DIEFFENBACHER-KRONOSPAN-ORIS 2 - OSB-2019</t>
  </si>
  <si>
    <t>IT00119COC00129</t>
  </si>
  <si>
    <t>IT00118COC00400</t>
  </si>
  <si>
    <t>PALSER</t>
  </si>
  <si>
    <t>SERTA</t>
  </si>
  <si>
    <t>836-IMAL-PALSER-SERTA-2018</t>
  </si>
  <si>
    <t>IT00118COC00326</t>
  </si>
  <si>
    <t xml:space="preserve">KRONOSPAN </t>
  </si>
  <si>
    <t>DELETED</t>
  </si>
  <si>
    <t>837-KRONOSPAN --STRZELCE-2018</t>
  </si>
  <si>
    <t>IT00119COC00195</t>
  </si>
  <si>
    <t>CONTIPLUS AG</t>
  </si>
  <si>
    <t xml:space="preserve">TK40HP + SPARES FOR EXISTING ONES </t>
  </si>
  <si>
    <t>completare i ricambi</t>
  </si>
  <si>
    <t>837-CONTIPLUS AG-KRONOSPAN -STRZELCE-2019</t>
  </si>
  <si>
    <t>IT00119COC00196</t>
  </si>
  <si>
    <t>Chain conveyor</t>
  </si>
  <si>
    <t>IT00118COC00285</t>
  </si>
  <si>
    <t>SERA ENERGIES</t>
  </si>
  <si>
    <t>BIOMAX GRENOBLE</t>
  </si>
  <si>
    <t>838-SERA ENERGIES--BIOMAX GRENOBLE-2018</t>
  </si>
  <si>
    <t>IT00118COC00382</t>
  </si>
  <si>
    <t>2 COCLEE DOSATRICI FORN. PARZIALE</t>
  </si>
  <si>
    <t>839-INSTALMEC-KRONOSPAN-CHIRK-2018</t>
  </si>
  <si>
    <t>INFEED BOILER</t>
  </si>
  <si>
    <t>840-TRASMEC CHINA-VANACHAI -VPI-OSB1-2018</t>
  </si>
  <si>
    <t>IT00118COC00390</t>
  </si>
  <si>
    <t>SERRANDE SOTTO TK</t>
  </si>
  <si>
    <t>841-BORG--NEW PB PLANT-2018</t>
  </si>
  <si>
    <t>IT00118COC00428</t>
  </si>
  <si>
    <t>CAPWATT</t>
  </si>
  <si>
    <t>BOILER INFEED</t>
  </si>
  <si>
    <t>842-VYNCKE-SONAE-CAPWATT-2018</t>
  </si>
  <si>
    <t>IT00118COC00455</t>
  </si>
  <si>
    <t>DISEGNI PER STRUTTURE</t>
  </si>
  <si>
    <t>AGT</t>
  </si>
  <si>
    <t xml:space="preserve">MDF 2 PLANT </t>
  </si>
  <si>
    <t>843-GIM EXPORT GROUP-AGT-MDF 2 PLANT -2018</t>
  </si>
  <si>
    <t>IT00118COC00427</t>
  </si>
  <si>
    <t>NORBORD COWIE</t>
  </si>
  <si>
    <t>844-PAL--NORBORD COWIE-2018</t>
  </si>
  <si>
    <t>IT00118COC00604</t>
  </si>
  <si>
    <t>IT00118COC00185</t>
  </si>
  <si>
    <t>844-PAL--NORBORD COWIE-2019</t>
  </si>
  <si>
    <t>IT00118COC00401</t>
  </si>
  <si>
    <t>GBMC1</t>
  </si>
  <si>
    <t>GMBC 1</t>
  </si>
  <si>
    <t>845-IMAL--GBMC1-2018</t>
  </si>
  <si>
    <t>IT00118COC00402</t>
  </si>
  <si>
    <t>GBMC2</t>
  </si>
  <si>
    <t>GMBC 2</t>
  </si>
  <si>
    <t>845-IMAL--GBMC2-2018</t>
  </si>
  <si>
    <t>IT00118COC00429</t>
  </si>
  <si>
    <t>PANTEC</t>
  </si>
  <si>
    <t>20/1218-30/07/19</t>
  </si>
  <si>
    <t>846-CMP-PANTEC-2018</t>
  </si>
  <si>
    <t>IT00118COC00471</t>
  </si>
  <si>
    <t>NOLTE</t>
  </si>
  <si>
    <t>AUSTRIA</t>
  </si>
  <si>
    <t>847-DIEFFENBACHER--NOLTE-2018</t>
  </si>
  <si>
    <t>IT00118COC00454</t>
  </si>
  <si>
    <t>848-INSTALMEC-KRONOSPAN-RIGA-2018</t>
  </si>
  <si>
    <t>IT00118COC00452</t>
  </si>
  <si>
    <t>18/04-30/07/19</t>
  </si>
  <si>
    <t>849-CMP--IMPIANTO FRATI-2018</t>
  </si>
  <si>
    <t>IT00118COC00509</t>
  </si>
  <si>
    <t>IT00118COC00478</t>
  </si>
  <si>
    <t>CONTIPLUS</t>
  </si>
  <si>
    <t>850-CONTIPLUS--JIHLAVA-2018</t>
  </si>
  <si>
    <t>IT00118COC00481</t>
  </si>
  <si>
    <t>FUNDERMAX</t>
  </si>
  <si>
    <t>RECY</t>
  </si>
  <si>
    <t>851-DIEFFENBACHER--FUNDERMAX-2018</t>
  </si>
  <si>
    <t>IT00118COC00523</t>
  </si>
  <si>
    <t xml:space="preserve">Clappa </t>
  </si>
  <si>
    <t>IT00118COC00482</t>
  </si>
  <si>
    <t>TENO</t>
  </si>
  <si>
    <t>CILE</t>
  </si>
  <si>
    <t>852-PAL-ARAUCO-TENO-2018</t>
  </si>
  <si>
    <t>IT00118COC00532</t>
  </si>
  <si>
    <t>PFEIFER HOLZ LAUTERBACH</t>
  </si>
  <si>
    <t>853-TECHNIC ONE--PFEIFER HOLZ LAUTERBACH-2018</t>
  </si>
  <si>
    <t>IT00118COC00533</t>
  </si>
  <si>
    <t>BURGOS C9</t>
  </si>
  <si>
    <t>854-KRONOSPAN-BURGOS C9-2018</t>
  </si>
  <si>
    <t>IT00118COC00236</t>
  </si>
  <si>
    <t>IT00119COC00168</t>
  </si>
  <si>
    <t>IT00118COC00571</t>
  </si>
  <si>
    <t>MAGNETIC OVERBELT</t>
  </si>
  <si>
    <t>855-VYNCKE--ENECO-2018</t>
  </si>
  <si>
    <t>IT00119COC00128</t>
  </si>
  <si>
    <t>856-CMP--PANTEC-2019</t>
  </si>
  <si>
    <t>IT00119COC00435</t>
  </si>
  <si>
    <t>IT00118COC00583</t>
  </si>
  <si>
    <t xml:space="preserve">BURGOS </t>
  </si>
  <si>
    <t>DOUBLE DOSING SCREW CONVEYOR</t>
  </si>
  <si>
    <t>857-KRONOSPAN--BURGOS -2018</t>
  </si>
  <si>
    <t>IT00118COC00602</t>
  </si>
  <si>
    <t>BARONY</t>
  </si>
  <si>
    <t>SILDE GATES</t>
  </si>
  <si>
    <t>858-EGGER--BARONY-2019</t>
  </si>
  <si>
    <t>IT00119COC00010</t>
  </si>
  <si>
    <t>TK15N</t>
  </si>
  <si>
    <t>IT00119COC00013</t>
  </si>
  <si>
    <t>FINANCERA MADERERA SA</t>
  </si>
  <si>
    <t>FINSA CELLA</t>
  </si>
  <si>
    <t>859-PAL-FINANCERA MADERERA SA-FINSA CELLA-2019</t>
  </si>
  <si>
    <t>IT00119COC00324</t>
  </si>
  <si>
    <t>IT00119COC00011</t>
  </si>
  <si>
    <t>DE SMET</t>
  </si>
  <si>
    <t>860-PAL--DE SMET-2019</t>
  </si>
  <si>
    <t>IT00119COC00445</t>
  </si>
  <si>
    <t>IT00119COC00015</t>
  </si>
  <si>
    <t>PIET RETIEF</t>
  </si>
  <si>
    <t>861-PG BISON--PIET RETIEF-2019</t>
  </si>
  <si>
    <t>IT00119COC00022</t>
  </si>
  <si>
    <t>IT00119COC00012</t>
  </si>
  <si>
    <t>LOMBARDO</t>
  </si>
  <si>
    <t>862-PAL--LOMBARDO-2019</t>
  </si>
  <si>
    <t>TRM ROM</t>
  </si>
  <si>
    <t>TRASMEC ROMANIA</t>
  </si>
  <si>
    <t>PINKSDREV</t>
  </si>
  <si>
    <t>863-TRASMEC ROMANIA-BERSEY-PINKSDREV-2019</t>
  </si>
  <si>
    <t>IT00119COC00049</t>
  </si>
  <si>
    <t>ELEKTROGORSK</t>
  </si>
  <si>
    <t>864-INSTALMEC-KRONOSPAN-ELEKTROGORSK-2019</t>
  </si>
  <si>
    <t>IT00119COC00056</t>
  </si>
  <si>
    <t>IT00118COC00490</t>
  </si>
  <si>
    <t>STEP 2</t>
  </si>
  <si>
    <t>865-FINANCIERA MADERERA-FINSA-SANTIAGO DE COMPOSTELA-2019</t>
  </si>
  <si>
    <t>IT00118COC00460</t>
  </si>
  <si>
    <t>STEP 2 - INTEGRATION</t>
  </si>
  <si>
    <t>IT00119COC00934</t>
  </si>
  <si>
    <t>SCREWS FOR GLUING PLANT</t>
  </si>
  <si>
    <t>IT00119COC00053</t>
  </si>
  <si>
    <t>BELTS FOR RECY</t>
  </si>
  <si>
    <t>866-KASTAMONU--POMPOSA-2019</t>
  </si>
  <si>
    <t>IT00119COC00035</t>
  </si>
  <si>
    <t>SANDEBECK</t>
  </si>
  <si>
    <t>RICAMBI</t>
  </si>
  <si>
    <t>867-KRONOSPAN--SANDEBECK-2019</t>
  </si>
  <si>
    <t>IT00119COC00093</t>
  </si>
  <si>
    <t>IT00119COC00090</t>
  </si>
  <si>
    <t>868-EGGER--RADAUTI-2019</t>
  </si>
  <si>
    <t>IT00119COC00149</t>
  </si>
  <si>
    <t xml:space="preserve">4° TORRE DI PULIZIA </t>
  </si>
  <si>
    <t>869-SAIB S.P.A.-SAIB-FOSSADELLO DI CAORSO-2019</t>
  </si>
  <si>
    <t>IT00119COC00148</t>
  </si>
  <si>
    <t>ARCHIMBAUD</t>
  </si>
  <si>
    <t>870-IMAL--ARCHIMBAUD-2019</t>
  </si>
  <si>
    <t>IT00119COC00174</t>
  </si>
  <si>
    <t>SCREW CONVEYOR</t>
  </si>
  <si>
    <t>Ordine , ML, SL unite con IT00119COC00148</t>
  </si>
  <si>
    <t>IT00119COC00112</t>
  </si>
  <si>
    <t>BPA</t>
  </si>
  <si>
    <t>871-VYNCKE--BPA-2019</t>
  </si>
  <si>
    <t>IT00119COC00150</t>
  </si>
  <si>
    <t>NEW RECY WOOD PLANT</t>
  </si>
  <si>
    <t>872-LUSO FINSA --NELAS-2019</t>
  </si>
  <si>
    <t>IT00119COC00328</t>
  </si>
  <si>
    <t>IT00119COC00170</t>
  </si>
  <si>
    <t>WET &amp; DRY UPGRADE</t>
  </si>
  <si>
    <t>873-CONTIPLUS AG-KRONOSPAN -ELEKTROGORSK-2019</t>
  </si>
  <si>
    <t>IT00119COC00187</t>
  </si>
  <si>
    <t>KRONOSPAN BASHKORTOSTAN</t>
  </si>
  <si>
    <t>874-KRONOSPAN BASHKORTOSTAN-KRONOSPAN-UFA-2019</t>
  </si>
  <si>
    <t>Spare parts for AMF conveyors</t>
  </si>
  <si>
    <t>875-KRONOSPAN--CHIRK-2019</t>
  </si>
  <si>
    <t>IT00119COC00449</t>
  </si>
  <si>
    <t>KANEMATSU  KGK CORP.</t>
  </si>
  <si>
    <t>OKURA JAPAN</t>
  </si>
  <si>
    <t>JAPAN</t>
  </si>
  <si>
    <t>876-KANEMATSU  KGK CORP.--OKURA JAPAN-2019</t>
  </si>
  <si>
    <t>IT00119COC00851</t>
  </si>
  <si>
    <t>IT00119COC00221</t>
  </si>
  <si>
    <t xml:space="preserve">FINANCIERA MADERERA </t>
  </si>
  <si>
    <t>SANTIAGO-BOILER VINCKE</t>
  </si>
  <si>
    <t>BOILER FEEDING VINCKE</t>
  </si>
  <si>
    <t>877-FINANCIERA MADERERA -FINSA-SANTIAGO-BOILER VINCKE-2019</t>
  </si>
  <si>
    <t>IT00119COC00231</t>
  </si>
  <si>
    <t>878-KRONOSPAN--JIHLAVA-2019</t>
  </si>
  <si>
    <t>IT00119COC00225</t>
  </si>
  <si>
    <t>UGIE</t>
  </si>
  <si>
    <t>879-PG BISON--UGIE-2019</t>
  </si>
  <si>
    <t>IT00119COC00273</t>
  </si>
  <si>
    <t>EGGER ROMANIA SRL</t>
  </si>
  <si>
    <t>880-EGGER ROMANIA SRL--RADAUTI-2019</t>
  </si>
  <si>
    <t>IT00119COC00296</t>
  </si>
  <si>
    <t>BPA AMSTERDAM</t>
  </si>
  <si>
    <t>MOVING FLOOR SYSTEM</t>
  </si>
  <si>
    <t xml:space="preserve">  </t>
  </si>
  <si>
    <t>881-VYNCKE--BPA AMSTERDAM-2019</t>
  </si>
  <si>
    <t>IT00119COC00323</t>
  </si>
  <si>
    <t>NOVOVOLYNSK</t>
  </si>
  <si>
    <t>882-CONTIPLUS AG-KRONOSPAN-NOVOVOLYNSK-2019</t>
  </si>
  <si>
    <t>IT00119COC00494</t>
  </si>
  <si>
    <t>Aggiunta di N°2 clappe e N°1 coclea</t>
  </si>
  <si>
    <t>IT00119COC00330</t>
  </si>
  <si>
    <t>COCLEA + TM650 C/OVERBELT</t>
  </si>
  <si>
    <t>883-KRONOSPAN 000 RUSSIA--EGORIEVSK-2019</t>
  </si>
  <si>
    <t>IT00119COC00379</t>
  </si>
  <si>
    <t>VERTICAL SCREWS FOR SAW DUST</t>
  </si>
  <si>
    <t>884-TECHNIC ONE---2019</t>
  </si>
  <si>
    <t>IT00119COC00446</t>
  </si>
  <si>
    <t>IKEA SVEZIA</t>
  </si>
  <si>
    <t>RECY AND DRY AREA</t>
  </si>
  <si>
    <t>SWEDEN</t>
  </si>
  <si>
    <t>885-PAL-IKEA SVEZIA-RECY AND DRY AREA-2019</t>
  </si>
  <si>
    <t>IT00119COC00432</t>
  </si>
  <si>
    <t xml:space="preserve">KASTAMONU </t>
  </si>
  <si>
    <t>886-KASTAMONU --POMPOSA-2019</t>
  </si>
  <si>
    <t>IT00119COC00475</t>
  </si>
  <si>
    <t>SMARTPLY OSB</t>
  </si>
  <si>
    <t>IRELAND</t>
  </si>
  <si>
    <t>887-PAL--SMARTPLY OSB-2019</t>
  </si>
  <si>
    <t>IT00119COC00476</t>
  </si>
  <si>
    <t>20/09-04/11/19</t>
  </si>
  <si>
    <t>888-INSTALMEC-KRONOSPAN-NOVOVOLYNSK-2019</t>
  </si>
  <si>
    <t>IT00119COC00508</t>
  </si>
  <si>
    <t>OBARIV OSB</t>
  </si>
  <si>
    <t xml:space="preserve">ON HOLD-VEDI  1002 </t>
  </si>
  <si>
    <t>889-CONTIPLUS-KRONOSPAN-OBARIV OSB-2019</t>
  </si>
  <si>
    <t>IT00119COC00536</t>
  </si>
  <si>
    <t>CONTIPLUS LTD MALTA</t>
  </si>
  <si>
    <t xml:space="preserve">FALCO </t>
  </si>
  <si>
    <t>RECY REVAMPING</t>
  </si>
  <si>
    <t>890-CONTIPLUS LTD MALTA-KRONOSPAN-FALCO -2019</t>
  </si>
  <si>
    <t>IT00119COC00774</t>
  </si>
  <si>
    <t>IT00120COC00505</t>
  </si>
  <si>
    <t>CONTIPLUS LIMITED</t>
  </si>
  <si>
    <t>891-CONTIPLUS LIMITED-KRONOSPAN-ELEKTROGORSK-2019</t>
  </si>
  <si>
    <t>IT00119COC00527</t>
  </si>
  <si>
    <t>ELKIN</t>
  </si>
  <si>
    <t>892-DIEFFENBACHER--ELKIN-2019</t>
  </si>
  <si>
    <t>IT00119COC00543</t>
  </si>
  <si>
    <t>MANGUALDE</t>
  </si>
  <si>
    <t>893-SONAE ARAUCO--MANGUALDE-2019</t>
  </si>
  <si>
    <t>IT00119COC00561</t>
  </si>
  <si>
    <t>894-BORG--NEW PB PLANT-2019</t>
  </si>
  <si>
    <t>IT00119COC00593</t>
  </si>
  <si>
    <t>SIA KRONOSPAN RIGA</t>
  </si>
  <si>
    <t>KRONOSPAN RIGA</t>
  </si>
  <si>
    <t>MODIFICHE TKK60OSB-TKK80OSB</t>
  </si>
  <si>
    <t>895-SIA KRONOSPAN RIGA-SIA KRONOSPAN RIGA-KRONOSPAN RIGA-2019</t>
  </si>
  <si>
    <t>IT00119COC00631</t>
  </si>
  <si>
    <t>RECY LINE</t>
  </si>
  <si>
    <t>896-DIEFFENBACHER--LINEX PANNEAUX-2019</t>
  </si>
  <si>
    <t>IT00119COC00745</t>
  </si>
  <si>
    <t>IT00119COC00629</t>
  </si>
  <si>
    <t>KRONOSPAN POLSKA SP.Z.O.O.</t>
  </si>
  <si>
    <t>NEW HACKER FROM RECY</t>
  </si>
  <si>
    <t>897-KRONOSPAN POLSKA SP.Z.O.O.-KRONOSPAN-SZCZECINEK-2019</t>
  </si>
  <si>
    <t>IT00119COC00630</t>
  </si>
  <si>
    <t>RICAMBI ALBERI COCLEA</t>
  </si>
  <si>
    <t>898-KASTAMONU--POMPOSA-2019</t>
  </si>
  <si>
    <t>IT00119COC00668</t>
  </si>
  <si>
    <t>MICRO STRAND GENK</t>
  </si>
  <si>
    <t>899-PAL-NORBORD-MICRO STRAND GENK-2019</t>
  </si>
  <si>
    <t>IT00119COC00573</t>
  </si>
  <si>
    <t>COWIE</t>
  </si>
  <si>
    <t>ITALIA</t>
  </si>
  <si>
    <t>900-PAL-NORBORD-COWIE-2019</t>
  </si>
  <si>
    <t>IT00119COC00678</t>
  </si>
  <si>
    <t>MASISA</t>
  </si>
  <si>
    <t>DURANGO-ARAUCO</t>
  </si>
  <si>
    <t>NEW SAW DUST CLEANING LINE</t>
  </si>
  <si>
    <t>MEXICO</t>
  </si>
  <si>
    <t>901-PAL-MASISA-DURANGO-ARAUCO-2019</t>
  </si>
  <si>
    <t>IT00119COC00680</t>
  </si>
  <si>
    <t>TK15+TK35</t>
  </si>
  <si>
    <t>902-EGGER-EGGER-BARONY-2019</t>
  </si>
  <si>
    <t>IT00119COC00703</t>
  </si>
  <si>
    <t>COCLEA DOSATRICE EX COMM 970361CS</t>
  </si>
  <si>
    <t>903-SAIB S.P.A.--FOSSADELLO DI CAORSO-2019</t>
  </si>
  <si>
    <t>PARFINO</t>
  </si>
  <si>
    <t>904-TRASMEC ROMANIA-BERSEY-PARFINO-2019</t>
  </si>
  <si>
    <t>IT00119COC00718</t>
  </si>
  <si>
    <t>KUNKEL PALLET BLOCKS</t>
  </si>
  <si>
    <t>Longari/Franzini</t>
  </si>
  <si>
    <t>905-IMAL--KUNKEL PALLET BLOCKS-2019</t>
  </si>
  <si>
    <t>IT00119COC00743</t>
  </si>
  <si>
    <t>COCLEA SOTTO CHIPPATORE TIGER</t>
  </si>
  <si>
    <t>906-KRONOSPAN--BURGOS-2019</t>
  </si>
  <si>
    <t>IT00119COC00783</t>
  </si>
  <si>
    <t>RICAMBI VARI + 2 COCLEE CERAMIZZATE</t>
  </si>
  <si>
    <t>SCREW BUNKERS FOR TRIMMINGS AND FIBER</t>
  </si>
  <si>
    <t>907-TRASMEC CHINA-VYNCKE-CAPWATT-2019</t>
  </si>
  <si>
    <t>IT00119COC00776</t>
  </si>
  <si>
    <t>VYNCKE CZECH FACTORY</t>
  </si>
  <si>
    <t>FUEL RECIRCULATION FOR MATERIAL TESTING</t>
  </si>
  <si>
    <t>MACCHINE PER FINANZIAMENTI</t>
  </si>
  <si>
    <t>908-VYNCKE-VYNCKE-VYNCKE CZECH FACTORY-2019</t>
  </si>
  <si>
    <t>IT00119COC00785</t>
  </si>
  <si>
    <t>GREEN BLOCK</t>
  </si>
  <si>
    <t>909-IMAL--GREEN BLOCK-2019</t>
  </si>
  <si>
    <t>IT00119COC00950</t>
  </si>
  <si>
    <t>(macchine aggiunte)</t>
  </si>
  <si>
    <t>IT00119COC00951</t>
  </si>
  <si>
    <t>(bunker aggiunto)</t>
  </si>
  <si>
    <t>IT00119COC00712</t>
  </si>
  <si>
    <t>NONTHABURI</t>
  </si>
  <si>
    <t>PNEUMATIC SLIDING GATES</t>
  </si>
  <si>
    <t>910-METRO INDUSTRIAL PARK--NONTHABURI-2019</t>
  </si>
  <si>
    <t>IT00119COC00747</t>
  </si>
  <si>
    <t>AL TALAH</t>
  </si>
  <si>
    <t>PALM RECYCLING PLANT</t>
  </si>
  <si>
    <t>PRE ENGINEERING CONVEYORS</t>
  </si>
  <si>
    <t>UNITED ARAB EMIRATES</t>
  </si>
  <si>
    <t>911-DIEFFENBACHER-AL TALAH-PALM RECYCLING PLANT-2020</t>
  </si>
  <si>
    <t>IT00120COC00043</t>
  </si>
  <si>
    <t>31/03-10/06-2020</t>
  </si>
  <si>
    <t>IT00119COC00831</t>
  </si>
  <si>
    <t>INDUSTRIAS METALICAS ONAZ</t>
  </si>
  <si>
    <t>AZPEITIA</t>
  </si>
  <si>
    <t>912-INDUSTRIAS METALICAS ONAZ--AZPEITIA-2019</t>
  </si>
  <si>
    <t>POWER PLANT</t>
  </si>
  <si>
    <t>913-TRASMEC CHINA-VANACHAI -POWER PLANT-2019</t>
  </si>
  <si>
    <t>IT00119COC00889</t>
  </si>
  <si>
    <t>ESTABOGA</t>
  </si>
  <si>
    <t>SLIDING GATE FOR CONVEYOR AU0749C-R006178</t>
  </si>
  <si>
    <t>914-KRONOSPAN--ESTABOGA-2019</t>
  </si>
  <si>
    <t>IT00119COC00884</t>
  </si>
  <si>
    <t>OSOPPO</t>
  </si>
  <si>
    <t>NUOVO SCARICO CAPANNE PLAXIL 4-5-6</t>
  </si>
  <si>
    <t>20/4-30/6/2019</t>
  </si>
  <si>
    <t>915-FANTONI-FANTONI-OSOPPO-2019</t>
  </si>
  <si>
    <t>IT00120COC00146</t>
  </si>
  <si>
    <t>CLARIANT</t>
  </si>
  <si>
    <t>916-DIEFFENBACHER--CLARIANT-2019</t>
  </si>
  <si>
    <t>IT00120COC00038</t>
  </si>
  <si>
    <t>KALUGA</t>
  </si>
  <si>
    <t>CONVEYORS FOR NEW MDF LINE</t>
  </si>
  <si>
    <t>917-GIM EXPORT GROUP-KRONOSPAN-KALUGA-2019</t>
  </si>
  <si>
    <t>IT00119COC00940</t>
  </si>
  <si>
    <t>RECY - STEP1</t>
  </si>
  <si>
    <t>918-PAL-FINSA CELLA-FINSA CELLA-2019</t>
  </si>
  <si>
    <t>IT00120COC00045</t>
  </si>
  <si>
    <t>RECY - STEP2</t>
  </si>
  <si>
    <t>IT00120COC00044</t>
  </si>
  <si>
    <t>TK25+TK35</t>
  </si>
  <si>
    <t>919-EGGER-EGGER-BARONY-2020</t>
  </si>
  <si>
    <t>IT00120COC00070</t>
  </si>
  <si>
    <t>LAPOVO</t>
  </si>
  <si>
    <t>SERBIA</t>
  </si>
  <si>
    <t>15/6-15/7/2020</t>
  </si>
  <si>
    <t>920-CONTIPLUS LTD MALTA-KRONOSPAN-LAPOVO-2020</t>
  </si>
  <si>
    <t>IT00120COC00073</t>
  </si>
  <si>
    <t>ARBAFLAME</t>
  </si>
  <si>
    <t xml:space="preserve">BLACK PELLET </t>
  </si>
  <si>
    <t>NORVAY</t>
  </si>
  <si>
    <t>921-PAL-ARBAFLAME-BLACK PELLET -2020</t>
  </si>
  <si>
    <t>IT00120COC00090</t>
  </si>
  <si>
    <t>GREEN ARABIA</t>
  </si>
  <si>
    <t>922-IMAL--GREEN ARABIA-2020</t>
  </si>
  <si>
    <t>IT00120COC00112</t>
  </si>
  <si>
    <t>CONVEYORS FOR RECY</t>
  </si>
  <si>
    <t>923-SWISS KRONO--CONVEYORS FOR RECY-2020</t>
  </si>
  <si>
    <t>IT00120COC00209</t>
  </si>
  <si>
    <t>CAMSAN ORDU</t>
  </si>
  <si>
    <t>NEW MDF III</t>
  </si>
  <si>
    <t>STORAGE AND CONVEYNG SYSTEM FOR NEW MDF III</t>
  </si>
  <si>
    <t>924-CAMSAN ORDU-CAMSAN ORDU-NEW MDF III-2020</t>
  </si>
  <si>
    <t>IT00120COC00114</t>
  </si>
  <si>
    <t>RECY NUOVA TORRE DI PULIZIA</t>
  </si>
  <si>
    <t>925-FANTONI-FANTONI-RECY NUOVA TORRE DI PULIZIA-2020</t>
  </si>
  <si>
    <t>IT00120COC00106</t>
  </si>
  <si>
    <t>ITEM 300.07 SOSTITUZIONE TN CON TK25HP</t>
  </si>
  <si>
    <t>926-KRONOSPAN-KRONOSPAN-BURGOS-2020</t>
  </si>
  <si>
    <t>IT00120COC00131</t>
  </si>
  <si>
    <t>CHIPS SPILLAGE&gt;KMS-LAY OUT BURGOS C9-4</t>
  </si>
  <si>
    <t>IT00120COC00129</t>
  </si>
  <si>
    <t>NUOVO ESSICCATOIO - TRASPORTATORE CENERI</t>
  </si>
  <si>
    <t>927-SAIB S.P.A.-SAIB-FOSSADELLO DI CAORSO-2020</t>
  </si>
  <si>
    <t>IT00120COC00130</t>
  </si>
  <si>
    <t>NUOVO ESSICCATOIO</t>
  </si>
  <si>
    <t>30/07/-30/10/2020</t>
  </si>
  <si>
    <t>IT00120COC00386</t>
  </si>
  <si>
    <t>COCLEE POOLVERE</t>
  </si>
  <si>
    <t>IT00120COC00151</t>
  </si>
  <si>
    <t>SWISSKRONO</t>
  </si>
  <si>
    <t>EX-KRONOPOL ZARY</t>
  </si>
  <si>
    <t>n°2 COCLEE DI RICAMBIO</t>
  </si>
  <si>
    <t>928-SWISSKRONO--EX-KRONOPOL ZARY-2020</t>
  </si>
  <si>
    <t>IT00120COC00207</t>
  </si>
  <si>
    <t>FALCO Zrt</t>
  </si>
  <si>
    <t>RECY REVAMPING TK50PNZ</t>
  </si>
  <si>
    <t>929-FALCO Zrt-KRONOSPAN-FALCO -2020</t>
  </si>
  <si>
    <t>IT00120COC00208</t>
  </si>
  <si>
    <t>RECY CHIPS</t>
  </si>
  <si>
    <t>930-BORG--RECY CHIPS-2020</t>
  </si>
  <si>
    <t>IT00120COC00297</t>
  </si>
  <si>
    <t>Overbelt</t>
  </si>
  <si>
    <t>IT00120COC00214</t>
  </si>
  <si>
    <t>GIM EXPORT</t>
  </si>
  <si>
    <t>SAMSUN</t>
  </si>
  <si>
    <t>Pannunzio/Longari</t>
  </si>
  <si>
    <t>30/09-30/11/2020</t>
  </si>
  <si>
    <t>931-GIM EXPORT-KASTAMONU-SAMSUN-2020</t>
  </si>
  <si>
    <t>IT00120COC00206</t>
  </si>
  <si>
    <t>SULLY SUR LOIRE</t>
  </si>
  <si>
    <t>SCREWS VARIOUS</t>
  </si>
  <si>
    <t>ANNULLATO</t>
  </si>
  <si>
    <t>932-PAL-SWISS KRONO-SULLY SUR LOIRE-2020</t>
  </si>
  <si>
    <t>IT00120COC00723</t>
  </si>
  <si>
    <t>IT00120COC00215</t>
  </si>
  <si>
    <t>Dieffenbacher</t>
  </si>
  <si>
    <t>Fornitura lavatore instalmec a DF</t>
  </si>
  <si>
    <t>933-Dieffenbacher-SWISS KRONO-SULLY SUR LOIRE-2020</t>
  </si>
  <si>
    <t>IT00120COC00210</t>
  </si>
  <si>
    <t>WEIGHTING SYSTEM SUPPLY</t>
  </si>
  <si>
    <t>934-HOLTEC--ALTAILES PAVLOVSKY MDF-2020</t>
  </si>
  <si>
    <t>IT00120COC00218</t>
  </si>
  <si>
    <t>935-EGGER--RAMBERVILLERS-2020</t>
  </si>
  <si>
    <t>IT00120COC00236</t>
  </si>
  <si>
    <t>LINEX  PANNEAUX</t>
  </si>
  <si>
    <t>936-LINEX  PANNEAUX--LINEX PANNEAUX-2020</t>
  </si>
  <si>
    <t>IT00120COC00237</t>
  </si>
  <si>
    <t>TECHNIC ONE VIRGINIA</t>
  </si>
  <si>
    <t>937-TECHNIC ONE--TECHNIC ONE VIRGINIA-2020</t>
  </si>
  <si>
    <t>IT00124COC00982</t>
  </si>
  <si>
    <t>IT00120COC00265</t>
  </si>
  <si>
    <t>938-INSTALMEC--LAPOVO-2020</t>
  </si>
  <si>
    <t>IT00120COC00270</t>
  </si>
  <si>
    <t>KRONOSPAN S.L</t>
  </si>
  <si>
    <t>BURGOS C9 (a)-(b)</t>
  </si>
  <si>
    <t>939-KRONOSPAN S.L-KRONOSPAN-BURGOS C9 (a)-(b)-2020</t>
  </si>
  <si>
    <t>IT00120COC00271</t>
  </si>
  <si>
    <t>MION&amp;MOSOLE</t>
  </si>
  <si>
    <t>CLEANING TOWER</t>
  </si>
  <si>
    <t>940-MION&amp;MOSOLE--CLEANING TOWER-2020</t>
  </si>
  <si>
    <t>IT00120COC00292</t>
  </si>
  <si>
    <t>GARNICA PLYWOOD</t>
  </si>
  <si>
    <t>VALENCIA</t>
  </si>
  <si>
    <t>941-GARNICA PLYWOOD-GARNICA PLYWOOD-VALENCIA-2020</t>
  </si>
  <si>
    <t>IT00120COC00365</t>
  </si>
  <si>
    <t>KRONOSPAN LIMITED</t>
  </si>
  <si>
    <t>CHAIN CLEANER ON EXISTING BELTS</t>
  </si>
  <si>
    <t>GALLES</t>
  </si>
  <si>
    <t>942-KRONOSPAN LIMITED-KRONOSPAN-CHIRK-2020</t>
  </si>
  <si>
    <t>IT00120COC00398</t>
  </si>
  <si>
    <t>IPAN</t>
  </si>
  <si>
    <t>AMPLIAMENTO PULIZIA CHIPS</t>
  </si>
  <si>
    <t>943-PAL--IPAN-2020</t>
  </si>
  <si>
    <t>IT00120COC00613</t>
  </si>
  <si>
    <t>NOVAWOOD</t>
  </si>
  <si>
    <t>944-SERA ENERGIES--NOVAWOOD-2020</t>
  </si>
  <si>
    <t>IT00120COC00269</t>
  </si>
  <si>
    <t xml:space="preserve">CITADEL </t>
  </si>
  <si>
    <t>DUBAI</t>
  </si>
  <si>
    <t>MDF 1  CONVEYORS</t>
  </si>
  <si>
    <t>945-CITADEL -DUBAI-MDF 1  CONVEYORS-2020</t>
  </si>
  <si>
    <t>IT00120COC00424</t>
  </si>
  <si>
    <t>KRONOSPAN LLC</t>
  </si>
  <si>
    <t>POS. 24.100 TKK OVERSIZE</t>
  </si>
  <si>
    <t>946-KRONOSPAN LLC-KRONOSPAN-ELEKTROGORSK-2020</t>
  </si>
  <si>
    <t>IT00120COC00443</t>
  </si>
  <si>
    <t>KRONOSPAN AUXERRE</t>
  </si>
  <si>
    <t>947-INSTALMEC-KRONOSPAN-KRONOSPAN AUXERRE-2020</t>
  </si>
  <si>
    <t>IT00120COC00434</t>
  </si>
  <si>
    <t>PRE CRUSH BELTS</t>
  </si>
  <si>
    <t>completato</t>
  </si>
  <si>
    <t>948-KASTAMONU --POMPOSA-2020</t>
  </si>
  <si>
    <t>IT00120COC00559</t>
  </si>
  <si>
    <t>VARMEVARDEN</t>
  </si>
  <si>
    <t>STEEL PLATE CONVEYOR (VULCAN)</t>
  </si>
  <si>
    <t>PROGETTO IN CONDIVISIONE CON TRM X</t>
  </si>
  <si>
    <t>949-VYNCKE--VARMEVARDEN-2020</t>
  </si>
  <si>
    <t>IT00120COC00619</t>
  </si>
  <si>
    <t>GIM EXPORT Gmbh</t>
  </si>
  <si>
    <t>KRONOSPAN RIVNE</t>
  </si>
  <si>
    <t>BOILER PLANT BIOMASS INFEED SYSTEM</t>
  </si>
  <si>
    <t>950-GIM EXPORT Gmbh-KRONOSPAN-KRONOSPAN RIVNE-2020</t>
  </si>
  <si>
    <t>IT00120COC00482</t>
  </si>
  <si>
    <t>SIAM PAPER LAMINATES</t>
  </si>
  <si>
    <t>SIAM PAPER</t>
  </si>
  <si>
    <t>JOB NR.: AZ1218-I</t>
  </si>
  <si>
    <t>951-SIAM PAPER LAMINATES--SIAM PAPER-2020</t>
  </si>
  <si>
    <t>IT00120COC00527</t>
  </si>
  <si>
    <t>AUXERRE ASH SCREW</t>
  </si>
  <si>
    <t>952-KRONOSPAN--AUXERRE ASH SCREW-2020</t>
  </si>
  <si>
    <t>IT00120COC00535</t>
  </si>
  <si>
    <t>COCLEE CENERI PER CONTO DI TRM CHN</t>
  </si>
  <si>
    <t>953-VYNCKE---2020</t>
  </si>
  <si>
    <t>IT00120COC00554</t>
  </si>
  <si>
    <t>OSKO</t>
  </si>
  <si>
    <t>954-IMAL--OSKO-2020</t>
  </si>
  <si>
    <t>IT00120COC00564</t>
  </si>
  <si>
    <t>955-TECHNIC ONE--USA-2020</t>
  </si>
  <si>
    <t>IT00120COC00580</t>
  </si>
  <si>
    <t>956-CONTIPLUS LIMITED-KRONOSPAN-ELEKTROGORSK-2020</t>
  </si>
  <si>
    <t>IT00120COC00579</t>
  </si>
  <si>
    <t>KRONOSPAN OSB</t>
  </si>
  <si>
    <t>KARL 3 STRZELCE</t>
  </si>
  <si>
    <t>SERRANDA ON/OFF PER TKK80PNZ POS.20.560</t>
  </si>
  <si>
    <t>957-KRONOSPAN OSB-KRONOSPAN-KARL 3 STRZELCE-2020</t>
  </si>
  <si>
    <t>IT00120COC00593</t>
  </si>
  <si>
    <t>RENOVO</t>
  </si>
  <si>
    <t>BIOEDIL</t>
  </si>
  <si>
    <t>958-IMAL-RENOVO-BIOEDIL-2020</t>
  </si>
  <si>
    <t>IT00120COC00581</t>
  </si>
  <si>
    <t>959-KRONOSPAN--SALAS-2020</t>
  </si>
  <si>
    <t>IT00120COC00612</t>
  </si>
  <si>
    <t>SEPARATORE ACQUA INSTALMEC</t>
  </si>
  <si>
    <t>960-KASTAMONU--POMPOSA-2020</t>
  </si>
  <si>
    <t>IT00120COC00632</t>
  </si>
  <si>
    <t>OLAM KOOG AAN DE ZAAN</t>
  </si>
  <si>
    <t>961-VYNCKE-OLAM KOOG AAN DE ZAAN--2020</t>
  </si>
  <si>
    <t>IT00120COC00636</t>
  </si>
  <si>
    <t>CITADEL TRADING DUBAI</t>
  </si>
  <si>
    <t>962-VYNCKE-CITADEL TRADING DUBAI--2020</t>
  </si>
  <si>
    <t>IT00120COC00633</t>
  </si>
  <si>
    <t>FLAP</t>
  </si>
  <si>
    <t>963-KRONOSPAN--EGORIEVSK-2020</t>
  </si>
  <si>
    <t>IT00120COC00634</t>
  </si>
  <si>
    <t>PIET RETIEF-NEW DRYER</t>
  </si>
  <si>
    <t>NEW DRYER</t>
  </si>
  <si>
    <t>964-PG BISON--PIET RETIEF-NEW DRYER-2020</t>
  </si>
  <si>
    <t>IT00120COC00660</t>
  </si>
  <si>
    <t>BIOSYL</t>
  </si>
  <si>
    <t>965-BIOSYL--BIOSYL-2020</t>
  </si>
  <si>
    <t>IT00120COC00739</t>
  </si>
  <si>
    <t>XILO TECHNOLOGIES</t>
  </si>
  <si>
    <t>MODIFICA MACCHINE ESISTENTI</t>
  </si>
  <si>
    <t>966-XILO TECHNOLOGIES--KRONOSPAN UFA-2020</t>
  </si>
  <si>
    <t>IT00120COC00645</t>
  </si>
  <si>
    <t>KAINDL</t>
  </si>
  <si>
    <t>INIETTORE RICAMBIO MATR. 2955/96</t>
  </si>
  <si>
    <t>967-KAINDL--KAINDL-2020</t>
  </si>
  <si>
    <t>IT00120COC00657</t>
  </si>
  <si>
    <t>GRIGOLIN SILI</t>
  </si>
  <si>
    <t>968-PAL--GRIGOLIN SILI-2020</t>
  </si>
  <si>
    <t>IT00120COC00667</t>
  </si>
  <si>
    <t>KB Sp. Zoo.</t>
  </si>
  <si>
    <t>N°2 TB500</t>
  </si>
  <si>
    <t>969-KB Sp. Zoo.-KRONOSPAN-SZCZECINEK-2020</t>
  </si>
  <si>
    <t>IT00120COC00694</t>
  </si>
  <si>
    <t>NILE WOOD EKH</t>
  </si>
  <si>
    <t>MDF (STEP1)</t>
  </si>
  <si>
    <t>EGYPT</t>
  </si>
  <si>
    <t>970-DIEFFENBACHER--NILE WOOD EKH-2021</t>
  </si>
  <si>
    <t>IT00121COC00043</t>
  </si>
  <si>
    <t>COCLEA (STEP1)</t>
  </si>
  <si>
    <t>IT00121COC00298</t>
  </si>
  <si>
    <t>RECY (STEP2)</t>
  </si>
  <si>
    <t>IT00121COC00313</t>
  </si>
  <si>
    <t>COCLEA (BA0871)</t>
  </si>
  <si>
    <t>IT00121COC01012</t>
  </si>
  <si>
    <t>COCLEE E CLAPPA (STEP3)</t>
  </si>
  <si>
    <t>IT00120COC00710</t>
  </si>
  <si>
    <t>IJSBEER</t>
  </si>
  <si>
    <t>971-IMAL--IJSBEER-2020</t>
  </si>
  <si>
    <t>IT00120COC00770</t>
  </si>
  <si>
    <t>STRZELCE OSB</t>
  </si>
  <si>
    <t>972-KRONOSPAN-KRONOSPAN-STRZELCE OSB-2020</t>
  </si>
  <si>
    <t>IT00120COC00791</t>
  </si>
  <si>
    <t>GRUPO LOSAN</t>
  </si>
  <si>
    <t>LOSAN CUENCA</t>
  </si>
  <si>
    <t>973-PAL-GRUPO LOSAN-LOSAN CUENCA-2020</t>
  </si>
  <si>
    <t>IT00120COC00809</t>
  </si>
  <si>
    <t>COCLEA VERTICALE + INIETTRICE</t>
  </si>
  <si>
    <t>974-TECHNIC ONE---2020</t>
  </si>
  <si>
    <t>IT00120COC00815</t>
  </si>
  <si>
    <t>COCLEA VERTICALE RICAMBIO</t>
  </si>
  <si>
    <t>975-KRONOSPAN-SEBES--2020</t>
  </si>
  <si>
    <t>IT00120COC00835</t>
  </si>
  <si>
    <t>TK19V</t>
  </si>
  <si>
    <t>976-FALCO Zrt-KRONOSPAN-FALCO -2020</t>
  </si>
  <si>
    <t>IT00120COC00848</t>
  </si>
  <si>
    <t>FRATI - BIPAN - PANTEC</t>
  </si>
  <si>
    <t>30/04-28/07/2021</t>
  </si>
  <si>
    <t>977-CMP--FRATI - BIPAN - PANTEC-2021</t>
  </si>
  <si>
    <t>IT00121COC00417</t>
  </si>
  <si>
    <t>N°1  SCREW FOR MDF FIBER</t>
  </si>
  <si>
    <t>IT00121COC00635</t>
  </si>
  <si>
    <t>IT00120COC00841</t>
  </si>
  <si>
    <t>FENGLIN CHINA</t>
  </si>
  <si>
    <t>FORMING STATION</t>
  </si>
  <si>
    <t>CHINA</t>
  </si>
  <si>
    <t>978-DIEFFENBACHER-FENGLIN CHINA--2020</t>
  </si>
  <si>
    <t>IT00121COC00009</t>
  </si>
  <si>
    <t>NONE</t>
  </si>
  <si>
    <t>979-PAL-ARBAFLAME-BLACK PELLET -2021</t>
  </si>
  <si>
    <t>IT00121COC00017</t>
  </si>
  <si>
    <t>HEXHAM</t>
  </si>
  <si>
    <t>980-EGGER--HEXHAM-2021</t>
  </si>
  <si>
    <t>IT00121COC00038</t>
  </si>
  <si>
    <t>AMPLIAMENTO MULINI A MARTELLI</t>
  </si>
  <si>
    <t>10/03/2021-10/07/2021</t>
  </si>
  <si>
    <t>981-SAIB S.P.A.-SAIB-FOSSADELLO DI CAORSO-2021</t>
  </si>
  <si>
    <t>IT00121COC00039</t>
  </si>
  <si>
    <t>IT00121COC00040</t>
  </si>
  <si>
    <t>IT00121COC00051</t>
  </si>
  <si>
    <t>n°2 COCLEE DI TRASPORTO</t>
  </si>
  <si>
    <t>982-KRONOSPAN--BURGOS-2021</t>
  </si>
  <si>
    <t>IT00121COC00057</t>
  </si>
  <si>
    <t>n°2 COCLEE TUBOLARI</t>
  </si>
  <si>
    <t>IT00121COC00077</t>
  </si>
  <si>
    <t>OBERON</t>
  </si>
  <si>
    <t>ALIMENTAZIONE CALDAIA , TUBOLARI PER MDF, VARIE</t>
  </si>
  <si>
    <t>983-BORG-BORG-OBERON-2021</t>
  </si>
  <si>
    <t>IT00121COC00088</t>
  </si>
  <si>
    <t>984-PG BISON--PIET RETIEF-2021</t>
  </si>
  <si>
    <t>IT00121COC00089</t>
  </si>
  <si>
    <t>IT00121COC00090</t>
  </si>
  <si>
    <t>IT00121COC00091</t>
  </si>
  <si>
    <t>IT00121COC00092</t>
  </si>
  <si>
    <t>IT00121COC00093</t>
  </si>
  <si>
    <t>IT00121COC00094</t>
  </si>
  <si>
    <t>IT00121COC00596</t>
  </si>
  <si>
    <t>IT00121COC00096</t>
  </si>
  <si>
    <t>N°3 TK15</t>
  </si>
  <si>
    <t>985-KRONOSPAN--SALAS-2021</t>
  </si>
  <si>
    <t>IT00121COC00117</t>
  </si>
  <si>
    <t>SEPARATORE A DISCHI</t>
  </si>
  <si>
    <t>IT00121COC00134</t>
  </si>
  <si>
    <t>N°2 TK25</t>
  </si>
  <si>
    <t>IT00121COC00151</t>
  </si>
  <si>
    <t>N°1TKK30</t>
  </si>
  <si>
    <t>IT00121COC00169</t>
  </si>
  <si>
    <t>N° 2 SCREWS</t>
  </si>
  <si>
    <t>IT00121COC00434</t>
  </si>
  <si>
    <t>N° 1 SCREW</t>
  </si>
  <si>
    <t>IT00121COC01187</t>
  </si>
  <si>
    <t>N°1 TN1000LT</t>
  </si>
  <si>
    <t>IT00121COC00095</t>
  </si>
  <si>
    <t>986-INSTALMEC-KRONOSPAN-ELEKTROGORSK-2021</t>
  </si>
  <si>
    <t>IT00121COC00107</t>
  </si>
  <si>
    <t>TARIMAS</t>
  </si>
  <si>
    <t>COSTARICA</t>
  </si>
  <si>
    <t>987-IMAL--TARIMAS-2021</t>
  </si>
  <si>
    <t>IT00121COC00106</t>
  </si>
  <si>
    <t>IJSBEER PALLET BLOCK</t>
  </si>
  <si>
    <t>988-IMAL--IJSBEER PALLET BLOCK-2021</t>
  </si>
  <si>
    <t>IT00121COC00110</t>
  </si>
  <si>
    <t>TOMSK</t>
  </si>
  <si>
    <t>989-IMAL--TOMSK-2021</t>
  </si>
  <si>
    <t>IT00121COC00153</t>
  </si>
  <si>
    <t>ARCELOR MITTAL</t>
  </si>
  <si>
    <t>ARCELOR MITTAL GENT</t>
  </si>
  <si>
    <t>INGEGNERIA</t>
  </si>
  <si>
    <t>990-PAL-ARCELOR MITTAL-ARCELOR MITTAL GENT-2021</t>
  </si>
  <si>
    <t>IT00121COC00822</t>
  </si>
  <si>
    <t>IT00121COC00152</t>
  </si>
  <si>
    <t>N°1 SLIDING GATE</t>
  </si>
  <si>
    <t>991-KRONOSPAN--NOVOVOLYNSK-2021</t>
  </si>
  <si>
    <t>IT00121COC00150</t>
  </si>
  <si>
    <t>ENGIE COMPIEGNE</t>
  </si>
  <si>
    <t>992-SERA ENERGIES--ENGIE COMPIEGNE-2021</t>
  </si>
  <si>
    <t>IT00121COC00168</t>
  </si>
  <si>
    <t>N°1 COCLEA D650</t>
  </si>
  <si>
    <t>993-KRONOSPAN--BJELOVAR-2021</t>
  </si>
  <si>
    <t>IT00121COC00660</t>
  </si>
  <si>
    <t>2TB + 2 TKK BRZ</t>
  </si>
  <si>
    <t>IT00121COC00170</t>
  </si>
  <si>
    <t>IJSBEER CARICO CALDAIA</t>
  </si>
  <si>
    <t>30/03-02/05/22</t>
  </si>
  <si>
    <t>994-IMAL--IJSBEER CARICO CALDAIA-2021</t>
  </si>
  <si>
    <t>IT00121COC00171</t>
  </si>
  <si>
    <t>ODEK</t>
  </si>
  <si>
    <t>995-VYNCKE-ODEK-ODEK-2021</t>
  </si>
  <si>
    <t>IT00121COC00403</t>
  </si>
  <si>
    <t>HOMANIT</t>
  </si>
  <si>
    <t>LITHUANIA</t>
  </si>
  <si>
    <t>996-DIEFFENBACHER--HOMANIT-2021</t>
  </si>
  <si>
    <t>IT00121COC00530</t>
  </si>
  <si>
    <t>IT00121COC00661</t>
  </si>
  <si>
    <t>TN1000</t>
  </si>
  <si>
    <t>IT00121COC00320</t>
  </si>
  <si>
    <t>IDEX</t>
  </si>
  <si>
    <t>GUYANA</t>
  </si>
  <si>
    <t>997-SERA ENERGIES--IDEX-2021</t>
  </si>
  <si>
    <t>IT00121COC00202</t>
  </si>
  <si>
    <t>AUXERRE</t>
  </si>
  <si>
    <t>Coclea costr. Cliente</t>
  </si>
  <si>
    <t>998-INSTALMEC-KRONOSPAN-AUXERRE-2021</t>
  </si>
  <si>
    <t>IT00121COC00239</t>
  </si>
  <si>
    <t>999-IPAN-IPAN--2021</t>
  </si>
  <si>
    <t>IT00121COC00701</t>
  </si>
  <si>
    <t>SAICA</t>
  </si>
  <si>
    <t>1000-SERA ENERGIES--SAICA-2021</t>
  </si>
  <si>
    <t>IT00121COC00307</t>
  </si>
  <si>
    <t>1001-IMAL-TABLEROS HISPANOS-TABLEROS HISPANOS-2021</t>
  </si>
  <si>
    <t>IT00121COC00547</t>
  </si>
  <si>
    <t>SERRANDA AGGIUNTIVA</t>
  </si>
  <si>
    <t>IT00121COC00312</t>
  </si>
  <si>
    <t>ORIS2-OSB LINE-RIVNE</t>
  </si>
  <si>
    <t>EX - PROJECT 889 OBARIV OSB2</t>
  </si>
  <si>
    <t>1002-GIM EXPORT GROUP-KRONOSPAN-ORIS2-OSB LINE-RIVNE-2021</t>
  </si>
  <si>
    <t>IT00121COC00349</t>
  </si>
  <si>
    <t>CEATEC ENGINEERING GMBH</t>
  </si>
  <si>
    <t>MOFA</t>
  </si>
  <si>
    <t>1003-CEATEC ENGINEERING GMBH-KRONOSPAN-MOFA-2021</t>
  </si>
  <si>
    <t>IT00121COC00375</t>
  </si>
  <si>
    <t>N°1 TK40 HP</t>
  </si>
  <si>
    <t>1004-EGGER--ROMANIA-2021</t>
  </si>
  <si>
    <t>IT00121COC00385</t>
  </si>
  <si>
    <t>KRONOSPAN LUX</t>
  </si>
  <si>
    <t>INSTALLAZIONE STRANDER 3</t>
  </si>
  <si>
    <t>1005-KRONOSPAN LUX-KRONOSPAN-SANEM-2021</t>
  </si>
  <si>
    <t>Fornitura completa Instalmec</t>
  </si>
  <si>
    <t>KASTAMONU ITALIA</t>
  </si>
  <si>
    <t>FALCO WATERPIT SYSTEM</t>
  </si>
  <si>
    <t>TKK1050WSE</t>
  </si>
  <si>
    <t>1006-KASTAMONU ITALIA--FALCO WATERPIT SYSTEM-2021</t>
  </si>
  <si>
    <t>IT00121COC00395</t>
  </si>
  <si>
    <t xml:space="preserve">FINANCIERA MADERERA S.A. </t>
  </si>
  <si>
    <t>CELLA</t>
  </si>
  <si>
    <t>N°1 TK40PNZ</t>
  </si>
  <si>
    <t>1007-FINANCIERA MADERERA S.A. --CELLA-2021</t>
  </si>
  <si>
    <t>IT00121COC00389</t>
  </si>
  <si>
    <t>1008-CMP--IMPIANTO FRATI-2021</t>
  </si>
  <si>
    <t>IT00121SPO00333R00</t>
  </si>
  <si>
    <t>PULITORI PER NASTRI PREESISTENTE</t>
  </si>
  <si>
    <t>1009-FANTONI--OSOPPO-2021</t>
  </si>
  <si>
    <t>KIT TRASLAZIONE PER NASTRO SOPRA SILOS</t>
  </si>
  <si>
    <t>IT00121COC00463</t>
  </si>
  <si>
    <t>1010-KRONOSPAN--SANDEBECK-2021</t>
  </si>
  <si>
    <t>IT00121COC00471</t>
  </si>
  <si>
    <t>ARCHIBLOCK</t>
  </si>
  <si>
    <t>1011-IMAL--ARCHIBLOCK-2021</t>
  </si>
  <si>
    <t>IT00121COC00474</t>
  </si>
  <si>
    <t xml:space="preserve">METRO PARTICLE </t>
  </si>
  <si>
    <t>METRO</t>
  </si>
  <si>
    <t>PB4</t>
  </si>
  <si>
    <t>ORDINE TRM ITALY</t>
  </si>
  <si>
    <t>1012-METRO PARTICLE -METRO-PB4-2021</t>
  </si>
  <si>
    <t>OC21CS-0009035</t>
  </si>
  <si>
    <t>ORDINE TRM CHINA</t>
  </si>
  <si>
    <t>OC21CS-0009033</t>
  </si>
  <si>
    <t>ORDINE TRM CHINA- TK DRIER CICLONI</t>
  </si>
  <si>
    <t>OC21CS-0009051</t>
  </si>
  <si>
    <t>ORDINE TRM CHINA- CLAPPE</t>
  </si>
  <si>
    <t>OC21CS-0009039</t>
  </si>
  <si>
    <t>ORDINE TRM CHINA- COCLEE CENERI</t>
  </si>
  <si>
    <t>IT00121COC00476</t>
  </si>
  <si>
    <t>METRO MDF</t>
  </si>
  <si>
    <t>MDF2</t>
  </si>
  <si>
    <t>1013-METRO MDF-METRO-MDF2-2021</t>
  </si>
  <si>
    <t>OCS21CS-0009036</t>
  </si>
  <si>
    <t>IT00121COC00489</t>
  </si>
  <si>
    <t>1014-CONTIPLUS LIMITED-KRONOSPAN-KALUGA-2021</t>
  </si>
  <si>
    <t>IT00121COC00492</t>
  </si>
  <si>
    <t>SLIDING GATES</t>
  </si>
  <si>
    <t>1015-EGGER--COLUMBUS-2021</t>
  </si>
  <si>
    <t>IT00121COC00490</t>
  </si>
  <si>
    <t>DOSING BUNKER</t>
  </si>
  <si>
    <t>1016-BERSEY--STARWOOD-2021</t>
  </si>
  <si>
    <t>IT00121COC00771</t>
  </si>
  <si>
    <t>DOSING BUNKER (one more)</t>
  </si>
  <si>
    <t>IT00121COC00545</t>
  </si>
  <si>
    <t>ZIEGLER</t>
  </si>
  <si>
    <t>1017-DIEFFENBACHER--ZIEGLER-2021</t>
  </si>
  <si>
    <t>IT00121COC00543</t>
  </si>
  <si>
    <t>Brugnoli/Longari</t>
  </si>
  <si>
    <t>1018-CONTIPLUS LTD MALTA-KRONOSPAN-RIGA-2021</t>
  </si>
  <si>
    <t>IT00121COC00531</t>
  </si>
  <si>
    <t>SWISS KRONO sp. z o.o.</t>
  </si>
  <si>
    <t>1019-SWISS KRONO--SWISS KRONO sp. z o.o.-2021</t>
  </si>
  <si>
    <t>IT00121COC00551</t>
  </si>
  <si>
    <t>1020-KRONOSPAN POLSKA--SZCZECINEK-2021</t>
  </si>
  <si>
    <t>IT00121COC00597</t>
  </si>
  <si>
    <t>EIREBLOCK LTD</t>
  </si>
  <si>
    <t>1021-IMAL--EIREBLOCK LTD-2021</t>
  </si>
  <si>
    <t>IT00121COC00590</t>
  </si>
  <si>
    <t>MERINO</t>
  </si>
  <si>
    <t>1022-DIEFFENBACHER-MERINO-FORMING STATION-2021</t>
  </si>
  <si>
    <t>IT00121COC00658</t>
  </si>
  <si>
    <t>1023-KRONOSPAN--LAPOVO-2021</t>
  </si>
  <si>
    <t>IT00121COC00779</t>
  </si>
  <si>
    <t>IT00121COC00893</t>
  </si>
  <si>
    <t>IT00121COC00702</t>
  </si>
  <si>
    <t>OSB LINE-RIVNE</t>
  </si>
  <si>
    <t>1024-GIM EXPORT GROUP-KRONOSPAN-OSB LINE-RIVNE-2021</t>
  </si>
  <si>
    <t>IT00121COC00691</t>
  </si>
  <si>
    <t>BOILER INFEED-BORMANN 2 - SECOND PUSH FLOOR</t>
  </si>
  <si>
    <t>1025-KRONOSPAN--SZCZECINEK-2021</t>
  </si>
  <si>
    <t>IT00121COC00694</t>
  </si>
  <si>
    <t>CMC</t>
  </si>
  <si>
    <t>1026-CMC--LOMBARDO-2021</t>
  </si>
  <si>
    <t>IT00121COC00739</t>
  </si>
  <si>
    <t>1027-SAIB S.P.A.--FOSSADELLO DI CAORSO-2021</t>
  </si>
  <si>
    <t>IT00121COC00737</t>
  </si>
  <si>
    <t>1028-PAL-GRUPO LOSAN-LOSAN CUENCA-2021</t>
  </si>
  <si>
    <t>IT00121COC00766</t>
  </si>
  <si>
    <t>ALBIOMA PELLET</t>
  </si>
  <si>
    <t>LA REUNION</t>
  </si>
  <si>
    <t>1029-SERA ENERGIES--ALBIOMA PELLET-2022</t>
  </si>
  <si>
    <t>IT00121COC00522</t>
  </si>
  <si>
    <t>SLIDING GATE</t>
  </si>
  <si>
    <t>IT00121COC00763</t>
  </si>
  <si>
    <t>KRASNI YAKOR</t>
  </si>
  <si>
    <t>BOILER BIOMASS INFEED SYSTEM TKK WCH</t>
  </si>
  <si>
    <t>1030-BERSEY--KRASNI YAKOR-2021</t>
  </si>
  <si>
    <t>IT00121COC00820</t>
  </si>
  <si>
    <t>UNTHA B7</t>
  </si>
  <si>
    <t>1031-KRONOSPAN--BURGOS-2021</t>
  </si>
  <si>
    <t>IT00121COC00821</t>
  </si>
  <si>
    <t>UNTHA C9</t>
  </si>
  <si>
    <t>IT00121COC00813</t>
  </si>
  <si>
    <t>ALIMENTAZIONE VAGLI</t>
  </si>
  <si>
    <t>1032-INSTALMEC-KRONOSPAN-ALABAMA-2021</t>
  </si>
  <si>
    <t>IT00121COC00859</t>
  </si>
  <si>
    <t>1034-EGGER--BISKUPIEC-2021</t>
  </si>
  <si>
    <t>IT00121COC00816</t>
  </si>
  <si>
    <t>CARICO/SCARICO NUOVO ESSICCATOIO</t>
  </si>
  <si>
    <t>1035-FINANCIERA MADERERA S.A. --CELLA-2021</t>
  </si>
  <si>
    <t>IT00121COC00838</t>
  </si>
  <si>
    <t>1036-PAL-NORBORD-INVERNESS OSB-2021</t>
  </si>
  <si>
    <t>IT00121COC00882</t>
  </si>
  <si>
    <t>KALUGA PB</t>
  </si>
  <si>
    <t>AREA 14 WET CHIPS</t>
  </si>
  <si>
    <t>1037-CONTIPLUS LIMITED-KRONOSPAN-KALUGA PB-2021</t>
  </si>
  <si>
    <t>IT00121COC00883</t>
  </si>
  <si>
    <t>AREA 15 FLAKERS</t>
  </si>
  <si>
    <t>IT00121COC00888</t>
  </si>
  <si>
    <t>PB820</t>
  </si>
  <si>
    <t>1038-DIEFFENBACHER-MERINO-PB820-2021</t>
  </si>
  <si>
    <t>IT00121COC00898</t>
  </si>
  <si>
    <t>1039-IMAL--MERINO-2021</t>
  </si>
  <si>
    <t>IT00121COC00934</t>
  </si>
  <si>
    <t>GAGARIN</t>
  </si>
  <si>
    <t>SOLO INGEGNERIA</t>
  </si>
  <si>
    <t>1040-DIEFFENBACHER-EGGER-GAGARIN-2021</t>
  </si>
  <si>
    <t>IT00121COC00954</t>
  </si>
  <si>
    <t>LEXINGTON</t>
  </si>
  <si>
    <t>1041-EGGER--LEXINGTON-2021</t>
  </si>
  <si>
    <t>IT00121COC00987</t>
  </si>
  <si>
    <t>1042-CMP---2022</t>
  </si>
  <si>
    <t>IT00122COC00236</t>
  </si>
  <si>
    <t>IT00121COC01005</t>
  </si>
  <si>
    <t>METRO THAI</t>
  </si>
  <si>
    <t>1043-PAL-METRO THAI-PB4-2021</t>
  </si>
  <si>
    <t>IT00121COC01016</t>
  </si>
  <si>
    <t>1044-EGGER--BISKUPIEC-2021</t>
  </si>
  <si>
    <t>IT00121COC01035</t>
  </si>
  <si>
    <t>NASTRO LT</t>
  </si>
  <si>
    <t>1045-FANTONI-NASTRO CAPANNE-OSOPPO-2021</t>
  </si>
  <si>
    <t>IT00121COC01080</t>
  </si>
  <si>
    <t>SLIDING FATE FOR tk40" FOR AG1166C-R004017</t>
  </si>
  <si>
    <t>1046-PG BISON--NEW PB PLANT-2021</t>
  </si>
  <si>
    <t>IT00121COC01068</t>
  </si>
  <si>
    <t>1047-PAL--LINEX PANNEAUX-2021</t>
  </si>
  <si>
    <t>IT00121COC01071</t>
  </si>
  <si>
    <t>GREENPLY</t>
  </si>
  <si>
    <t>BAAHU PANELS</t>
  </si>
  <si>
    <t>VENDITA TRM ITY</t>
  </si>
  <si>
    <t>1048-GREENPLY--BAAHU PANELS-2021</t>
  </si>
  <si>
    <t>VENDITA TRM CHN</t>
  </si>
  <si>
    <t>IT00121COC01077</t>
  </si>
  <si>
    <t>BERNECK</t>
  </si>
  <si>
    <t>1049-PAL--BERNECK-2021</t>
  </si>
  <si>
    <t>IT00122COC00576</t>
  </si>
  <si>
    <t>IT00121COC01110</t>
  </si>
  <si>
    <t>ASM IREN</t>
  </si>
  <si>
    <t>VERCELLI</t>
  </si>
  <si>
    <t>1050-IMAL-ASM IREN-VERCELLI-2021</t>
  </si>
  <si>
    <t>IT00121COC01072</t>
  </si>
  <si>
    <t>TABLEROS HISPANOS SLU</t>
  </si>
  <si>
    <t>AUMENTO CAPACITA</t>
  </si>
  <si>
    <t>1051-TABLEROS HISPANOS--TABLEROS HISPANOS-2022</t>
  </si>
  <si>
    <t>IT00122COC00222</t>
  </si>
  <si>
    <t>IT00122COC00134</t>
  </si>
  <si>
    <t>SAUERLAND SPANPLATTENWERK</t>
  </si>
  <si>
    <t>GOTHA</t>
  </si>
  <si>
    <t>1052-SAUERLAND SPANPLATTENWERK--GOTHA-2022</t>
  </si>
  <si>
    <t>IT00121COC01090</t>
  </si>
  <si>
    <t>SMORGON</t>
  </si>
  <si>
    <t>1053-KRONOSPAN--SMORGON-2021</t>
  </si>
  <si>
    <t>IT00121COC01119</t>
  </si>
  <si>
    <t>NEVZOROV KURGANLES</t>
  </si>
  <si>
    <t>PRE-INGEGNERIA</t>
  </si>
  <si>
    <t>1054-IMAL--NEVZOROV KURGANLES-2021</t>
  </si>
  <si>
    <t>IT00121COC01130</t>
  </si>
  <si>
    <t>UNEMSA</t>
  </si>
  <si>
    <t>1055-PAL--UNEMSA-2021</t>
  </si>
  <si>
    <t>IT00122COC00239</t>
  </si>
  <si>
    <t>Annullato</t>
  </si>
  <si>
    <t>IT00121COC01159</t>
  </si>
  <si>
    <t>SPER ENNA</t>
  </si>
  <si>
    <t>1056-SPER ENNA---2021</t>
  </si>
  <si>
    <t>IT00121COC01160</t>
  </si>
  <si>
    <t>SERATEC EOOD</t>
  </si>
  <si>
    <t>KRONOSPAN TORTOSA</t>
  </si>
  <si>
    <t>IB02</t>
  </si>
  <si>
    <t>800.01 BOILER INFEED</t>
  </si>
  <si>
    <t>1057-SERATEC EOOD-KRONOSPAN TORTOSA-IB02-2021</t>
  </si>
  <si>
    <t>IT00122COC00087</t>
  </si>
  <si>
    <t>IT00122COC00772</t>
  </si>
  <si>
    <t>UNIFICAZIONE DELLE DUE CO PRECEDENTI</t>
  </si>
  <si>
    <t>IT00121COC01081</t>
  </si>
  <si>
    <t>RUSSIAMOSKOVSKAJA OBLAST</t>
  </si>
  <si>
    <t>NUOVA CLAPPA IN SOSTITUZIONE DI AF1360C-IV010174</t>
  </si>
  <si>
    <t>1058-KRONOSPAN--RUSSIAMOSKOVSKAJA OBLAST-2021</t>
  </si>
  <si>
    <t>IT00121COC01166</t>
  </si>
  <si>
    <t>1059-TECHNIC ONE-- -2021</t>
  </si>
  <si>
    <t>IT00121COC01172</t>
  </si>
  <si>
    <t>AREA DRYER</t>
  </si>
  <si>
    <t>1060-INSTALMEC-KRONOSPAN TORTOSA-IB02-2021</t>
  </si>
  <si>
    <t>IT00122COC00018</t>
  </si>
  <si>
    <t>ZARY</t>
  </si>
  <si>
    <t>1061-SWISS KRONO--ZARY-2022</t>
  </si>
  <si>
    <t>IT00122COC00012</t>
  </si>
  <si>
    <t>COCLEA VERTICALE</t>
  </si>
  <si>
    <t>1062-DIEFFENBACHER--ZIEGLER-2022</t>
  </si>
  <si>
    <t>IT00122COC00050</t>
  </si>
  <si>
    <t>1063-EGGER--LEXINGTON-2022</t>
  </si>
  <si>
    <t>IT00122COC00169</t>
  </si>
  <si>
    <t>IT00122COC00042</t>
  </si>
  <si>
    <t>WOERGL</t>
  </si>
  <si>
    <t>1064-EGGER--WOERGL-2022</t>
  </si>
  <si>
    <t>IT00122COC00056</t>
  </si>
  <si>
    <t>CF2P LURE</t>
  </si>
  <si>
    <t>1065-PAL--CF2P LURE-2022</t>
  </si>
  <si>
    <t>IT00122COC00331</t>
  </si>
  <si>
    <t>IT00122COC00085</t>
  </si>
  <si>
    <t>SMARTPLY</t>
  </si>
  <si>
    <t>1066-PAL--SMARTPLY-2022</t>
  </si>
  <si>
    <t>IT00121COC01173</t>
  </si>
  <si>
    <t>600 CLEANING TOWER</t>
  </si>
  <si>
    <t>1067-INSTALMEC-KRONOSPAN TORTOSA-IB02-2022</t>
  </si>
  <si>
    <t>IT00122COC00053</t>
  </si>
  <si>
    <t>1068-KRONOSPAN--SALAS-2022</t>
  </si>
  <si>
    <t>IT00122COC00019</t>
  </si>
  <si>
    <t>WINDSOR ENGINEERING</t>
  </si>
  <si>
    <t>WAITOA</t>
  </si>
  <si>
    <t>NEW ZEALAND</t>
  </si>
  <si>
    <t>1069-WINDSOR ENGINEERING--WAITOA-2022</t>
  </si>
  <si>
    <t>IT00122COC00380</t>
  </si>
  <si>
    <t>IT00122COC00088</t>
  </si>
  <si>
    <t>1070-KRONOSPAN--FALCO-2022</t>
  </si>
  <si>
    <t>IT00122COC00369</t>
  </si>
  <si>
    <t>FRATI</t>
  </si>
  <si>
    <t>COCLEA DOSATRICE POLVERE</t>
  </si>
  <si>
    <t>1071-CMP-FRATI-PANTEC-2022</t>
  </si>
  <si>
    <t>IT00121COC01094</t>
  </si>
  <si>
    <t>UGRA TIMBER HOLDING</t>
  </si>
  <si>
    <t>KHMAO SOVETSKY</t>
  </si>
  <si>
    <t>1072-UGRA TIMBER HOLDING--KHMAO SOVETSKY-2021</t>
  </si>
  <si>
    <t>IT00122COC00157</t>
  </si>
  <si>
    <t>1073-EGGER--RAMBERVILLERS-2022</t>
  </si>
  <si>
    <t>IT00122COC00214</t>
  </si>
  <si>
    <t>ECOPULSER</t>
  </si>
  <si>
    <t>1074-SONAE ARAUCO--OLIVEIRA DO HOSPITAL-2022</t>
  </si>
  <si>
    <t>IT00122COC00254</t>
  </si>
  <si>
    <t>RECY POLONIA</t>
  </si>
  <si>
    <t>Consegna spostata 03/2023</t>
  </si>
  <si>
    <t>1075-PAL-SWISSKRONO-RECY POLONIA-2022</t>
  </si>
  <si>
    <t>IT00122COC00241</t>
  </si>
  <si>
    <t>1076-DIEFFENBACHER--BERNECK-2022</t>
  </si>
  <si>
    <t>IT00122COC00477</t>
  </si>
  <si>
    <t>IT00122COC00250</t>
  </si>
  <si>
    <t>FINSA PADRON</t>
  </si>
  <si>
    <t>1077-PAL--FINSA PADRON-2022</t>
  </si>
  <si>
    <t>IT00122COC00265</t>
  </si>
  <si>
    <t>IT00122COC00386</t>
  </si>
  <si>
    <t>PULITORE A CATENA PER BB0553C</t>
  </si>
  <si>
    <t>IT00122COC00264</t>
  </si>
  <si>
    <t>1078-TECHNIC ONE-- -2022</t>
  </si>
  <si>
    <t>IT00122COC00263</t>
  </si>
  <si>
    <t>2 CN</t>
  </si>
  <si>
    <t>1079-DIEFFENBACHER-KRONOSPAN-BJELOVAR-2022</t>
  </si>
  <si>
    <t>IT00122COC00432</t>
  </si>
  <si>
    <t>GIM EXPORT IMPORT</t>
  </si>
  <si>
    <t>1080-GIM EXPORT IMPORT-KRONOSPAN-IB02-2022</t>
  </si>
  <si>
    <t>IT00122COC00537</t>
  </si>
  <si>
    <t>IT00122COC00122</t>
  </si>
  <si>
    <t>COMPANIA NACIONAL DE CHOCOLATES</t>
  </si>
  <si>
    <t>COLOMBIA</t>
  </si>
  <si>
    <t>1081-VYNCKE--COMPANIA NACIONAL DE CHOCOLATES-2022</t>
  </si>
  <si>
    <t>IT00122COC00355</t>
  </si>
  <si>
    <t>ALBIOMA BIOMASSE</t>
  </si>
  <si>
    <t>1082-SERA ENERGIES--ALBIOMA BIOMASSE-2022</t>
  </si>
  <si>
    <t>IT00122COC00382</t>
  </si>
  <si>
    <t>SITTA SRL</t>
  </si>
  <si>
    <t>TK PER TRUCIOLO</t>
  </si>
  <si>
    <t>1083-SITTA SRL---2022</t>
  </si>
  <si>
    <t>IT00122COC00371</t>
  </si>
  <si>
    <t>SIA GAUJAS KOKS</t>
  </si>
  <si>
    <t>1084-TRASMEC ROMANIA--SIA GAUJAS KOKS-2022</t>
  </si>
  <si>
    <t>IT00122COC00372</t>
  </si>
  <si>
    <t>IT00122COC00409</t>
  </si>
  <si>
    <t>GREENLAM</t>
  </si>
  <si>
    <t>1085-DIEFFENBACHER--GREENLAM-2022</t>
  </si>
  <si>
    <t>IT00122COC00439</t>
  </si>
  <si>
    <t>PFEIFER</t>
  </si>
  <si>
    <t>1086-PAL--PFEIFER-2022</t>
  </si>
  <si>
    <t>IT00122COC01066</t>
  </si>
  <si>
    <t>IT00122COC01087</t>
  </si>
  <si>
    <t>ORDINE ANNULLATO</t>
  </si>
  <si>
    <t>IT00123COC00281</t>
  </si>
  <si>
    <t>IT00122COC00455</t>
  </si>
  <si>
    <t>PRIMADERA FLAKES CONVEYORS</t>
  </si>
  <si>
    <t>1087-PAL--PRIMADERA FLAKES CONVEYORS-2022</t>
  </si>
  <si>
    <t>IT00122COC00476</t>
  </si>
  <si>
    <t>SIEMPELKAMP</t>
  </si>
  <si>
    <t>KOROSTEN MDF UKRAINA</t>
  </si>
  <si>
    <t>1088-SIEMPELKAMP--KOROSTEN MDF UKRAINA-2022</t>
  </si>
  <si>
    <t>IT00122COC00525</t>
  </si>
  <si>
    <t>1089-PAL--FINSA CELLA-2022</t>
  </si>
  <si>
    <t>IT00122COC00842</t>
  </si>
  <si>
    <t>IT00122COC00513</t>
  </si>
  <si>
    <t>1090-VYNCKE-KASTAMONU-KASTAMONU ITALIA-2022</t>
  </si>
  <si>
    <t>IT00122COC00569</t>
  </si>
  <si>
    <t>1091-PAL-NORBORD-COWIE-2022</t>
  </si>
  <si>
    <t>IT00122COC00587</t>
  </si>
  <si>
    <t>1092-KRONOSPAN--BURGOS-2022</t>
  </si>
  <si>
    <t>IT00122COC00607</t>
  </si>
  <si>
    <t>1093-CONTIPLUS-KRONOSPAN-BJELOVAR-2022</t>
  </si>
  <si>
    <t>IT00122COC00610</t>
  </si>
  <si>
    <t>1094-EGGER-EGGER ROMANIA SRL-RADAUTI-2022</t>
  </si>
  <si>
    <t>IT00122COC00644</t>
  </si>
  <si>
    <t>1095-IMAL--EIREBLOCK LTD-2022</t>
  </si>
  <si>
    <t>IT00122COC00691</t>
  </si>
  <si>
    <t>WSE1050 ( WATER PIT )</t>
  </si>
  <si>
    <t>1096-BORG-WSE1050-2022</t>
  </si>
  <si>
    <t>IT00122COC00664</t>
  </si>
  <si>
    <t>RION DES LANDES</t>
  </si>
  <si>
    <t>1097-EGGER--RION DES LANDES-2022</t>
  </si>
  <si>
    <t>IT00122COC00699</t>
  </si>
  <si>
    <t>IKEA</t>
  </si>
  <si>
    <t>MALACKY</t>
  </si>
  <si>
    <t>SLOVENIA</t>
  </si>
  <si>
    <t>1098-DIEFFENBACHER-IKEA-MALACKY-2022</t>
  </si>
  <si>
    <t>IT00122COC00732</t>
  </si>
  <si>
    <t>GAUJAS KOKS</t>
  </si>
  <si>
    <t>OSB CONVEYORS</t>
  </si>
  <si>
    <t>1099-SIA GAUJAS KOKS--GAUJAS KOKS-2022</t>
  </si>
  <si>
    <t>IT00122COC00735</t>
  </si>
  <si>
    <t>GREENLAM SOUTH LIMITED</t>
  </si>
  <si>
    <t>1100-GREENLAM SOUTH LIMITED--GREENLAM-2022</t>
  </si>
  <si>
    <t>IT00122COC00993</t>
  </si>
  <si>
    <t>IT00123COC00312</t>
  </si>
  <si>
    <t>IT00122COC00769</t>
  </si>
  <si>
    <t>02/12/022</t>
  </si>
  <si>
    <t>1101-PG BISON--PIET RETIEF-2022</t>
  </si>
  <si>
    <t>IT00122COC00743</t>
  </si>
  <si>
    <t>SANEM PB</t>
  </si>
  <si>
    <t>1102-GIM EXPORT-KRONOSPAN -SANEM PB-2022</t>
  </si>
  <si>
    <t>IT00122COC00768</t>
  </si>
  <si>
    <t>N°2 SERRANDE PNEUMATICHE</t>
  </si>
  <si>
    <t>1103-EGGER--HEXHAM-2022</t>
  </si>
  <si>
    <t>IT00122COC00908</t>
  </si>
  <si>
    <t>N°1 SERRANDA PNEUMATICA</t>
  </si>
  <si>
    <t>KIM TIN</t>
  </si>
  <si>
    <t>MDF 2</t>
  </si>
  <si>
    <t>PROGETTO ACQUISITO DA TRM CHN</t>
  </si>
  <si>
    <t>1104-KIM TIN--MDF 2-2022</t>
  </si>
  <si>
    <t>IT00122COC00825</t>
  </si>
  <si>
    <t>DURANGO</t>
  </si>
  <si>
    <t>1105-PAL--DURANGO-2022</t>
  </si>
  <si>
    <t>IT00122COC00855</t>
  </si>
  <si>
    <t>SCARICO CIPPATORE</t>
  </si>
  <si>
    <t>1106-IMAL-GREENLAM-GREENLAM-2022</t>
  </si>
  <si>
    <t>IT00122COC00903</t>
  </si>
  <si>
    <t>CITY PB PLANT</t>
  </si>
  <si>
    <t>PB PLANT</t>
  </si>
  <si>
    <t>1107-GIM EXPORT-KASTAMONU-CITY PB PLANT-2022</t>
  </si>
  <si>
    <t>IT00122COC01025</t>
  </si>
  <si>
    <t>KT4</t>
  </si>
  <si>
    <t>1108-EGGER--BISKUPIEC-2022</t>
  </si>
  <si>
    <t>IT00122COC00910</t>
  </si>
  <si>
    <t>GEBZE</t>
  </si>
  <si>
    <t>1109-GIM EXPORT-KASTAMONU-GEBZE-2022</t>
  </si>
  <si>
    <t>IT00122COC00899</t>
  </si>
  <si>
    <t>DALKIA SW SULLY</t>
  </si>
  <si>
    <t>1110-VYNCKE--DALKIA SW SULLY-2022</t>
  </si>
  <si>
    <t>IT00122COC00973</t>
  </si>
  <si>
    <t>COMPLEMENTI FONDO MOBILE</t>
  </si>
  <si>
    <t>IT00122COC01030</t>
  </si>
  <si>
    <t>SUPERVISORE PER FM</t>
  </si>
  <si>
    <t>IT00122COC01031</t>
  </si>
  <si>
    <t>TRAMOGGIA COLLEGAM E GAMBE SOSTEGNO</t>
  </si>
  <si>
    <t>IT00124COC00227</t>
  </si>
  <si>
    <t>COMPONENTI FIREFLY PER UPGRADE ATEX</t>
  </si>
  <si>
    <t>IT00122COC00904</t>
  </si>
  <si>
    <t>COCLEE REVERSIBLI+SERRANDE</t>
  </si>
  <si>
    <t>1111-IMAL-IMAL-ARCHIBLOCK-2022</t>
  </si>
  <si>
    <t>IT00122COC00909</t>
  </si>
  <si>
    <t>BULGARIA DRY</t>
  </si>
  <si>
    <t>1112-GIM EXPORT-KASTAMONU-BULGARIA DRY-2022</t>
  </si>
  <si>
    <t>1113-BA RIA SERECE--SOYA MEAL-2023</t>
  </si>
  <si>
    <t>IT00122COC00971</t>
  </si>
  <si>
    <t>CONDAT</t>
  </si>
  <si>
    <t>1114-SERA ENERGIES--CONDAT-2022</t>
  </si>
  <si>
    <t>IT00122COC00985</t>
  </si>
  <si>
    <t>BORG CROSSMULLER</t>
  </si>
  <si>
    <t>1115-BORG CROSSMULLER--OBERON-2022</t>
  </si>
  <si>
    <t>IT00122COC00986</t>
  </si>
  <si>
    <t>ST MARY'S</t>
  </si>
  <si>
    <t>IT00123COC00048</t>
  </si>
  <si>
    <t>RADDOPPIO MOVING FLOOR</t>
  </si>
  <si>
    <t>IT00122COC00997</t>
  </si>
  <si>
    <t>BRILON</t>
  </si>
  <si>
    <t>PROJECT RECY</t>
  </si>
  <si>
    <t>1116-EGGER--BRILON-2022</t>
  </si>
  <si>
    <t>IT00122COC01011</t>
  </si>
  <si>
    <t>ALBIOMA LE GOL</t>
  </si>
  <si>
    <t>1117-SERA ENERGIES--ALBIOMA LE GOL-2022</t>
  </si>
  <si>
    <t>IT00122COC01012</t>
  </si>
  <si>
    <t>IT00122COC01058</t>
  </si>
  <si>
    <t>GREENPANEL</t>
  </si>
  <si>
    <t>1118-DIEFFENBACHER--GREENPANEL-2022</t>
  </si>
  <si>
    <t>IT00122COC01077</t>
  </si>
  <si>
    <t>HEILIGENGRABE</t>
  </si>
  <si>
    <t>1119-PAL-SWISSKRONO-HEILIGENGRABE-2022</t>
  </si>
  <si>
    <t>IT00122COC01111</t>
  </si>
  <si>
    <t>AGRIPLANT</t>
  </si>
  <si>
    <t>31/06/23</t>
  </si>
  <si>
    <t>1120-PAL--AGRIPLANT-2022</t>
  </si>
  <si>
    <t>IT00122COC01153</t>
  </si>
  <si>
    <t>UNILIN</t>
  </si>
  <si>
    <t>USSEL</t>
  </si>
  <si>
    <t>1121-VYNCKE-UNILIN-USSEL-2022</t>
  </si>
  <si>
    <t>IT00123COC00298</t>
  </si>
  <si>
    <t>IT00122COC01144</t>
  </si>
  <si>
    <t>1122-KRONOSPAN--FALCO-2022</t>
  </si>
  <si>
    <t>IT00122COC01172</t>
  </si>
  <si>
    <t>UNIBOARD</t>
  </si>
  <si>
    <t>CANADA</t>
  </si>
  <si>
    <t>1123-DIEFFENBACHER--UNIBOARD-2022</t>
  </si>
  <si>
    <t>IT00123COC00820</t>
  </si>
  <si>
    <t>IT00122COC01186</t>
  </si>
  <si>
    <t>ISOTEX</t>
  </si>
  <si>
    <t>NUOVA LINEA DI SELEZIONE</t>
  </si>
  <si>
    <t>1124-ISOTEX--ISOTEX-2022</t>
  </si>
  <si>
    <t>IT00123COC00008</t>
  </si>
  <si>
    <t>1125-KRONOSPAN--LAPOVO-2023</t>
  </si>
  <si>
    <t>IT00123COC00031</t>
  </si>
  <si>
    <t>NUOVO SEPARATORE BALISTICO</t>
  </si>
  <si>
    <t>1126-SAIB S.P.A.-SAIB-FOSSADELLO DI CAORSO-2023</t>
  </si>
  <si>
    <t>IT00123COC00415</t>
  </si>
  <si>
    <t>COCLEA AGGIUNTIVA</t>
  </si>
  <si>
    <t>IT00123COC00035</t>
  </si>
  <si>
    <t>BIOSYLVA</t>
  </si>
  <si>
    <t>BIOSYL I</t>
  </si>
  <si>
    <t>1127-BIOSYLVA--BIOSYL I-2023</t>
  </si>
  <si>
    <t>IT00123COC00007</t>
  </si>
  <si>
    <t>COCLEA INIETTRICE</t>
  </si>
  <si>
    <t>1128-KRONOSPAN POLSKA--SZCZECINEK-2023</t>
  </si>
  <si>
    <t>IT00123COC00036</t>
  </si>
  <si>
    <t>1129-PG BISON--PIET RETIEF-2023</t>
  </si>
  <si>
    <t>IT00123COC00141</t>
  </si>
  <si>
    <t>IT00123COC00309</t>
  </si>
  <si>
    <t>CARICO SFIBRATORE</t>
  </si>
  <si>
    <t>1130-BIPAN--BIPAN-2023</t>
  </si>
  <si>
    <t>IT00123COC00078</t>
  </si>
  <si>
    <t>N°2 COCLEE, MTR FORNITI DA CLIENTE</t>
  </si>
  <si>
    <t>IT00123COC00115</t>
  </si>
  <si>
    <t>1131-TECHNIC ONE-- -2023</t>
  </si>
  <si>
    <t>IT00123COC00122</t>
  </si>
  <si>
    <t>STEVE&amp;SONS</t>
  </si>
  <si>
    <t>1132-PAL--STEVE&amp;SONS-2023</t>
  </si>
  <si>
    <t>IT00123COC00109</t>
  </si>
  <si>
    <t>N° 4 SERRANDE PNEUMATICHE</t>
  </si>
  <si>
    <t>1133-PAL--GREENLAM-2023</t>
  </si>
  <si>
    <t>IT00123COC00117</t>
  </si>
  <si>
    <t>STABOO</t>
  </si>
  <si>
    <t>1134-PAL--STABOO-2023</t>
  </si>
  <si>
    <t>IT00123COC00671</t>
  </si>
  <si>
    <t>IT00123COC00124</t>
  </si>
  <si>
    <t>IB02 - TORTOSA</t>
  </si>
  <si>
    <t>COCLEE RECUPERO THOR</t>
  </si>
  <si>
    <t>1135-GIM EXPORT-KRONOSPAN-IB02 - TORTOSA-2023</t>
  </si>
  <si>
    <t>IT00123COC00139</t>
  </si>
  <si>
    <t>UNIBOARD FORMING</t>
  </si>
  <si>
    <t>1136-DIEFFENBACHER--UNIBOARD FORMING-2023</t>
  </si>
  <si>
    <t>IT00123COC00154</t>
  </si>
  <si>
    <t xml:space="preserve">ARAUCO </t>
  </si>
  <si>
    <t>ARAUCO TENO</t>
  </si>
  <si>
    <t>1137-PAL-ARAUCO -ARAUCO TENO-2023</t>
  </si>
  <si>
    <t>IT00123COC00165</t>
  </si>
  <si>
    <t>N°2 TKK</t>
  </si>
  <si>
    <t>1138-IMAL-EGGER-WISMAR-2023</t>
  </si>
  <si>
    <t>IT00123COC00178</t>
  </si>
  <si>
    <t>COTOPAXI</t>
  </si>
  <si>
    <t>1139-IMAL-COTOPAXI-COTOPAXI-2023</t>
  </si>
  <si>
    <t>IT00123COC00226</t>
  </si>
  <si>
    <t xml:space="preserve">SONAE </t>
  </si>
  <si>
    <t>OLIVEIRA DE HOSPITAL</t>
  </si>
  <si>
    <t>N°1 TK PNZ + N°1 SLIDING GATE</t>
  </si>
  <si>
    <t>1140-SONAE -ARAUCO -OLIVEIRA DE HOSPITAL-2023</t>
  </si>
  <si>
    <t>IT00123COC00354</t>
  </si>
  <si>
    <t>RECY AREA</t>
  </si>
  <si>
    <t>IT00123COC00207</t>
  </si>
  <si>
    <t>Lorusso</t>
  </si>
  <si>
    <t>1141-PAL--PFLEIDERER-2023</t>
  </si>
  <si>
    <t>IT00123COC00310</t>
  </si>
  <si>
    <t>BURGUNDY</t>
  </si>
  <si>
    <t>1142-DIEFFENBACHER--BURGUNDY-2023</t>
  </si>
  <si>
    <t>OC-D-423055.00016.300</t>
  </si>
  <si>
    <t>IT00123COC00813</t>
  </si>
  <si>
    <t>IT00123COC00338</t>
  </si>
  <si>
    <t>1143-MION&amp;MOSOLE---</t>
  </si>
  <si>
    <t>IT00123COC00367</t>
  </si>
  <si>
    <t>ECOREFIBRE</t>
  </si>
  <si>
    <t>N° 3 MANUAL FLAPS</t>
  </si>
  <si>
    <t>1144-DIEFFENBACHER--ECOREFIBRE-2023</t>
  </si>
  <si>
    <t>IT00123COC00344</t>
  </si>
  <si>
    <t>1145-DIEFFENBACHER--ZIEGLER-2023</t>
  </si>
  <si>
    <t>IT00123COC00387</t>
  </si>
  <si>
    <t>ANTALIA</t>
  </si>
  <si>
    <t>SCREW INOX</t>
  </si>
  <si>
    <t>1146-AGT-AGT-ANTALIA-2023</t>
  </si>
  <si>
    <t>IT00123COC00386</t>
  </si>
  <si>
    <t>KRONOSPAN S.L.</t>
  </si>
  <si>
    <t>TORTOSA</t>
  </si>
  <si>
    <t>N°1 TK15 AREA 1000</t>
  </si>
  <si>
    <t>1147-KRONOSPAN S.L.-KRONOSPAN-TORTOSA-2023</t>
  </si>
  <si>
    <t>IT00123COC00403</t>
  </si>
  <si>
    <t>LINARES</t>
  </si>
  <si>
    <t>N°1 TK21N</t>
  </si>
  <si>
    <t>1148-PAL-SONAE ARAUCO-LINARES-2023</t>
  </si>
  <si>
    <t>IT00123COC00414</t>
  </si>
  <si>
    <t>ECOSTAR</t>
  </si>
  <si>
    <t>ALLEVI</t>
  </si>
  <si>
    <t>FORSU</t>
  </si>
  <si>
    <t>1149-ECOSTAR-ALLEVI-FORSU-2023</t>
  </si>
  <si>
    <t>IT00123COC00589</t>
  </si>
  <si>
    <t>TN1200 LATER</t>
  </si>
  <si>
    <t>IT00123COC00444</t>
  </si>
  <si>
    <t>ALFAWOOD</t>
  </si>
  <si>
    <t>NEVROKOPI</t>
  </si>
  <si>
    <t>GREECE</t>
  </si>
  <si>
    <t>1150-ALFAWOOD-ALFAWOOD-NEVROKOPI-2023</t>
  </si>
  <si>
    <t>OC23CS-0106018</t>
  </si>
  <si>
    <t>BASUKI PRATAMA ENG.</t>
  </si>
  <si>
    <t>MFS AND HOPPER FOR BOILER FEEDING</t>
  </si>
  <si>
    <t>INDONESIA</t>
  </si>
  <si>
    <t>1151-TRASMEC CHINA-BASUKI PRATAMA ENG.--2023</t>
  </si>
  <si>
    <t>IT00123COC00534</t>
  </si>
  <si>
    <t>IT00123COC00466</t>
  </si>
  <si>
    <t>RICAMBIO ALBERI BUNKER DOSATORE</t>
  </si>
  <si>
    <t>1152-SONAE ARAUCO--OLIVEIRA DE HOSPITAL-2023</t>
  </si>
  <si>
    <t>MDF 2.1</t>
  </si>
  <si>
    <t>CHIPS HANDLING</t>
  </si>
  <si>
    <t>TRASMEC INDIA</t>
  </si>
  <si>
    <t>1153-GREENPANEL--MDF 2.1-2023</t>
  </si>
  <si>
    <t>CHIPS HANDLING TM 07.1</t>
  </si>
  <si>
    <t>IT00123COC00499</t>
  </si>
  <si>
    <t>1154-DIEFFENBACHER--ZIEGLER-2023</t>
  </si>
  <si>
    <t>IT00123COC00515</t>
  </si>
  <si>
    <t>LE GOL BIOMASSE LOCALE</t>
  </si>
  <si>
    <t>1155-SERA ENERGIES--LE GOL BIOMASSE LOCALE-2023</t>
  </si>
  <si>
    <t>IT00123COC00516</t>
  </si>
  <si>
    <t>TK FOR FLAKER AREA</t>
  </si>
  <si>
    <t>1156-KASTAMONU -KASTAMONU -KASTAMONU ITALIA-2023</t>
  </si>
  <si>
    <t>IT00123COC00526</t>
  </si>
  <si>
    <t>PRIMADERA</t>
  </si>
  <si>
    <t>1157-IMAL-PRIMADERA-PRIMADERA-2023</t>
  </si>
  <si>
    <t>IT00123COC00527</t>
  </si>
  <si>
    <t>BALTIC BLOCK</t>
  </si>
  <si>
    <t>1158-IMAL-BALTIC BLOCK-BALTIC BLOCK-2023</t>
  </si>
  <si>
    <t>IT00123COC00528</t>
  </si>
  <si>
    <t>PIVETEAU BOIS</t>
  </si>
  <si>
    <t>PIVETEAU</t>
  </si>
  <si>
    <t>1159-PIVETEAU BOIS--PIVETEAU-2023</t>
  </si>
  <si>
    <t>IT00123COC00537</t>
  </si>
  <si>
    <t>RECY PROJECT</t>
  </si>
  <si>
    <t>1160-EGGER--BRILON-2023</t>
  </si>
  <si>
    <t>IT00123COC00579</t>
  </si>
  <si>
    <t>1161-GIM EXPORT-KRONOSPAN-IB02 - TORTOSA-2023</t>
  </si>
  <si>
    <t>IT00123COC00565</t>
  </si>
  <si>
    <t>1162-DIEFFENBACHER--LINEX PANNEAUX-2023</t>
  </si>
  <si>
    <t>IT00123COC00587</t>
  </si>
  <si>
    <t>WESER MDF</t>
  </si>
  <si>
    <t>1163-DIEFFENBACHER--WESER MDF-2023</t>
  </si>
  <si>
    <t>IT00123COC00523</t>
  </si>
  <si>
    <t>BUNGE GHANA</t>
  </si>
  <si>
    <t>GHANA</t>
  </si>
  <si>
    <t>TM CHINA</t>
  </si>
  <si>
    <t>1164-VYNCKE--BUNGE GHANA-2023</t>
  </si>
  <si>
    <t>IT00123COC00629</t>
  </si>
  <si>
    <t>TK PER CARICO ESSICCATOIO</t>
  </si>
  <si>
    <t>1165-INSTALMEC--RIGA-2023</t>
  </si>
  <si>
    <t>IT00123COC00621</t>
  </si>
  <si>
    <t>SERRANDA PNEUMATICA</t>
  </si>
  <si>
    <t>1166-VYNCKE--KASTAMONU ITALIA-2023</t>
  </si>
  <si>
    <t>IT00123COC00664</t>
  </si>
  <si>
    <t>COCLEA INOX</t>
  </si>
  <si>
    <t>1167-CMP-PANTEC-PANTEC-2023</t>
  </si>
  <si>
    <t>IT00123COC00649</t>
  </si>
  <si>
    <t>CEATEC Engineering GmbH</t>
  </si>
  <si>
    <t xml:space="preserve">RIGA PB </t>
  </si>
  <si>
    <t>1168-CEATEC Engineering GmbH--RIGA PB -2023</t>
  </si>
  <si>
    <t>IT00123COC00691</t>
  </si>
  <si>
    <t>MACCHINE AGGIUNTIVE</t>
  </si>
  <si>
    <t>1169-GIM EXPORT-KRONOSPAN-SANEM PB-2023</t>
  </si>
  <si>
    <t>IT00123COC00673</t>
  </si>
  <si>
    <t>CALCE CASERTA</t>
  </si>
  <si>
    <t>TK PER MACINAZIONE LEGNO RICICLATO</t>
  </si>
  <si>
    <t>1170-PAL--CALCE CASERTA-2023</t>
  </si>
  <si>
    <t>IT00123COC00687</t>
  </si>
  <si>
    <t>NASTRI LATER</t>
  </si>
  <si>
    <t>1171-PAL-SWISSKRONO-ZARY-2023</t>
  </si>
  <si>
    <t>IT00123COC00660</t>
  </si>
  <si>
    <t>1172-PAL-SONAE ARAUCO-LINARES-2023</t>
  </si>
  <si>
    <t>IT00123COC00731</t>
  </si>
  <si>
    <t>TABLEROS DE AGLOMERADO S.A.</t>
  </si>
  <si>
    <t>VILLA NUEVA</t>
  </si>
  <si>
    <t>NUOVO MULINO MEIER</t>
  </si>
  <si>
    <t>GUATEMALA</t>
  </si>
  <si>
    <t>1173-TABLEROS DE AGLOMERADO S.A.--VILLA NUEVA-2023</t>
  </si>
  <si>
    <t>IT00123COC00898</t>
  </si>
  <si>
    <t>BIOMASS HANDLING</t>
  </si>
  <si>
    <t>1174-PAL--LINEX PANNEAUX-2023</t>
  </si>
  <si>
    <t>IT00123COC00979</t>
  </si>
  <si>
    <t>CARICATORE THOR</t>
  </si>
  <si>
    <t>IT00124COC00211</t>
  </si>
  <si>
    <t>SERRANDA MOTORIZZATA</t>
  </si>
  <si>
    <t>MFS , HOPPER  &amp; TKK FOR BOILER FEEDING</t>
  </si>
  <si>
    <t>1175-TRASMEC CHINA-BASUKI PRATAMA ENG.--2023</t>
  </si>
  <si>
    <t>IT00123COC00782</t>
  </si>
  <si>
    <t>1176-TECHNIC ONE---2023</t>
  </si>
  <si>
    <t>IT00123COC00812</t>
  </si>
  <si>
    <t>1177-EGGER--WOERGL-2023</t>
  </si>
  <si>
    <t>IT00124COC00012</t>
  </si>
  <si>
    <t>DALKIA GUYOT FRANCE</t>
  </si>
  <si>
    <t>1178-SERA ENERGIES--DALKIA GUYOT FRANCE-2024</t>
  </si>
  <si>
    <t>IT00123COC00846</t>
  </si>
  <si>
    <t>EIREBLOC LTD</t>
  </si>
  <si>
    <t>1179-EIREBLOC LTD--EIREBLOC LTD-2023</t>
  </si>
  <si>
    <t>IT00123COC00882</t>
  </si>
  <si>
    <t>1180-KRONOSPAN--TORTOSA-2023</t>
  </si>
  <si>
    <t>IT00123COC00896</t>
  </si>
  <si>
    <t>DRYER DISCHARGE</t>
  </si>
  <si>
    <t>1181-IMAL--LINEX PANNEAUX-2023</t>
  </si>
  <si>
    <t>IT00123COC00895</t>
  </si>
  <si>
    <t>ELKA</t>
  </si>
  <si>
    <t>1182-IMAL--ELKA-2023</t>
  </si>
  <si>
    <t xml:space="preserve">IT00124COC00134 </t>
  </si>
  <si>
    <t xml:space="preserve">IT00124COC00709 </t>
  </si>
  <si>
    <t>IT00123COC01016</t>
  </si>
  <si>
    <t>XILOPAN</t>
  </si>
  <si>
    <t>CIGOGNOLA</t>
  </si>
  <si>
    <t>INSTALLAZIONE NUOVO MULINO + BY PASS</t>
  </si>
  <si>
    <t>1183-XILOPAN--CIGOGNOLA-2023</t>
  </si>
  <si>
    <t>IT00124COC00855</t>
  </si>
  <si>
    <t>INSTALLAZIONE COCLEA CICLONE-TK</t>
  </si>
  <si>
    <t>IT00123COC00974</t>
  </si>
  <si>
    <t>1184-INSTALMEC-KRONOSPAN-SANEM-2023</t>
  </si>
  <si>
    <t>IT00123COC01017</t>
  </si>
  <si>
    <t>TK 35" HP</t>
  </si>
  <si>
    <t>1185-EGGER-EGGER-BARONY-2023</t>
  </si>
  <si>
    <t>IT00123COC01018</t>
  </si>
  <si>
    <t>COCLEA REVERSIBILE</t>
  </si>
  <si>
    <t>1186-DIEFFENBACHER--BURGUNDY-2024</t>
  </si>
  <si>
    <t>IT00124COC00095</t>
  </si>
  <si>
    <t>CLAPPA + TK11 + COCLEA</t>
  </si>
  <si>
    <t>IT00123COC01020</t>
  </si>
  <si>
    <t xml:space="preserve">CEATEC </t>
  </si>
  <si>
    <t>MODIFICA POS. 600.350</t>
  </si>
  <si>
    <t>1187-CEATEC -KRONOSPAN -SANEM PB-2023</t>
  </si>
  <si>
    <t>IT00123COC01034</t>
  </si>
  <si>
    <t>MEPPEN</t>
  </si>
  <si>
    <t>1188-DIEFFENBACHER-SONAE ARAUCO-MEPPEN-2023</t>
  </si>
  <si>
    <t>IT00123COC01045</t>
  </si>
  <si>
    <t>GUTEX</t>
  </si>
  <si>
    <t>1189-DIEFFENBACHER--GUTEX-2023</t>
  </si>
  <si>
    <t>TM 07-04-09-2023-Aarati-R0</t>
  </si>
  <si>
    <t>AARTI ALCHEMIE FINECHEM PVT. LTD</t>
  </si>
  <si>
    <t>FHS</t>
  </si>
  <si>
    <t>TRM INDIA</t>
  </si>
  <si>
    <t>1190-AARTI ALCHEMIE FINECHEM PVT. LTD--FHS-2023</t>
  </si>
  <si>
    <t>IT00124COC00049</t>
  </si>
  <si>
    <t>1191-KASTAMONU --SAMSUN-2024</t>
  </si>
  <si>
    <t>IT00124COC00013</t>
  </si>
  <si>
    <t>STEEL PLATE CONVEYOR 1200</t>
  </si>
  <si>
    <t>1192-GIM EXPORT-AGT--2024</t>
  </si>
  <si>
    <t>OFF23CS-0037027</t>
  </si>
  <si>
    <t>BARIA SERECE</t>
  </si>
  <si>
    <t>PORT EXPANSION</t>
  </si>
  <si>
    <t>CINA</t>
  </si>
  <si>
    <t>Chen</t>
  </si>
  <si>
    <t>1193-TRASMEC CHINA-BARIA SERECE-PORT EXPANSION-2024</t>
  </si>
  <si>
    <t>ADDITIONAL FLAP</t>
  </si>
  <si>
    <t>IT00124COC00078</t>
  </si>
  <si>
    <t>1194-GIM EXPORT-KASTAMONU-GEBZE-2024</t>
  </si>
  <si>
    <t>IT00124COC00083</t>
  </si>
  <si>
    <t>DALKIA SOLVAY SYLVIA</t>
  </si>
  <si>
    <t>1195-SERA ENERGIES--DALKIA SOLVAY SYLVIA-2024</t>
  </si>
  <si>
    <t>IT00124COC00077</t>
  </si>
  <si>
    <t>BALIKESIR</t>
  </si>
  <si>
    <t>1196-GIM EXPORT-KASTAMONU-BALIKESIR-2024</t>
  </si>
  <si>
    <t>IT00124COC00093</t>
  </si>
  <si>
    <t>1197-EGGER--RAMBERVILLERS-2024</t>
  </si>
  <si>
    <t>IT00124COC00116</t>
  </si>
  <si>
    <t>INDUSTRIA COMPENSATI COLORNO</t>
  </si>
  <si>
    <t>1198-INDUSTRIA COMPENSATI COLORNO--INDUSTRIA COMPENSATI COLORNO-2024</t>
  </si>
  <si>
    <t>IT00124COC00115</t>
  </si>
  <si>
    <t>SILOS 1000.86-1000.87 - SCREW FOR BY PASS</t>
  </si>
  <si>
    <t>1199-KRONOSPAN -KRONOSPAN -TORTOSA-2024</t>
  </si>
  <si>
    <t>IT00124COC00135</t>
  </si>
  <si>
    <t>TOKYO BOARD</t>
  </si>
  <si>
    <t>1200-IMAL--TOKYO BOARD-2024</t>
  </si>
  <si>
    <t>IT00124COC00137</t>
  </si>
  <si>
    <t>ALBERI COCLEE ESSICCATOIO</t>
  </si>
  <si>
    <t>OTVC23CS-0118078</t>
  </si>
  <si>
    <t>ECL</t>
  </si>
  <si>
    <t xml:space="preserve">PB THAI </t>
  </si>
  <si>
    <t>1201-TRASMEC CHINA-ECL-PB THAI -2024</t>
  </si>
  <si>
    <t>TM 32- 09.02.2024- AB MAURI -R3</t>
  </si>
  <si>
    <t>AB MAURI</t>
  </si>
  <si>
    <t>AB MAURI PILIBHIT</t>
  </si>
  <si>
    <t>1202-AB MAURI-AB MAURI PILIBHIT-FHS-2024</t>
  </si>
  <si>
    <t>TM 18- 30.01.2024- Aarati-ASH hand – R2</t>
  </si>
  <si>
    <t xml:space="preserve">FLY AHS </t>
  </si>
  <si>
    <t>AHS FOR FLY ASH</t>
  </si>
  <si>
    <t>??????</t>
  </si>
  <si>
    <t>1203-AARTI ALCHEMIE FINECHEM PVT. LTD--FLY AHS -2024</t>
  </si>
  <si>
    <t>IT00124COC00171</t>
  </si>
  <si>
    <t>NOVOPAN DEL ECUADOR S.A</t>
  </si>
  <si>
    <t>ALIMENTACION CALDERA</t>
  </si>
  <si>
    <t>1204-NOVOPAN DEL ECUADOR S.A--NOVOPAN-2024</t>
  </si>
  <si>
    <t>IT00124COC00187</t>
  </si>
  <si>
    <t>SCREW FOR MICROCHIPS</t>
  </si>
  <si>
    <t>1205-KRONOSPAN--KRONOSPAN TORTOSA-2024</t>
  </si>
  <si>
    <t>TIN0323</t>
  </si>
  <si>
    <t xml:space="preserve">GREENPANEL SRIKALAHASTI </t>
  </si>
  <si>
    <t>MDF 2.0 - WASHING BY PASS</t>
  </si>
  <si>
    <t>1206-GREENPANEL--MDF 2.0 - WASHING BY PASS-2024</t>
  </si>
  <si>
    <t>IT00124COC00183</t>
  </si>
  <si>
    <t>ESPANSIONE 2024  LINEA SECCO PB</t>
  </si>
  <si>
    <t>1207-SAIB S.P.A.---2024</t>
  </si>
  <si>
    <t>IT00124COC00271</t>
  </si>
  <si>
    <t>IT00124COC00818</t>
  </si>
  <si>
    <t>IT00124COC00888</t>
  </si>
  <si>
    <t>MODIFICA DRY AREA 2025</t>
  </si>
  <si>
    <t>IT00124COC00192</t>
  </si>
  <si>
    <t>NDKW</t>
  </si>
  <si>
    <t>N°1 COCLEA CENERI</t>
  </si>
  <si>
    <t>1208-VYNCKE-NDKW--2024</t>
  </si>
  <si>
    <t>IT00124COC00221</t>
  </si>
  <si>
    <t>1209-CMP-BIPAN--2024</t>
  </si>
  <si>
    <t>IT00124COC00218</t>
  </si>
  <si>
    <t>COCLEA ATC - COSTRUZIONE TRM ITY</t>
  </si>
  <si>
    <t>1210 - TRM ITY - Vyncke - 1.10641 - Finsa Padron HG Extension (ONLY ENGINEERING FOR TRM CHN) - 2024</t>
  </si>
  <si>
    <t>IT00124COC00245</t>
  </si>
  <si>
    <t>KRONOSPAN BERSEY</t>
  </si>
  <si>
    <t>1211-GIM EXPORT-BERSEY-KRONOSPAN BERSEY-2024</t>
  </si>
  <si>
    <t>IT00124COC00254</t>
  </si>
  <si>
    <t>IB02-TORTOSA</t>
  </si>
  <si>
    <t>SERRANDA PER TKK60</t>
  </si>
  <si>
    <t>1212-KRONOSPAN-KRONOSPAN-IB02-TORTOSA-2024</t>
  </si>
  <si>
    <t>IT00124COC00260</t>
  </si>
  <si>
    <t>LIGNATHERM</t>
  </si>
  <si>
    <t>1213-DIEFFENBACHER--LIGNATHERM-2025</t>
  </si>
  <si>
    <t>IT00124COC00257</t>
  </si>
  <si>
    <t>1214-DIEFFENBACHER--UNIBOARD-2024</t>
  </si>
  <si>
    <t>WEST FRASER</t>
  </si>
  <si>
    <t>1215-PAL-WEST FRASER-COWIE-2024</t>
  </si>
  <si>
    <t>IT00124COC00263</t>
  </si>
  <si>
    <t>CF2P</t>
  </si>
  <si>
    <t>ISOROY LURE</t>
  </si>
  <si>
    <t>TK35"HP - SOSTITUISCE TK35HP AA0746C-R002326</t>
  </si>
  <si>
    <t>1216-CF2P-CF2P-ISOROY LURE-2024</t>
  </si>
  <si>
    <t>IT00124COC00258</t>
  </si>
  <si>
    <t>YANTAY</t>
  </si>
  <si>
    <t>1217-DIEFFENBACHER--YANTAY-2024</t>
  </si>
  <si>
    <t>IT00124COC00267</t>
  </si>
  <si>
    <t>SOLO SCANSIONI PER BOILER ROOM</t>
  </si>
  <si>
    <t>1218-EGGER-EGGER-BARONY-2024</t>
  </si>
  <si>
    <t>IT00124COC00288</t>
  </si>
  <si>
    <t>STEEL PLATE CONVEYOR</t>
  </si>
  <si>
    <t>1219-SWISSKRONO-SWISSKRONO-ZARY-2024</t>
  </si>
  <si>
    <t>IT00124COC00381</t>
  </si>
  <si>
    <t>FUEL HANDLING SYSTEM</t>
  </si>
  <si>
    <t>1220 - VYNCKE - STABOO-FUEL AND ASH HANDLING SYSTEM-2024</t>
  </si>
  <si>
    <t>IT00124COC00351</t>
  </si>
  <si>
    <t>CONVEYORS VARIOUS</t>
  </si>
  <si>
    <t>1221-FINANCIERA MADERERA-FINSA-SANTIAGO DE COMPOSTELA-2024</t>
  </si>
  <si>
    <t>IT00124COC00474</t>
  </si>
  <si>
    <t>IT00124COC00330</t>
  </si>
  <si>
    <t>GUYOT LAITA</t>
  </si>
  <si>
    <t>1222 - VYNCKE - 1.09653 - Guyot Laïta -2024</t>
  </si>
  <si>
    <t>IT00124COC00076</t>
  </si>
  <si>
    <t>1223-GIM EXPORT-KASTAMONU-ROMANIA-2024</t>
  </si>
  <si>
    <t>IT00124COC00360</t>
  </si>
  <si>
    <t>GRAP'SUD</t>
  </si>
  <si>
    <t>1224 - VYNCKE - 1.20001 - Grap'Sud - 2024</t>
  </si>
  <si>
    <t>IT00124COC00358</t>
  </si>
  <si>
    <t>DIAGEO LINKWOOD</t>
  </si>
  <si>
    <t>1225 - VYNCKE - 1.10480 - Diageo - Linkwood - 2024</t>
  </si>
  <si>
    <t xml:space="preserve">IT00124COC00376 </t>
  </si>
  <si>
    <t>CMP SPA</t>
  </si>
  <si>
    <t>FRATI BUNKER</t>
  </si>
  <si>
    <t>1226-CMP SPA--FRATI BUNKER-2024</t>
  </si>
  <si>
    <t>IT00124COC00382</t>
  </si>
  <si>
    <t>TKK 800 CENERI SPECIALE</t>
  </si>
  <si>
    <t>1227-FANTONI--TKK 800 CENERI SPECIALE-2024</t>
  </si>
  <si>
    <t>IT00124COC00383</t>
  </si>
  <si>
    <t>FINSA OREMBER</t>
  </si>
  <si>
    <t>MODIFICA SU LINEA CENERI</t>
  </si>
  <si>
    <t>1228 - VYNCKE -  Finsa Orember extension - 2024</t>
  </si>
  <si>
    <t>IT00124COC00441</t>
  </si>
  <si>
    <t>ELKA-HOLZWERKE</t>
  </si>
  <si>
    <t>REJECT AND OVERSIZE</t>
  </si>
  <si>
    <t>1229-ELKA-HOLZWERKE--ELKA-2024</t>
  </si>
  <si>
    <t>TM 42 – 23.03.2024 -Aarti Grate Ash – R1</t>
  </si>
  <si>
    <t xml:space="preserve">GRATE AHS </t>
  </si>
  <si>
    <t>1230-AARTI ALCHEMIE FINECHEM PVT. LTD--GRATE AHS -2024</t>
  </si>
  <si>
    <t>IT00124COC00497</t>
  </si>
  <si>
    <t>BORG LTD</t>
  </si>
  <si>
    <t>BORG AUSTRALIAN PANELS</t>
  </si>
  <si>
    <t>MT. GAMBIER NEW PB PLANT</t>
  </si>
  <si>
    <t>1231 - BORG LTD-BORG AUSTRALIAN PANELS-MT. GAMBIER NEW PB PLANT-2024</t>
  </si>
  <si>
    <t>IT00124COC00472</t>
  </si>
  <si>
    <t>1.20323 - CNCh</t>
  </si>
  <si>
    <t>1232 - VYNCKE - 1.20323 - Compañía Nacional de Chocolates (CNCh) - 2024</t>
  </si>
  <si>
    <t>IT00124COC00509</t>
  </si>
  <si>
    <t>AAK</t>
  </si>
  <si>
    <t>N°2 SERRANDE MOTORZZATE</t>
  </si>
  <si>
    <t>DENMARK</t>
  </si>
  <si>
    <t>1233-VYNCKE--AAK-2024</t>
  </si>
  <si>
    <t>TM12-FV23179-SARVARAYA-FCS&amp;ACS-R1</t>
  </si>
  <si>
    <t>FORBES VYNCKE</t>
  </si>
  <si>
    <t>SARVARAYA SUGAR</t>
  </si>
  <si>
    <t>1234 - TRM IND - FV23179 - Sarvaraya - 2024</t>
  </si>
  <si>
    <t>IT00124COC00614</t>
  </si>
  <si>
    <t>SOBONO ENERGY</t>
  </si>
  <si>
    <t>REXUS BIOMASS ENERGY PLANT</t>
  </si>
  <si>
    <t>SINGAPORE</t>
  </si>
  <si>
    <t>1235 - SOBONO - 13.2MWe Biomass Energy Plant - Conveyors - 2024</t>
  </si>
  <si>
    <t>IT00124COC00580</t>
  </si>
  <si>
    <t>10/08/2024 - 22/11/2024</t>
  </si>
  <si>
    <t>1236-FINSA--OREMBER-2024</t>
  </si>
  <si>
    <t>IT00124COC00570</t>
  </si>
  <si>
    <t>1237-FINANCIERA MADERERA--SANTIAGO DE COMPOSTELA-2024</t>
  </si>
  <si>
    <t>TM3524-FV24183 MILKY MIST-FCS&amp;ACS-R1</t>
  </si>
  <si>
    <t>MILKY MIST</t>
  </si>
  <si>
    <t>1238 - MILKY MIST-MILKY MIST--2024</t>
  </si>
  <si>
    <t>IT00124COC00048</t>
  </si>
  <si>
    <t>NESTLE' GIRONA II</t>
  </si>
  <si>
    <t>TRM CHN PROKECT NR P 24.002</t>
  </si>
  <si>
    <t>TEST FOLDER FOR TRM CHN</t>
  </si>
  <si>
    <t>1239 - VYNCKE - NESTLE' GIRONA II - 2024</t>
  </si>
  <si>
    <t>IT00124COC00666</t>
  </si>
  <si>
    <t>SERBIA PELLET</t>
  </si>
  <si>
    <t>1240-PAL--SERBIA PELLET-2024</t>
  </si>
  <si>
    <t>IT00124COC00678</t>
  </si>
  <si>
    <t>INDUSTRIA CALCE CASERTANA</t>
  </si>
  <si>
    <t>BUCCINO</t>
  </si>
  <si>
    <t>COCLEE</t>
  </si>
  <si>
    <t>1241-INDUSTRIA CALCE CASERTANA--BUCCINO-2024</t>
  </si>
  <si>
    <t>IT00124COC00996</t>
  </si>
  <si>
    <t>MARKT BIBART</t>
  </si>
  <si>
    <t>1242-EGGER--MARKT BIBART-2024</t>
  </si>
  <si>
    <t>TM0624- FV 23177/78-SANATHAN- FCS &amp; ACS R5</t>
  </si>
  <si>
    <t>SANATHAN TEXTILES LTD.</t>
  </si>
  <si>
    <t>SANATHAN</t>
  </si>
  <si>
    <t>CHANDIGARH</t>
  </si>
  <si>
    <t>FHS + AHS</t>
  </si>
  <si>
    <t>1243 - SANATHAN TEXTILES LTD. - SANATHAN - CHANDIGARH - 2024</t>
  </si>
  <si>
    <t>IT00124COC00694</t>
  </si>
  <si>
    <t>1244-EGGER--HEXHAM-2024</t>
  </si>
  <si>
    <t>IT00124COC00751</t>
  </si>
  <si>
    <t>1245-EGGER--LEXINGTON-2024</t>
  </si>
  <si>
    <t>IT00124COC00714</t>
  </si>
  <si>
    <t>NEUMARKT</t>
  </si>
  <si>
    <t>1246-DIEFFENBACHER--NEUMARKT-2024</t>
  </si>
  <si>
    <t>IT00124COC00710</t>
  </si>
  <si>
    <t>MOVING FLOOR FOR BIOMASS HANDLING</t>
  </si>
  <si>
    <t>1247-PAL--LINEX PANNEAUX-2024</t>
  </si>
  <si>
    <t>IT00124COC00768</t>
  </si>
  <si>
    <t>CONIOLO</t>
  </si>
  <si>
    <t>NUOVO CARICO TORRE DI PULIZIA</t>
  </si>
  <si>
    <t>1248-PAL-IPAN CONIOLO-CARICO TORRE DI PULIZIA-2024</t>
  </si>
  <si>
    <t>IT00124COC00771</t>
  </si>
  <si>
    <t>BISACCO - BUCCINO</t>
  </si>
  <si>
    <t>TKK</t>
  </si>
  <si>
    <t>1249-INDUSTRIA CALCE CASERTANA--BISACCO - BUCCINO-2024</t>
  </si>
  <si>
    <t>IT00124COC00880</t>
  </si>
  <si>
    <t>MENZNAU</t>
  </si>
  <si>
    <t>STEP1</t>
  </si>
  <si>
    <t>1250-PAL-SWISS KRONO-MENZNAU-2024</t>
  </si>
  <si>
    <t>IT00124COC00881</t>
  </si>
  <si>
    <t>STEP2</t>
  </si>
  <si>
    <t>IT00124COC00894</t>
  </si>
  <si>
    <t>CARMEUSE</t>
  </si>
  <si>
    <t>1251-PAL-CARMEUSE-ROMANIA-2024</t>
  </si>
  <si>
    <t>IT00124COC00874</t>
  </si>
  <si>
    <t>SERRANDA</t>
  </si>
  <si>
    <t>1252-KRONOSPAN--TORTOSA-2024</t>
  </si>
  <si>
    <t>IT00124COC00893</t>
  </si>
  <si>
    <t>1253-INSTALMEC-KRONOSPAN-AUXERRE-2024</t>
  </si>
  <si>
    <t>TM 1124-03.09.2024 MONDELEZ-R2</t>
  </si>
  <si>
    <t>MONDELEZ</t>
  </si>
  <si>
    <t>BADDI</t>
  </si>
  <si>
    <t>1254-FORBES VYNCKE-MONDELEZ-BADDI-2024</t>
  </si>
  <si>
    <t>3TH PASS SCREW</t>
  </si>
  <si>
    <t>IT00124COC00884</t>
  </si>
  <si>
    <t>BORG PB</t>
  </si>
  <si>
    <t>ASH</t>
  </si>
  <si>
    <t>1255 - VYNCKE-BORG-BORG PB-2024</t>
  </si>
  <si>
    <t>SAHYADRI CHAKAN</t>
  </si>
  <si>
    <t>1256-FORBES VYNCKE--SAHYADRI CHAKAN-2024</t>
  </si>
  <si>
    <t>TRASMEC INDIA PRIVATE LIMITED</t>
  </si>
  <si>
    <t>AARTI ACHEMIE AHS</t>
  </si>
  <si>
    <t>1257-TRASMEC INDIA PRIVATE LIMITED--AARTI ACHEMIE AHS-2024</t>
  </si>
  <si>
    <t>AARTI PHARMA</t>
  </si>
  <si>
    <t>1258-TRASMEC INDIA PRIVATE LIMITED--AARTI PHARMA-2024</t>
  </si>
  <si>
    <t>MYLAN</t>
  </si>
  <si>
    <t>1259-TRASMEC INDIA PRIVATE LIMITED--MYLAN-2024</t>
  </si>
  <si>
    <t>AMBARNATH</t>
  </si>
  <si>
    <t>1260-TRASMEC INDIA PRIVATE LIMITED--AMBARNATH-2024</t>
  </si>
  <si>
    <t>IT00124COC00929</t>
  </si>
  <si>
    <t>UNILIN BAZEILLES OSIRIS</t>
  </si>
  <si>
    <t>1261-DIEFFENBACHER--UNILIN BAZEILLES OSIRIS-2024</t>
  </si>
  <si>
    <t>NEA</t>
  </si>
  <si>
    <t>DEASCHING SYSTEM</t>
  </si>
  <si>
    <t>1262 - VYNCKE--NEA-2024</t>
  </si>
  <si>
    <t>IT00124COC00923</t>
  </si>
  <si>
    <t>1263-PAL-EGGER-BRILON-2024</t>
  </si>
  <si>
    <t>IT00124COC00946</t>
  </si>
  <si>
    <t>MARTINO ROSSI SPA</t>
  </si>
  <si>
    <t>MALAGNINO</t>
  </si>
  <si>
    <t>MODIFICA COCLEE</t>
  </si>
  <si>
    <t>1264-MARTINO ROSSI SPA--MALAGNINO-2024</t>
  </si>
  <si>
    <t>IT00124COC00965</t>
  </si>
  <si>
    <t>FORESA</t>
  </si>
  <si>
    <t>CALDAS DE REYES</t>
  </si>
  <si>
    <t>1265-FORESA-FORESA-CALDAS DE REYES-2024</t>
  </si>
  <si>
    <t>1266</t>
  </si>
  <si>
    <t>ALBIOMA LE MOULE</t>
  </si>
  <si>
    <t>GUADELOUPE</t>
  </si>
  <si>
    <t>1266-SERA ENERGIES--ALBIOMA LE MOULE-2024</t>
  </si>
  <si>
    <t>IT00124COC01007</t>
  </si>
  <si>
    <t>DUNISKY</t>
  </si>
  <si>
    <t>SHAFTLESS SCREWS</t>
  </si>
  <si>
    <t>1267-EIREBLOC LTD--DUNISKY-2024</t>
  </si>
  <si>
    <t>TM 62 2024-MONDELEZ SRICITI-TECHNICAL-R6</t>
  </si>
  <si>
    <t>MONDELEZ INDIA FOOD</t>
  </si>
  <si>
    <t>SRI CITY</t>
  </si>
  <si>
    <t>KIJCHAI MDF3</t>
  </si>
  <si>
    <t>1269-VYNCKE--KIJCHAI MDF3-2024</t>
  </si>
  <si>
    <t>YALIAN MACHINERY CO., LTD</t>
  </si>
  <si>
    <t>PB500 Upgrade</t>
  </si>
  <si>
    <t>1270-YALIAN MACHINERY CO., LTD---2024</t>
  </si>
  <si>
    <t>IT00124COC01065</t>
  </si>
  <si>
    <t>CMP FRATI</t>
  </si>
  <si>
    <t>POMPONESCO</t>
  </si>
  <si>
    <t>RICAMBI NR 2 SERRANDE PNEUMATICHE</t>
  </si>
  <si>
    <t>1271-CMP FRATI--POMPONESCO-2024</t>
  </si>
  <si>
    <t>MDF L5</t>
  </si>
  <si>
    <t>IT0012024TRT00224-METRO--MDF L5-2024</t>
  </si>
  <si>
    <t>NV_DRENIK</t>
  </si>
  <si>
    <t>IT0012024TRT00279-VYNCKE--NV_DRENIK-2024</t>
  </si>
  <si>
    <t>700</t>
  </si>
  <si>
    <t>701</t>
  </si>
  <si>
    <t>702</t>
  </si>
  <si>
    <t>703</t>
  </si>
  <si>
    <t>704</t>
  </si>
  <si>
    <t>705</t>
  </si>
  <si>
    <t>706</t>
  </si>
  <si>
    <t>707</t>
  </si>
  <si>
    <t>708</t>
  </si>
  <si>
    <t>709</t>
  </si>
  <si>
    <t>710</t>
  </si>
  <si>
    <t>711</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</si>
  <si>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</si>
  <si>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</si>
  <si>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</si>
  <si>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</si>
  <si>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</si>
  <si>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</si>
  <si>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</si>
  <si>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</si>
  <si>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</si>
  <si>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</si>
  <si>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</si>
  <si>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</si>
  <si>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</si>
  <si>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</si>
  <si>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</si>
  <si>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</si>
  <si>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</si>
  <si>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</si>
  <si>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</si>
  <si>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</si>
  <si>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</si>
  <si>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</si>
  <si>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</si>
  <si>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</si>
  <si>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</si>
  <si>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</si>
  <si>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</si>
  <si>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</si>
  <si>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</si>
  <si>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</si>
  <si>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</si>
  <si>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</si>
  <si>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</si>
  <si>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</si>
  <si>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</si>
  <si>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</si>
  <si>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</si>
  <si>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</si>
  <si>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</si>
  <si>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</si>
  <si>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</si>
  <si>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</si>
  <si>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</si>
  <si>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</si>
  <si>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</si>
  <si>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</si>
  <si>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</si>
  <si>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</si>
  <si>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</si>
  <si>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</si>
  <si>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</si>
  <si>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</si>
  <si>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</si>
  <si>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</si>
  <si>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</si>
  <si>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</si>
  <si>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</si>
  <si>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</si>
  <si>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</si>
  <si>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</si>
  <si>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</si>
  <si>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</si>
  <si>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</si>
  <si>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</si>
  <si>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</si>
  <si>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</si>
  <si>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</si>
  <si>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</si>
  <si>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</si>
  <si>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</si>
  <si>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</si>
  <si>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</si>
  <si>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</si>
  <si>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</si>
  <si>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</si>
  <si>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</si>
  <si>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</si>
  <si>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</si>
  <si>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</si>
  <si>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</si>
  <si>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</si>
  <si>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</si>
  <si>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</si>
  <si>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</si>
  <si>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</si>
  <si>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</si>
  <si>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</si>
  <si>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</si>
  <si>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</si>
  <si>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</si>
  <si>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</si>
  <si>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</si>
  <si>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</si>
  <si>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</si>
  <si>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</si>
  <si>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</si>
  <si>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</si>
  <si>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</si>
  <si>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</si>
  <si>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</si>
  <si>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</si>
  <si>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</si>
  <si>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</si>
  <si>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</si>
  <si>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</si>
  <si>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</si>
  <si>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</si>
  <si>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</si>
  <si>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</si>
  <si>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</si>
  <si>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</si>
  <si>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</si>
  <si>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</si>
  <si>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</si>
  <si>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</si>
  <si>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</si>
  <si>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</si>
  <si>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</si>
  <si>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</si>
  <si>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</si>
  <si>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</si>
  <si>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</si>
  <si>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</si>
  <si>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</si>
  <si>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</si>
  <si>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</si>
  <si>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</si>
  <si>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</si>
  <si>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</si>
  <si>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</si>
  <si>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</si>
  <si>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</si>
  <si>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</si>
  <si>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</si>
  <si>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</si>
  <si>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</si>
  <si>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</si>
  <si>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</si>
  <si>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</si>
  <si>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</si>
  <si>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</si>
  <si>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</si>
  <si>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</si>
  <si>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</si>
  <si>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</si>
  <si>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</si>
  <si>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</si>
  <si>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</si>
  <si>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</si>
  <si>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</si>
  <si>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</si>
  <si>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</si>
  <si>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</si>
  <si>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</si>
  <si>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</si>
  <si>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</si>
  <si>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</si>
  <si>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</si>
  <si>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</si>
  <si>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</si>
  <si>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</si>
  <si>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</si>
  <si>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</si>
  <si>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</si>
  <si>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</si>
  <si>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</si>
  <si>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</si>
  <si>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</si>
  <si>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</si>
  <si>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</si>
  <si>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</si>
  <si>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</si>
  <si>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</si>
  <si>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</si>
  <si>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</si>
  <si>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</si>
  <si>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</si>
  <si>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</si>
  <si>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</si>
  <si>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</si>
  <si>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</si>
  <si>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</si>
  <si>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</si>
  <si>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</si>
  <si>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</si>
  <si>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</si>
  <si>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</si>
  <si>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</si>
  <si>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</si>
  <si>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</si>
  <si>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</si>
  <si>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</si>
  <si>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</si>
  <si>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</si>
  <si>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</si>
  <si>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</si>
  <si>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</si>
  <si>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</si>
  <si>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</si>
  <si>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</si>
  <si>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</si>
  <si>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</si>
  <si>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</si>
  <si>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</si>
  <si>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</si>
  <si>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</si>
  <si>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</si>
  <si>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</si>
  <si>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</si>
  <si>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</si>
  <si>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</si>
  <si>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</si>
  <si>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</si>
  <si>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</si>
  <si>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</si>
  <si>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</si>
  <si>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</si>
  <si>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</si>
  <si>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</si>
  <si>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</si>
  <si>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</si>
  <si>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</si>
  <si>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</si>
  <si>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</si>
  <si>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</si>
  <si>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</si>
  <si>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</si>
  <si>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</si>
  <si>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</si>
  <si>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</si>
  <si>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</si>
  <si>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</si>
  <si>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</si>
  <si>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</si>
  <si>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</si>
  <si>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</si>
  <si>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</si>
  <si>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</si>
  <si>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</si>
  <si>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</si>
  <si>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</si>
  <si>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</si>
  <si>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</si>
  <si>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</si>
  <si>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</si>
  <si>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</si>
  <si>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</si>
  <si>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</si>
  <si>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</si>
  <si>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</si>
  <si>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</si>
  <si>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</si>
  <si>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</si>
  <si>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</si>
  <si>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</si>
  <si>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</si>
  <si>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</si>
  <si>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</si>
  <si>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</si>
  <si>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</si>
  <si>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</si>
  <si>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</si>
  <si>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</si>
  <si>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</si>
  <si>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</si>
  <si>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</si>
  <si>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</si>
  <si>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</si>
  <si>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</si>
  <si>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</si>
  <si>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</si>
  <si>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</si>
  <si>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</si>
  <si>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</si>
  <si>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</si>
  <si>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</si>
  <si>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</si>
  <si>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</si>
  <si>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</si>
  <si>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</si>
  <si>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</si>
  <si>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</si>
  <si>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</si>
  <si>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</si>
  <si>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</si>
  <si>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</si>
  <si>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</si>
  <si>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</si>
  <si>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</si>
  <si>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</si>
  <si>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</si>
  <si>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</si>
  <si>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</si>
  <si>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</si>
  <si>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</si>
  <si>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</si>
  <si>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</si>
  <si>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</si>
  <si>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</si>
  <si>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</si>
  <si>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</si>
  <si>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</si>
  <si>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</si>
  <si>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</si>
  <si>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</si>
  <si>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</si>
  <si>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</si>
  <si>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</si>
  <si>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</si>
  <si>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</si>
  <si>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</si>
  <si>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</si>
  <si>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</si>
  <si>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</si>
  <si>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</si>
  <si>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</si>
  <si>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</si>
  <si>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</si>
  <si>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</si>
  <si>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</si>
  <si>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</si>
  <si>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</si>
  <si>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</si>
  <si>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</si>
  <si>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</si>
  <si>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</si>
  <si>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</si>
  <si>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</si>
  <si>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</si>
  <si>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</si>
  <si>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</si>
  <si>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</si>
  <si>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</si>
  <si>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</si>
  <si>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</si>
  <si>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</si>
  <si>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</si>
  <si>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</si>
  <si>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</si>
  <si>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</si>
  <si>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</si>
  <si>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</si>
  <si>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</si>
  <si>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</si>
  <si>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</si>
  <si>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</si>
  <si>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</si>
  <si>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</si>
  <si>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</si>
  <si>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</si>
  <si>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</si>
  <si>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</si>
  <si>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</si>
  <si>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</si>
  <si>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</si>
  <si>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</si>
  <si>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</si>
  <si>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</si>
  <si>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</si>
  <si>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</si>
  <si>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</si>
  <si>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</si>
  <si>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</si>
  <si>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</si>
  <si>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</si>
  <si>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</si>
  <si>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</si>
  <si>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</si>
  <si>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</si>
  <si>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</si>
  <si>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</si>
  <si>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</si>
  <si>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</si>
  <si>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</si>
  <si>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</si>
  <si>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</si>
  <si>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</si>
  <si>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</si>
  <si>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</si>
  <si>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</si>
  <si>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</si>
  <si>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</si>
  <si>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</si>
  <si>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</si>
  <si>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</si>
  <si>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</si>
  <si>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</si>
  <si>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</si>
  <si>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</si>
  <si>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</si>
  <si>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</si>
  <si>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</si>
  <si>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</si>
  <si>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</si>
  <si>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</si>
  <si>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</si>
  <si>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</si>
  <si>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</si>
  <si>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</si>
  <si>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</si>
  <si>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</si>
  <si>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</si>
  <si>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</si>
  <si>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</si>
  <si>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</si>
  <si>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</si>
  <si>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</si>
  <si>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</si>
  <si>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</si>
  <si>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</si>
  <si>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</si>
  <si>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</si>
  <si>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</si>
  <si>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</si>
  <si>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</si>
  <si>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</si>
  <si>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</si>
  <si>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</si>
  <si>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</si>
  <si>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</si>
  <si>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</si>
  <si>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</si>
  <si>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</si>
  <si>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</si>
  <si>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</si>
  <si>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</si>
  <si>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</si>
  <si>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</si>
  <si>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</si>
  <si>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</si>
  <si>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</si>
  <si>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</si>
  <si>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</si>
  <si>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</si>
  <si>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</si>
  <si>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</si>
  <si>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</si>
  <si>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</si>
  <si>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</si>
  <si>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</si>
  <si>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</si>
  <si>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</si>
  <si>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</si>
  <si>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</si>
  <si>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</si>
  <si>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</si>
  <si>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</si>
  <si>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</si>
  <si>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</si>
  <si>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</si>
  <si>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</si>
  <si>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</si>
  <si>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</si>
  <si>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</si>
  <si>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</si>
  <si>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</si>
  <si>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</si>
  <si>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</si>
  <si>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</si>
  <si>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</si>
  <si>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</si>
  <si>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</si>
  <si>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</si>
  <si>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</si>
  <si>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</si>
  <si>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</si>
  <si>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</si>
  <si>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</si>
  <si>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</si>
  <si>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</si>
  <si>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</si>
  <si>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</si>
  <si>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</si>
  <si>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</si>
  <si>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</si>
  <si>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</si>
  <si>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</si>
  <si>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</si>
  <si>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</si>
  <si>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</si>
  <si>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</si>
  <si>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</si>
  <si>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</si>
  <si>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</si>
  <si>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</si>
  <si>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</si>
  <si>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</si>
  <si>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</si>
  <si>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</si>
  <si>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</si>
  <si>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</si>
  <si>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</si>
  <si>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</si>
  <si>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</si>
  <si>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</si>
  <si>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</si>
  <si>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</si>
  <si>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</si>
  <si>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</si>
  <si>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</si>
  <si>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</si>
  <si>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</si>
  <si>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</si>
  <si>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</si>
  <si>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</si>
  <si>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</si>
  <si>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</si>
  <si>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</si>
  <si>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</si>
  <si>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</si>
  <si>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</si>
  <si>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</si>
  <si>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</si>
  <si>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</si>
  <si>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</si>
  <si>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</si>
  <si>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</si>
  <si>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</si>
  <si>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</si>
  <si>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</si>
  <si>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</si>
  <si>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</si>
  <si>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</si>
  <si>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</si>
  <si>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</si>
  <si>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</si>
  <si>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</si>
  <si>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</si>
  <si>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</si>
  <si>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</si>
  <si>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</si>
  <si>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</si>
  <si>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</si>
  <si>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</si>
  <si>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</si>
  <si>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</si>
  <si>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</si>
  <si>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</si>
  <si>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</si>
  <si>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</si>
  <si>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</si>
  <si>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</si>
  <si>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</si>
  <si>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</si>
  <si>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</si>
  <si>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</si>
  <si>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</si>
  <si>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</si>
  <si>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</si>
  <si>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</si>
  <si>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</si>
  <si>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</si>
  <si>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1267</t>
  </si>
  <si>
    <t>1268</t>
  </si>
  <si>
    <t>1269</t>
  </si>
  <si>
    <t>1270</t>
  </si>
  <si>
    <t>1271</t>
  </si>
  <si>
    <t>IT0012024TRT00224</t>
  </si>
  <si>
    <t>IT0012024TRT00279</t>
  </si>
  <si>
    <t>712</t>
  </si>
  <si>
    <t xml:space="preserve">Project ° </t>
  </si>
  <si>
    <t>IT00124COC00963</t>
  </si>
  <si>
    <t>IT00124COC01029-1080-1081-1082</t>
  </si>
  <si>
    <t xml:space="preserve">MONDELEZ </t>
  </si>
  <si>
    <t>1268-MONDELEZ INDIA FOOD-MONDELEZ -SRI CITY-2024</t>
  </si>
  <si>
    <t>OC24CS-0001069</t>
  </si>
  <si>
    <t>OC24CS-0065078</t>
  </si>
  <si>
    <t>IT00124COC01179</t>
  </si>
  <si>
    <t>IT0012024TRT00304</t>
  </si>
  <si>
    <t>IT00124COC01186</t>
  </si>
  <si>
    <t>IT00124SQN00246R01</t>
  </si>
  <si>
    <t>ENGIE</t>
  </si>
  <si>
    <t>RIVAROLO CANAVESE</t>
  </si>
  <si>
    <t>IT0012024TRT00073</t>
  </si>
  <si>
    <t>IT00124COC01196</t>
  </si>
  <si>
    <t>IT0012024TRT00266</t>
  </si>
  <si>
    <t>BORG FLAKING AREA PB GAMBIER</t>
  </si>
  <si>
    <t>Completed</t>
  </si>
  <si>
    <t>Compleded</t>
  </si>
  <si>
    <t>?</t>
  </si>
  <si>
    <t>???</t>
  </si>
  <si>
    <t>IT00124COC01244</t>
  </si>
  <si>
    <t>IT0012025TRT00001</t>
  </si>
  <si>
    <t>AARTI INDUSTRIES LTD</t>
  </si>
  <si>
    <t>JHAGADIA</t>
  </si>
  <si>
    <t>IT0012024TRT00321</t>
  </si>
  <si>
    <t>IT0012024TRT00249</t>
  </si>
  <si>
    <t>Material</t>
  </si>
  <si>
    <t>ASH HANDLING SYSTEM</t>
  </si>
  <si>
    <t>IT00125COC00002</t>
  </si>
  <si>
    <t>IT00124COC01258</t>
  </si>
  <si>
    <t>IT00124COC01259</t>
  </si>
  <si>
    <t>AUSTRALIAN PANELS</t>
  </si>
  <si>
    <t>TM492024-AARTI IND LTD-JHAGADIA-TECHNO COMMERCIAL PROPOSAL -R5 05.12.24</t>
  </si>
  <si>
    <t>IT0012024TRT00301</t>
  </si>
  <si>
    <t>IT00125COC00007</t>
  </si>
  <si>
    <t>IT0012024TRT00307</t>
  </si>
  <si>
    <t>IT00125COC00004</t>
  </si>
  <si>
    <t>ENGIE DS SMITH</t>
  </si>
  <si>
    <t>IT0012022TRT00361</t>
  </si>
  <si>
    <t>LA ROQUETTE 1</t>
  </si>
  <si>
    <t>IT0012025TRT00023</t>
  </si>
  <si>
    <t>NEW CHIPS STORAGE</t>
  </si>
  <si>
    <t>TURKEY</t>
  </si>
  <si>
    <t>IT0012024TRT00243</t>
  </si>
  <si>
    <t>OC24CS-0009088</t>
  </si>
  <si>
    <t>METRO PARTICLE Co., Ltd</t>
  </si>
  <si>
    <t>METRO PB2</t>
  </si>
  <si>
    <t>IT0012024TRT00147</t>
  </si>
  <si>
    <t>IT00125COC00012</t>
  </si>
  <si>
    <t>IT0012025TRT00024</t>
  </si>
  <si>
    <t>IT00125COC00015</t>
  </si>
  <si>
    <t>DOSING SCREW</t>
  </si>
  <si>
    <t>Column17</t>
  </si>
  <si>
    <t>Column18</t>
  </si>
  <si>
    <t>Column19</t>
  </si>
  <si>
    <t>INVIATA</t>
  </si>
  <si>
    <t>CANCELLED</t>
  </si>
  <si>
    <t>IT00125COC00028</t>
  </si>
  <si>
    <t>COMPARTIMENTAZIONE SILI</t>
  </si>
  <si>
    <t>Manca quella del 2026</t>
  </si>
  <si>
    <t>OC24CS-0009073</t>
  </si>
  <si>
    <t>IT0012024TRT00304-EGGER--MARKT BIBART-2024</t>
  </si>
  <si>
    <t>IT00125COC00024</t>
  </si>
  <si>
    <t>IT0012024TRT00304-EGGER--MARKT BIBART-2025</t>
  </si>
  <si>
    <t>IT0012024TRT00321-ENGIE-ENGIE-RIVAROLO CANAVESE-2025</t>
  </si>
  <si>
    <t>IT0012024TRT00073-DIEFFENBACHER-EGGER-MARKT BIBART-2024</t>
  </si>
  <si>
    <t>IT0012024TRT00266-AUSTRALIAN PANELS-BORG-BORG FLAKING AREA PB GAMBIER-2025</t>
  </si>
  <si>
    <t>IT0012025TRT00001-AARTI INDUSTRIES LTD--JHAGADIA-2025</t>
  </si>
  <si>
    <t>IT0012024TRT00249-EGGER-EGGER-RION DES LANDES-2025</t>
  </si>
  <si>
    <t>IT0012024TRT00301-LINEX PANNEAUX--LINEX PANNEAUX-2025</t>
  </si>
  <si>
    <t>IT0012024TRT00307-VYNCKE-ENGIE DS SMITH-ENGIE DS SMITH-2025</t>
  </si>
  <si>
    <t>IT0012022TRT00361-SERA ENERGIES--LA ROQUETTE 1-2025</t>
  </si>
  <si>
    <t>IT0012025TRT00023-AGT--AGT-2025</t>
  </si>
  <si>
    <t>IT0012024TRT00243-METRO PARTICLE Co., Ltd--METRO PB2-2025</t>
  </si>
  <si>
    <t>IT0012024TRT00147-DIEFFENBACHER--LIGNATHERM-2025</t>
  </si>
  <si>
    <t>IT0012025TRT00024-KRONOSPAN--BURGOS-2025</t>
  </si>
  <si>
    <t>IT0012024TRT00281</t>
  </si>
  <si>
    <t>IT00125COC00016</t>
  </si>
  <si>
    <t>SAVIOLA MORTARA</t>
  </si>
  <si>
    <t>IT0012024TRT00281-PAL--SAVIOLA MORTARA-2025</t>
  </si>
  <si>
    <t>IT0012024TRT00283</t>
  </si>
  <si>
    <t>IT00125COC00019</t>
  </si>
  <si>
    <t>IT0012024TRT00283-EGGER--HEXHAM-2025</t>
  </si>
  <si>
    <t>IT0012025TRT00004</t>
  </si>
  <si>
    <t>IT00125COC00006</t>
  </si>
  <si>
    <t>MAGNON MAHOU</t>
  </si>
  <si>
    <t>IT0012025TRT00004-VYNCKE--MAGNON MAHOU-2025</t>
  </si>
  <si>
    <t>IT0012024TRT00225</t>
  </si>
  <si>
    <t>IT00125COC00011</t>
  </si>
  <si>
    <t>VYNCKE NV</t>
  </si>
  <si>
    <t>SOBONO</t>
  </si>
  <si>
    <t>IT0012024TRT00225-VYNCKE NV--SOBONO-2025</t>
  </si>
  <si>
    <t>IT0012024TRT00060</t>
  </si>
  <si>
    <t>IT00125COC00008</t>
  </si>
  <si>
    <t>TARTAK</t>
  </si>
  <si>
    <t>Declerck</t>
  </si>
  <si>
    <t>IT0012024TRT00060-VYNCKE NV--TARTAK-2025</t>
  </si>
  <si>
    <t>IT0012024TRT00294</t>
  </si>
  <si>
    <t>IT00125COC00009</t>
  </si>
  <si>
    <t xml:space="preserve"> DALKIA SYLVIA</t>
  </si>
  <si>
    <t>IT0012024TRT00294-VYNCKE-- DALKIA SYLVIA-2025</t>
  </si>
  <si>
    <t>IT00125COC00033</t>
  </si>
  <si>
    <t>IT0012025TRT00055</t>
  </si>
  <si>
    <t>IT00125COC00031</t>
  </si>
  <si>
    <t>COGELAND</t>
  </si>
  <si>
    <t>IT0012025TRT00055-VYNCKE--COGELAND-2025</t>
  </si>
  <si>
    <t>IT0012024TRT00102</t>
  </si>
  <si>
    <t>RHEINSPAN</t>
  </si>
  <si>
    <t>Completata parte di ingegneria</t>
  </si>
  <si>
    <t>IT0012024TRT00102-PAL--RHEINSPAN-2025</t>
  </si>
  <si>
    <t>DELHEZ BOIS SA</t>
  </si>
  <si>
    <t>ECOPULSER PROJECT</t>
  </si>
  <si>
    <t>IT0012025TRT00051</t>
  </si>
  <si>
    <t xml:space="preserve">FRATI </t>
  </si>
  <si>
    <t>POMPONESCO - TRITURATORE FERRARI</t>
  </si>
  <si>
    <t>NUOVO CARICO TRITURATORE FERRARI</t>
  </si>
  <si>
    <t>IT0012025TRT00051-FRATI --POMPONESCO - TRITURATORE FERRARI-2025</t>
  </si>
  <si>
    <t>IT00125COC00032</t>
  </si>
  <si>
    <t>BUNKER</t>
  </si>
  <si>
    <t>IT0012025TRT00066</t>
  </si>
  <si>
    <t>POMPONESCO - TRASLANTI PESSA</t>
  </si>
  <si>
    <t>SOSTITUZIONE NASTRO SCARICO TRASLANTE PESSA</t>
  </si>
  <si>
    <t>IT0012025TRT00066-FRATI --POMPONESCO - TRASLANTI PESSA-2025</t>
  </si>
  <si>
    <t>IT0012024TRT00280</t>
  </si>
  <si>
    <t>WOODECO WIERUSZOW</t>
  </si>
  <si>
    <t>IT0012024TRT00280-PAL--WOODECO WIERUSZOW-2025</t>
  </si>
  <si>
    <t>IT0012025TRT00044</t>
  </si>
  <si>
    <t>IT0012025COC00050</t>
  </si>
  <si>
    <t>Energy Plant</t>
  </si>
  <si>
    <t>Fuel conveyors</t>
  </si>
  <si>
    <t>IT0012025TRT00044-SOBONO ENERGY--Energy Plant-2025</t>
  </si>
  <si>
    <t>IT0012025COC00049</t>
  </si>
  <si>
    <t>Ash conveyors</t>
  </si>
  <si>
    <t>IT0012024TRT00319</t>
  </si>
  <si>
    <t>IT00125COC00051</t>
  </si>
  <si>
    <t>DIEFFENBACHER PANELBOARD OY</t>
  </si>
  <si>
    <t xml:space="preserve">EGGER </t>
  </si>
  <si>
    <t>TN 1200 LT</t>
  </si>
  <si>
    <t>IT0012025TRT00069</t>
  </si>
  <si>
    <t>TM9024 FV- AGRISTO MASAN-FHS &amp; AHS-TECHNICAL - R1 15.01.25</t>
  </si>
  <si>
    <t xml:space="preserve">AGRISTO MASA </t>
  </si>
  <si>
    <t>AGRISTO BIJNOR</t>
  </si>
  <si>
    <t>8-9 months from order</t>
  </si>
  <si>
    <t>IT0012025TRT00069-FORBES VYNCKE-AGRISTO MASA -AGRISTO BIJNOR-2025</t>
  </si>
  <si>
    <t>IT0012021TRT00243</t>
  </si>
  <si>
    <t>solo offerta</t>
  </si>
  <si>
    <t>IT0012021TRT00243-SERA ENERGIES--NOVAWOOD-</t>
  </si>
  <si>
    <t>IT0012025TRT00033</t>
  </si>
  <si>
    <t>OC25CS-0118010</t>
  </si>
  <si>
    <t>FMIL</t>
  </si>
  <si>
    <t>COC CR + TK</t>
  </si>
  <si>
    <t>Ignaas</t>
  </si>
  <si>
    <t>IT0012025TRT00033-ECL--FMIL-2025</t>
  </si>
  <si>
    <t>ARC00001</t>
  </si>
  <si>
    <t>IT00125COC00045</t>
  </si>
  <si>
    <t>A.R.C.E.M.I. IMPIANTI</t>
  </si>
  <si>
    <t>FLSMIDTH A/S</t>
  </si>
  <si>
    <t>UNACEM ATOCONGO</t>
  </si>
  <si>
    <t>ARC00001-A.R.C.E.M.I. IMPIANTI-FLSMIDTH A/S-UNACEM ATOCONGO-2025</t>
  </si>
  <si>
    <t>IT0012025TRT00029</t>
  </si>
  <si>
    <t>IT00125COC00038</t>
  </si>
  <si>
    <t>LANOIL</t>
  </si>
  <si>
    <t>ASH CONVEYORS</t>
  </si>
  <si>
    <t>IT0012025TRT00029-VYNCKE NV--LANOIL-2025</t>
  </si>
  <si>
    <t>IT0012025TRT00012</t>
  </si>
  <si>
    <t>PGE</t>
  </si>
  <si>
    <t>IT0012025TRT00012-VYNCKE NV--PGE-2025</t>
  </si>
  <si>
    <t>IT0012024TRT00263</t>
  </si>
  <si>
    <t>OC24CS-0118079</t>
  </si>
  <si>
    <t xml:space="preserve">MAHARAJAN PB </t>
  </si>
  <si>
    <t>IT0012024TRT00263-ECL--MAHARAJAN PB -2025</t>
  </si>
  <si>
    <t>IT0012025TRT00052</t>
  </si>
  <si>
    <t>IT00125COC00047</t>
  </si>
  <si>
    <t>COCLEA DOSATRICE</t>
  </si>
  <si>
    <t>IT0012025TRT00052-IMAL-ASM IREN-VERCELLI-2025</t>
  </si>
  <si>
    <t>IT0012025TRT00095</t>
  </si>
  <si>
    <t>BUNGE MARTFU II</t>
  </si>
  <si>
    <t>IT0012025TRT00095-VYNCKE NV--BUNGE MARTFU II-2025</t>
  </si>
  <si>
    <t>IT0012025TRT00094</t>
  </si>
  <si>
    <t>ADVANCE FIBER</t>
  </si>
  <si>
    <t>NEW SPB LINE-1500</t>
  </si>
  <si>
    <t>CHIPPING LINE AND STORAGE</t>
  </si>
  <si>
    <t>IT0012025TRT00094-ADVANCE FIBER--NEW SPB LINE-1500-2025</t>
  </si>
  <si>
    <t>IT0012025TRT00014</t>
  </si>
  <si>
    <t>IT00125COC00026</t>
  </si>
  <si>
    <t>EGGER ST JOHANN TIROL</t>
  </si>
  <si>
    <t>Bandboard LT</t>
  </si>
  <si>
    <t>IT0012025TRT00014-EGGER--EGGER ST JOHANN TIROL-2025</t>
  </si>
  <si>
    <t>IT0012025TRT00015</t>
  </si>
  <si>
    <t>IT00125COC00022</t>
  </si>
  <si>
    <t>DIEFFENBACHER GMBH</t>
  </si>
  <si>
    <t>WOODECO GRAJEWO</t>
  </si>
  <si>
    <t>IT0012025TRT00015-DIEFFENBACHER GMBH--WOODECO GRAJEWO-2025</t>
  </si>
  <si>
    <t>IT0012025TRT00064</t>
  </si>
  <si>
    <t>IT00125COC00060</t>
  </si>
  <si>
    <t>ENSO ACOR</t>
  </si>
  <si>
    <t>Rakan</t>
  </si>
  <si>
    <t>IT0012025TRT00064-VYNCKE NV--ENSO ACOR-2025</t>
  </si>
  <si>
    <t>IT0012025TRT00058</t>
  </si>
  <si>
    <t>IT00125COC00053</t>
  </si>
  <si>
    <t>IT0012025TRT00058-SONAE ARAUCO---2025</t>
  </si>
  <si>
    <t>IT0012024TRT00274</t>
  </si>
  <si>
    <t>IT00125COC00061</t>
  </si>
  <si>
    <t>TK21HP+SERRANDA+COCLEA</t>
  </si>
  <si>
    <t>IT0012024TRT00274-EGGER--RAMBERVILLERS-2025</t>
  </si>
  <si>
    <t>IT00125COC00054</t>
  </si>
  <si>
    <t>BECIS ANSELL</t>
  </si>
  <si>
    <t>FUEL AND ASH HANDLING</t>
  </si>
  <si>
    <t>IT0012025TRT00101</t>
  </si>
  <si>
    <t>IT00125COC00055</t>
  </si>
  <si>
    <t>IT0012025TRT00101-BIPAN--BIPAN-2025</t>
  </si>
  <si>
    <t>IT0012025TRT00091</t>
  </si>
  <si>
    <t>IT00125COC00064</t>
  </si>
  <si>
    <t>N°5 TK15</t>
  </si>
  <si>
    <t>IT0012025TRT00091-KRONOSPAN--TORTOSA-2025</t>
  </si>
  <si>
    <t>IT00125COC00067</t>
  </si>
  <si>
    <t>IT0012023TRT00237</t>
  </si>
  <si>
    <t>IT00125COC00041</t>
  </si>
  <si>
    <t>REVAMPING</t>
  </si>
  <si>
    <t>IT0012023TRT00237-NOVOPAN DEL ECUADOR S.A--NOVOPAN-2025</t>
  </si>
  <si>
    <t>IT0012025TRT00045</t>
  </si>
  <si>
    <t>IT00125COC00063</t>
  </si>
  <si>
    <t>SIGMA</t>
  </si>
  <si>
    <t>ASH SCREWS</t>
  </si>
  <si>
    <t>IT0012025TRT00045-VYNCKE NV--SIGMA-2025</t>
  </si>
  <si>
    <t>IT0012025TRT00047</t>
  </si>
  <si>
    <t>IT00125COC00065</t>
  </si>
  <si>
    <t>PORTA PTY</t>
  </si>
  <si>
    <t>BORG MT. GAMBIER</t>
  </si>
  <si>
    <t>FUEL INFEED SYSTEM FOR BOILER</t>
  </si>
  <si>
    <t>IT0012025TRT00047-PORTA PTY--BORG MT. GAMBIER-2025</t>
  </si>
  <si>
    <t>Job Nr.</t>
  </si>
  <si>
    <t>IT0012024TRT00102 TBD</t>
  </si>
  <si>
    <t>DALKIA SOLVAY</t>
  </si>
  <si>
    <t>IT0012024TRT00294-VYNCKE--DALKIA SOLVAY-2025</t>
  </si>
  <si>
    <t>IT0012024TRT00319-DIEFFENBACHER--PANELBOARD OY-2025</t>
  </si>
  <si>
    <t>7 COCLEE</t>
  </si>
  <si>
    <t>PERU</t>
  </si>
  <si>
    <t>ARCEMI</t>
  </si>
  <si>
    <t>Lovat</t>
  </si>
  <si>
    <t>N°1 TK15 E MODIFICA ALLA COC00064</t>
  </si>
  <si>
    <t>IT0012025TRT00061</t>
  </si>
  <si>
    <t>IT00125COC00062</t>
  </si>
  <si>
    <t>WEYERHAEUSER LSL</t>
  </si>
  <si>
    <t>SWIVEL SCREW CONVEYORS</t>
  </si>
  <si>
    <t>IT0012025TRT00061-DIEFFENBACHER--WEYERHAEUSER LSL-2025</t>
  </si>
  <si>
    <t>IT0012025TRT00067</t>
  </si>
  <si>
    <t>IT00125COC00070</t>
  </si>
  <si>
    <t>N°1 TK40HP</t>
  </si>
  <si>
    <t>IT0012025TRT00067-PAL-SONAE ARAUCO-LINARES-2025</t>
  </si>
  <si>
    <t>ARC00002</t>
  </si>
  <si>
    <t>UNICALCE</t>
  </si>
  <si>
    <t>NASTRO BORDERBAND + PULITORE A CATENA</t>
  </si>
  <si>
    <t>ARC00002-A.R.C.E.M.I. IMPIANTI-UNICALCE--2025</t>
  </si>
  <si>
    <t>ARC00003</t>
  </si>
  <si>
    <t>A2A AMBIENTE SPA</t>
  </si>
  <si>
    <t>N°1 VALVOLA ROTANTE + ACCESSORI</t>
  </si>
  <si>
    <t>ARC00003-A.R.C.E.M.I. IMPIANTI-A2A AMBIENTE SPA--2025</t>
  </si>
  <si>
    <t>IT0012025TRT00131</t>
  </si>
  <si>
    <t>SHB BENIN</t>
  </si>
  <si>
    <t>BENIN</t>
  </si>
  <si>
    <t>IT0012025TRT00131-VYNCKE NV--SHB BENIN-2025</t>
  </si>
  <si>
    <t>IT0012025TRT00103</t>
  </si>
  <si>
    <t>IT00125COC00084</t>
  </si>
  <si>
    <t>N°1 TK15 FOR DUST</t>
  </si>
  <si>
    <t>IT0012025TRT00103-EGGER--HEXHAM-2025</t>
  </si>
  <si>
    <t>IT0012025TRT00013</t>
  </si>
  <si>
    <t>IT00125COC00075</t>
  </si>
  <si>
    <t>HOOGWEG</t>
  </si>
  <si>
    <t>REVAMP</t>
  </si>
  <si>
    <t>NETHERLANDS</t>
  </si>
  <si>
    <t>IT0012025TRT00013-VYNCKE NV--HOOGWEG-2025</t>
  </si>
  <si>
    <t>IT0012023TRT00269</t>
  </si>
  <si>
    <t>MEDITE</t>
  </si>
  <si>
    <t>IT0012023TRT00269-DIEFFENBACHER--MEDITE-2025</t>
  </si>
  <si>
    <t>IT0012024TRT00327</t>
  </si>
  <si>
    <t>IT00125COC00068</t>
  </si>
  <si>
    <t>ILG</t>
  </si>
  <si>
    <t>IT0012024TRT00327-VYNCKE NV--ILG-2025</t>
  </si>
  <si>
    <t>IT0012025TRT00132</t>
  </si>
  <si>
    <t>IT00125COC00076</t>
  </si>
  <si>
    <t>DRENIK</t>
  </si>
  <si>
    <t>IT0012025TRT00132-VYNCKE NV--DRENIK-2025</t>
  </si>
  <si>
    <t>IT0012024TRT00231</t>
  </si>
  <si>
    <t>IT00125COC00078</t>
  </si>
  <si>
    <t>WOODECO</t>
  </si>
  <si>
    <t>N°1 TKPNZ + N°2 SCREWS</t>
  </si>
  <si>
    <t>IT0012024TRT00231-WOODECO--GRAJEWO-2025</t>
  </si>
  <si>
    <t>IT0012025TRT00113</t>
  </si>
  <si>
    <t>IT00125COC00074</t>
  </si>
  <si>
    <t>LAMINEX GROUP</t>
  </si>
  <si>
    <t>LAMINEX</t>
  </si>
  <si>
    <t>SCHEME APPROVED</t>
  </si>
  <si>
    <t>IT0012025TRT00113-LAMINEX GROUP--LAMINEX-2025</t>
  </si>
  <si>
    <t>IT0012025TRT00119</t>
  </si>
  <si>
    <t>IT00125COC00083</t>
  </si>
  <si>
    <t>N°1 TK35HP</t>
  </si>
  <si>
    <t>IT0012025TRT00119-KRONOSPAN--BURGOS-2025</t>
  </si>
  <si>
    <t>IT0012025TRT00126</t>
  </si>
  <si>
    <t>IT00125COC00079</t>
  </si>
  <si>
    <t>N°4 FLAP</t>
  </si>
  <si>
    <t>IT0012025TRT00126-KRONOSPAN--TORTOSA-2025</t>
  </si>
  <si>
    <t>IT0012025TRT00068</t>
  </si>
  <si>
    <t>IT00125COC00085</t>
  </si>
  <si>
    <t>SERA</t>
  </si>
  <si>
    <t>VAULX EN VELIN</t>
  </si>
  <si>
    <t>TRIPPER LT</t>
  </si>
  <si>
    <t>IT0012025TRT00068-SERA--VAULX EN VELIN-2025</t>
  </si>
  <si>
    <t>IT0012025TRT00138</t>
  </si>
  <si>
    <t>CRUSHING AREA 100 - TKK60PNZ</t>
  </si>
  <si>
    <t>IT0012025TRT00138-INSTALMEC--KRONOSPAN TORTOSA-2025</t>
  </si>
  <si>
    <t>IT0012025TRT00017</t>
  </si>
  <si>
    <t>IT00125COC00087</t>
  </si>
  <si>
    <t>N°1 SCREW</t>
  </si>
  <si>
    <t>IT0012025TRT00017-KRONOSPAN--TORTOSA-2025</t>
  </si>
  <si>
    <t>IT0012022TRT00239</t>
  </si>
  <si>
    <t>IT00125COC00086</t>
  </si>
  <si>
    <t>IT0012022TRT00239-DIEFFENBACHER--TARTAK-2025</t>
  </si>
  <si>
    <t>IT0012025TRT00032</t>
  </si>
  <si>
    <t>IT00125COC00088</t>
  </si>
  <si>
    <t>N°1 TK30HP</t>
  </si>
  <si>
    <t>IT0012025TRT00032-KRONOSPAN--TORTOSA-2025</t>
  </si>
  <si>
    <t>IT0012025TRT00140</t>
  </si>
  <si>
    <t>TM9124 BOMBAY DYEING FHS &amp; AHS - R2-15-04-2025.</t>
  </si>
  <si>
    <t>BOMBAY DYEING CO. LTD</t>
  </si>
  <si>
    <t>PATALGANGA MAHARASHTRA</t>
  </si>
  <si>
    <t>IT0012025TRT00140-BOMBAY DYEING CO. LTD--PATALGANGA MAHARASHTRA-2025</t>
  </si>
  <si>
    <t>IT0012025TRT00141</t>
  </si>
  <si>
    <t>TM9424-FV- BECIS-AGRATAS, SANAND GUJARAT – FUEL &amp; ASH
HANDLING SYSTEM – R3</t>
  </si>
  <si>
    <t>AGRATAS</t>
  </si>
  <si>
    <t>SANAND GUJARAT</t>
  </si>
  <si>
    <t>IT0012025TRT00141-AGRATAS--SANAND GUJARAT-2025</t>
  </si>
  <si>
    <t>IT0012025TRT00031</t>
  </si>
  <si>
    <t>OC24CS-0004102</t>
  </si>
  <si>
    <t>SWPM-LULI</t>
  </si>
  <si>
    <t>N.6 COCLEE BRANDEGGIANTI Ø800 L=6700</t>
  </si>
  <si>
    <t>IT0012025TRT00031 - SWPM - LULI - 2025</t>
  </si>
  <si>
    <t>IT0012025TRT00148</t>
  </si>
  <si>
    <t>SERUM</t>
  </si>
  <si>
    <t>MANJARI</t>
  </si>
  <si>
    <t>IT0012025TRT00148-SERUM--MANJARI-2025</t>
  </si>
  <si>
    <t>IT0012025TRT00102</t>
  </si>
  <si>
    <t>IT00125COC00097</t>
  </si>
  <si>
    <t>IT0012025TRT00102-FANTONI--OSOPPO-2025</t>
  </si>
  <si>
    <t>IT0012025TRT00136</t>
  </si>
  <si>
    <t>MARTORELL</t>
  </si>
  <si>
    <t>PROGETTO PALLET BLOCK E PALLET</t>
  </si>
  <si>
    <t>IT0012025TRT00136-IMAL--MARTORELL-2025</t>
  </si>
  <si>
    <t>IT0012025TRT00070</t>
  </si>
  <si>
    <t>IT00125COC00099</t>
  </si>
  <si>
    <t>N°2 TK</t>
  </si>
  <si>
    <t>IT0012025TRT00070-EGGER--MARKT BIBART-2025</t>
  </si>
  <si>
    <t>IT0012025TRT00099</t>
  </si>
  <si>
    <t>IT00125COC00098</t>
  </si>
  <si>
    <t>GRIGOLIN</t>
  </si>
  <si>
    <t>N°1 SCREW + TK ELONGATION</t>
  </si>
  <si>
    <t>IT0012025TRT00099-PAL--GRIGOLIN-2025</t>
  </si>
  <si>
    <t>IT0012025TRT00142</t>
  </si>
  <si>
    <t>SCREW BLACK SAWDUST</t>
  </si>
  <si>
    <t>IT0012025TRT00142-FANTONI--OSOPPO-2025</t>
  </si>
  <si>
    <t>IT0012025TRT00030</t>
  </si>
  <si>
    <t>OC24CS-0004108</t>
  </si>
  <si>
    <t>TRUPAN</t>
  </si>
  <si>
    <t>N.3° SWIVEL SCREW CONVEYOR</t>
  </si>
  <si>
    <t>CHILE</t>
  </si>
  <si>
    <t>IT0012025TRT00030-DIEFFENBACHER-ARAUCO-TRUPAN-2025</t>
  </si>
  <si>
    <t>IT0012023TRT00192</t>
  </si>
  <si>
    <t>MERCURIO</t>
  </si>
  <si>
    <t>MOSAICO</t>
  </si>
  <si>
    <t>BURGO TOLMEZZO</t>
  </si>
  <si>
    <t>CARICO CALDAIA</t>
  </si>
  <si>
    <t>IT0012023TRT00192-MERCURIO-MOSAICO-BURGO TOLMEZZO-2025</t>
  </si>
  <si>
    <t>IT0012023TRT00144</t>
  </si>
  <si>
    <t>ENORIS</t>
  </si>
  <si>
    <t>MASSY</t>
  </si>
  <si>
    <t>IT0012023TRT00144-SERA-ENORIS-MASSY-2025</t>
  </si>
  <si>
    <t>IT0012022TRT00358</t>
  </si>
  <si>
    <t>JOUDELIAI</t>
  </si>
  <si>
    <t>IT0012022TRT00358-IMAL--JOUDELIAI-2025</t>
  </si>
  <si>
    <t>DE1001</t>
  </si>
  <si>
    <t>Pittogramma di sicurezza ATEX - 100x100</t>
  </si>
  <si>
    <t>Safety sign ATEX - 100x100</t>
  </si>
  <si>
    <t>Purchased</t>
  </si>
  <si>
    <t>Link 
to PE
folder</t>
  </si>
  <si>
    <t>IT00125COC00109</t>
  </si>
  <si>
    <t>IT00125COC00102</t>
  </si>
  <si>
    <t>IT00125COC00110</t>
  </si>
  <si>
    <t>IT0012025TRT00105</t>
  </si>
  <si>
    <t>IT0012025TRT00105-DELHEZ BOIS SA--DELHEZ BOIS-2025</t>
  </si>
  <si>
    <t>SCHEMES APPROVED</t>
  </si>
  <si>
    <t>OPEN</t>
  </si>
  <si>
    <t>SCHEME TO BE DEVELOPED</t>
  </si>
  <si>
    <t>FV24185 - No offer number</t>
  </si>
  <si>
    <t>IT00125COC00118</t>
  </si>
  <si>
    <t>SCHEME UNDER DEVELOPMENT</t>
  </si>
  <si>
    <t xml:space="preserve">TK MODULE TO BE CONFIRMED </t>
  </si>
  <si>
    <t>IT00125COC00096</t>
  </si>
  <si>
    <t>IT0012024TRT00258</t>
  </si>
  <si>
    <t>IT00125COC00105</t>
  </si>
  <si>
    <t>SCREW FOR UREA</t>
  </si>
  <si>
    <t>IT0012024TRT00258-FANTONI--OSOPPO-2025</t>
  </si>
  <si>
    <t>IT0012025TRT0139</t>
  </si>
  <si>
    <t>IT00125COC00106</t>
  </si>
  <si>
    <t>TKK 800ASH</t>
  </si>
  <si>
    <t>IT0012025TRT0139-FANTONI--OSOPPO-2025</t>
  </si>
  <si>
    <t>ARC00004</t>
  </si>
  <si>
    <t>PROMOVAL</t>
  </si>
  <si>
    <t>REDLER EKF</t>
  </si>
  <si>
    <t>ARC00004-A.R.C.E.M.I. IMPIANTI-PROMOVAL--2025</t>
  </si>
  <si>
    <t>IT0012025TRT00107</t>
  </si>
  <si>
    <t>IT00125COC00080</t>
  </si>
  <si>
    <t>TWI GHANA</t>
  </si>
  <si>
    <t>IT0012025TRT00107-VYNCKE NV--TWI GHANA-2025</t>
  </si>
  <si>
    <t>IT0012025TRT00172</t>
  </si>
  <si>
    <t>ENGIE TUAS PHARMA</t>
  </si>
  <si>
    <t>IT0012025TRT00172-VYNCKE NV--ENGIE TUAS PHARMA-2025</t>
  </si>
  <si>
    <t>ENGLISH</t>
  </si>
  <si>
    <t>GERMAN</t>
  </si>
  <si>
    <t>TURKISH</t>
  </si>
  <si>
    <t>FRENCH</t>
  </si>
  <si>
    <t>PORTUGUESE</t>
  </si>
  <si>
    <t>SPANISH</t>
  </si>
  <si>
    <t>POLISH</t>
  </si>
  <si>
    <t>ITALIAN</t>
  </si>
  <si>
    <t>Project nr. / TRT</t>
  </si>
  <si>
    <t>Colombi</t>
  </si>
  <si>
    <t>IT0012025TRT00049</t>
  </si>
  <si>
    <t>SAVIOLA</t>
  </si>
  <si>
    <t>SUSTINENTE</t>
  </si>
  <si>
    <t>IT0012025TRT00049-PAL-SAVIOLA-SUSTINENTE-2025</t>
  </si>
  <si>
    <t>FHS: 1 CLP 3 TKK19
ASH: 2 TK11 + ATC</t>
  </si>
  <si>
    <t>FHS: mancano distinte TKK19
ASH:
TK11 mancano disegni fatti correttamente</t>
  </si>
  <si>
    <t>IT0012024TRT00313</t>
  </si>
  <si>
    <t>IT0012024TRT00313-VYNCKE NV--BECIS ANSELL-2025</t>
  </si>
  <si>
    <t>FHS: 1 TKK19; 1COC; 1 TN650
ASH: 1 ATC</t>
  </si>
  <si>
    <t>SCHEMES TO BE FINALIZED</t>
  </si>
  <si>
    <t>FHS: 1 TKK19; 1TKK24; 1COC; 2 COC DOS
ASH: 3 ATC; 1 TK??</t>
  </si>
  <si>
    <t>LAYOUT TO BE APPROVED</t>
  </si>
  <si>
    <t>FHS: 1 TN-TM</t>
  </si>
  <si>
    <t>FHS: DWG of TNTM to be developed</t>
  </si>
  <si>
    <t>IT0012025TRT00118</t>
  </si>
  <si>
    <t>IT00125COC00119</t>
  </si>
  <si>
    <t>CONVEYORS FORMING AREA</t>
  </si>
  <si>
    <t>IT0012025TRT00118-DIEFFENBACHER--WEYERHAEUSER LSL-2025</t>
  </si>
  <si>
    <t>IT0012025TRT00036</t>
  </si>
  <si>
    <t>IT0012025TRT00036-METRO-MDF L5-2025</t>
  </si>
  <si>
    <t>IT0012025TRT00022</t>
  </si>
  <si>
    <t>PROVENCE HUILES</t>
  </si>
  <si>
    <t>IT0012025TRT00022-VYNCKE NV-PROVENCE HUILES-2025</t>
  </si>
  <si>
    <t>AHS HANDLING</t>
  </si>
  <si>
    <t>IT0012025TRT00012-VYNCKE NV-PGE-2025</t>
  </si>
  <si>
    <t>IT0012025TRT00048</t>
  </si>
  <si>
    <t>COC CR</t>
  </si>
  <si>
    <t>IT0012025TRT00048-SIEMPELKAMP-METRO-MDF L5-2025</t>
  </si>
  <si>
    <t>IT0012025TRT00021</t>
  </si>
  <si>
    <t>SONAE OLIVEIRA</t>
  </si>
  <si>
    <t>IT0012025TRT00021-VYNCKE NV-SONAE OLIVEIRA-2025</t>
  </si>
  <si>
    <t>IT0012025TRT00019</t>
  </si>
  <si>
    <t>CARGILL</t>
  </si>
  <si>
    <t>IT0012025TRT00019-VYNCKE NV-CARGILL-2025</t>
  </si>
  <si>
    <t>IT0012025TRT00098</t>
  </si>
  <si>
    <t>IT00125COC00123</t>
  </si>
  <si>
    <t>ARKH</t>
  </si>
  <si>
    <t>PACK</t>
  </si>
  <si>
    <t>MDF3</t>
  </si>
  <si>
    <t>CHIPS STORAGE &amp; HANDLING</t>
  </si>
  <si>
    <t>IT0012025TRT00098-ARKH-PACK-MDF3-2025</t>
  </si>
  <si>
    <t>IT0012024TRT00293</t>
  </si>
  <si>
    <t>IT00125COC00125</t>
  </si>
  <si>
    <t>IT0012024TRT00293-ARKH-PACK-MDF2-2025</t>
  </si>
  <si>
    <t>IT0012025TRT00181</t>
  </si>
  <si>
    <t>IT00125COC00132</t>
  </si>
  <si>
    <t>ZBASZYNEK</t>
  </si>
  <si>
    <t>FLY ASH SCREW</t>
  </si>
  <si>
    <t>IT0012025TRT00181-VYNCKE NV-IKEA-ZBASZYNEK-2025</t>
  </si>
  <si>
    <t>IT0012025TRT00184</t>
  </si>
  <si>
    <t>VANACHAI</t>
  </si>
  <si>
    <t>TKK H2O</t>
  </si>
  <si>
    <t>Vincent</t>
  </si>
  <si>
    <t>IT0012025TRT00184-VANACHAI-MDF 2-2025</t>
  </si>
  <si>
    <t>IT0012025TRT00112</t>
  </si>
  <si>
    <t>IT00125COC00120</t>
  </si>
  <si>
    <t>N.1 PNEUMATIC SLIDING GATE</t>
  </si>
  <si>
    <t>ONLY SENSOR LIST</t>
  </si>
  <si>
    <t>IT0012025TRT00112-PAL-NORBORD-WEST FRASER-2025</t>
  </si>
  <si>
    <t>SICURA</t>
  </si>
  <si>
    <t>II -/3 D Ex h IIIC T135°C -/Dc</t>
  </si>
  <si>
    <t>SICURA-135</t>
  </si>
  <si>
    <t>SICURA-200</t>
  </si>
  <si>
    <t>II -/3 D Ex h IIIC T200°C -/Dc</t>
  </si>
  <si>
    <t>I</t>
  </si>
  <si>
    <t>L</t>
  </si>
  <si>
    <t>IT00125COC00122</t>
  </si>
  <si>
    <t>IT00124SQN00346</t>
  </si>
  <si>
    <t>STADWERKE LEMGO</t>
  </si>
  <si>
    <t>IT00124SQN00346-VYNCKE NV-STADWERKE LEMGO-2025</t>
  </si>
  <si>
    <t>IT0012025TRT00190</t>
  </si>
  <si>
    <t>DISTILLERIE D' ARZENS</t>
  </si>
  <si>
    <t>IT0012025TRT00190-VYNCKE NV-DISTILLERIE D' ARZENS-2025</t>
  </si>
  <si>
    <t>IT0012025TRT00190-SOBONO ENERGY-ENGIE TUAS PHARMA-2025</t>
  </si>
  <si>
    <t>ARC00005</t>
  </si>
  <si>
    <t>COLACEM</t>
  </si>
  <si>
    <t>TUNISI</t>
  </si>
  <si>
    <t>Redler KSF</t>
  </si>
  <si>
    <t>TUNISIA</t>
  </si>
  <si>
    <t>ARC00006</t>
  </si>
  <si>
    <t>ELEVATORE A CATENE</t>
  </si>
  <si>
    <t>BE0806C</t>
  </si>
  <si>
    <t>C010270</t>
  </si>
  <si>
    <t>COC</t>
  </si>
  <si>
    <t>CP 700 S</t>
  </si>
  <si>
    <t>TM F01</t>
  </si>
  <si>
    <t>DV46711</t>
  </si>
  <si>
    <t>0</t>
  </si>
  <si>
    <t>Through welded assembly L4000 T8</t>
  </si>
  <si>
    <t>Assieme saldato cassa L4000 sp.8</t>
  </si>
  <si>
    <t>784,980 kg</t>
  </si>
  <si>
    <t>Welded assembly</t>
  </si>
  <si>
    <t>1.1</t>
  </si>
  <si>
    <t>DV46712</t>
  </si>
  <si>
    <t>Through L4000 T8</t>
  </si>
  <si>
    <t>Cassa L4000 Sp8</t>
  </si>
  <si>
    <t>472,096 kg</t>
  </si>
  <si>
    <t>Sheet-metal</t>
  </si>
  <si>
    <t>S235JR</t>
  </si>
  <si>
    <t>1.2</t>
  </si>
  <si>
    <t>DV46818</t>
  </si>
  <si>
    <t>Fixing plate, drive side</t>
  </si>
  <si>
    <t>Lamiera fissaggio comando</t>
  </si>
  <si>
    <t>28,640 kg</t>
  </si>
  <si>
    <t>1.3</t>
  </si>
  <si>
    <t>DV46816</t>
  </si>
  <si>
    <t>Discharge sideplate</t>
  </si>
  <si>
    <t>Fiancata scarico</t>
  </si>
  <si>
    <t>51,716 kg</t>
  </si>
  <si>
    <t>1.4</t>
  </si>
  <si>
    <t>DV46817</t>
  </si>
  <si>
    <t>Discharge closing plate</t>
  </si>
  <si>
    <t>Lamiera chiusura scarico</t>
  </si>
  <si>
    <t>8,462 kg</t>
  </si>
  <si>
    <t>1.5</t>
  </si>
  <si>
    <t>DV46819</t>
  </si>
  <si>
    <t>Fixing plate, driven side</t>
  </si>
  <si>
    <t>Lamiera fissaggio rinvio</t>
  </si>
  <si>
    <t>7,822 kg</t>
  </si>
  <si>
    <t>1.6</t>
  </si>
  <si>
    <t>DV34522-V00</t>
  </si>
  <si>
    <t>Plate for unload flange, side</t>
  </si>
  <si>
    <t>Piatto per flangia scarico, laterale</t>
  </si>
  <si>
    <t>3,686 kg</t>
  </si>
  <si>
    <t>1.7</t>
  </si>
  <si>
    <t>DV34522-V01</t>
  </si>
  <si>
    <t>Plate for unload flange, central</t>
  </si>
  <si>
    <t>Piatto per flangia scarico, centrale</t>
  </si>
  <si>
    <t>3,641 kg</t>
  </si>
  <si>
    <t>1.8</t>
  </si>
  <si>
    <t>DV34536</t>
  </si>
  <si>
    <t>Casing shaft</t>
  </si>
  <si>
    <t>Perno cassa</t>
  </si>
  <si>
    <t>42,607 kg</t>
  </si>
  <si>
    <t>Turned/Machined</t>
  </si>
  <si>
    <t>C40</t>
  </si>
  <si>
    <t>1.9</t>
  </si>
  <si>
    <t>DV46820</t>
  </si>
  <si>
    <t>Rib</t>
  </si>
  <si>
    <t>Rinforzo</t>
  </si>
  <si>
    <t>1,738 kg</t>
  </si>
  <si>
    <t>1.10</t>
  </si>
  <si>
    <t>DV34919-V00</t>
  </si>
  <si>
    <t>Cover fixing plate, for load</t>
  </si>
  <si>
    <t>Fissaggio coperchio, per carico</t>
  </si>
  <si>
    <t>6,933 kg</t>
  </si>
  <si>
    <t>1.11</t>
  </si>
  <si>
    <t>DV34919-V01</t>
  </si>
  <si>
    <t>Cover fixing plate</t>
  </si>
  <si>
    <t>Fissaggio coperchio</t>
  </si>
  <si>
    <t>1.12</t>
  </si>
  <si>
    <t>IV003886-01</t>
  </si>
  <si>
    <t>Bearing base</t>
  </si>
  <si>
    <t>Sostegno Supporto</t>
  </si>
  <si>
    <t>0,495 kg</t>
  </si>
  <si>
    <t>1.13</t>
  </si>
  <si>
    <t>DV35390</t>
  </si>
  <si>
    <t>Lifiting lug T.20 Gap 100x70</t>
  </si>
  <si>
    <t>Orecchio di sollevamento Sp.20 Gap 100x70</t>
  </si>
  <si>
    <t>2,929 kg</t>
  </si>
  <si>
    <t>1.14</t>
  </si>
  <si>
    <t>DV46715-V00</t>
  </si>
  <si>
    <t>Sideplate RH</t>
  </si>
  <si>
    <t>Longherone DX</t>
  </si>
  <si>
    <t>30,493 kg</t>
  </si>
  <si>
    <t>1.15</t>
  </si>
  <si>
    <t>DV46715-V01</t>
  </si>
  <si>
    <t>Sideplate LH</t>
  </si>
  <si>
    <t>Longherone SX</t>
  </si>
  <si>
    <t>DV46750</t>
  </si>
  <si>
    <t>Screw shaft w. assembly L3770</t>
  </si>
  <si>
    <t>Assieme saldato albero coclea L3770</t>
  </si>
  <si>
    <t>550,655 kg</t>
  </si>
  <si>
    <t>2.1</t>
  </si>
  <si>
    <t>DV46753</t>
  </si>
  <si>
    <t>Tube OD219x14,2 L=3770mm</t>
  </si>
  <si>
    <t>270,018 kg</t>
  </si>
  <si>
    <t>Pipe/profile</t>
  </si>
  <si>
    <t>S355JR</t>
  </si>
  <si>
    <t>2.2</t>
  </si>
  <si>
    <t>DV46754</t>
  </si>
  <si>
    <t>T steel</t>
  </si>
  <si>
    <t>Travi a T laminate a caldo</t>
  </si>
  <si>
    <t>1,480 kg</t>
  </si>
  <si>
    <t>2.3</t>
  </si>
  <si>
    <t>DV46752</t>
  </si>
  <si>
    <t>27,253 kg</t>
  </si>
  <si>
    <t>Spiral</t>
  </si>
  <si>
    <t>2.4</t>
  </si>
  <si>
    <t>DV46815</t>
  </si>
  <si>
    <t>16,352 kg</t>
  </si>
  <si>
    <t>2.5</t>
  </si>
  <si>
    <t>SP582</t>
  </si>
  <si>
    <t>Shaft end SP582 for support SNL520TG</t>
  </si>
  <si>
    <t>Spinotto SP582 per supporto SNL520TG</t>
  </si>
  <si>
    <t>74,677 kg</t>
  </si>
  <si>
    <t>2.6</t>
  </si>
  <si>
    <t>DV46751</t>
  </si>
  <si>
    <t>Shaft end C009199-A for support TM140PCLC+FH127</t>
  </si>
  <si>
    <t>Spinotto C009199-A per supportoTM140PCLC+FH127</t>
  </si>
  <si>
    <t>77,249 kg</t>
  </si>
  <si>
    <t>DV46774</t>
  </si>
  <si>
    <t>Inlet joint assembly 1000x800</t>
  </si>
  <si>
    <t>Assieme giunto di ingresso 1000x800</t>
  </si>
  <si>
    <t>101,43 kg</t>
  </si>
  <si>
    <t>Assembly</t>
  </si>
  <si>
    <t>3.1</t>
  </si>
  <si>
    <t>DV46780</t>
  </si>
  <si>
    <t>Chute welded assembly</t>
  </si>
  <si>
    <t>Saldato tramoggia</t>
  </si>
  <si>
    <t>47,89 kg</t>
  </si>
  <si>
    <t>3.1.1</t>
  </si>
  <si>
    <t>DV46779</t>
  </si>
  <si>
    <t>Joint chute flange</t>
  </si>
  <si>
    <t>Flangia tramoggia giunto</t>
  </si>
  <si>
    <t>14,33 kg</t>
  </si>
  <si>
    <t>3.1.2</t>
  </si>
  <si>
    <t>DV46778</t>
  </si>
  <si>
    <t>Joint chute half</t>
  </si>
  <si>
    <t>Parte tramoggia giunto</t>
  </si>
  <si>
    <t>7,25 kg</t>
  </si>
  <si>
    <t>Hardox 400</t>
  </si>
  <si>
    <t>3.1.3</t>
  </si>
  <si>
    <t>DV46777</t>
  </si>
  <si>
    <t>9,16 kg</t>
  </si>
  <si>
    <t>3.2</t>
  </si>
  <si>
    <t>DV46776</t>
  </si>
  <si>
    <t>Textile flexible joint</t>
  </si>
  <si>
    <t>Giunto tessile</t>
  </si>
  <si>
    <t>12,93 kg</t>
  </si>
  <si>
    <t>Textile yarn</t>
  </si>
  <si>
    <t>3.3</t>
  </si>
  <si>
    <t>DV46775</t>
  </si>
  <si>
    <t>Joint counterflange</t>
  </si>
  <si>
    <t>Controflangia giunto</t>
  </si>
  <si>
    <t>10,88 kg</t>
  </si>
  <si>
    <t>3.4</t>
  </si>
  <si>
    <t>DV46783</t>
  </si>
  <si>
    <t>Inlet flange</t>
  </si>
  <si>
    <t>Flangia di carico</t>
  </si>
  <si>
    <t>16,665 kg</t>
  </si>
  <si>
    <t>3.4.1</t>
  </si>
  <si>
    <t>DV46782</t>
  </si>
  <si>
    <t>Flange plate</t>
  </si>
  <si>
    <t>Lamiera per flangia</t>
  </si>
  <si>
    <t>3,935 kg</t>
  </si>
  <si>
    <t>3.4.2</t>
  </si>
  <si>
    <t>DV46781</t>
  </si>
  <si>
    <t>4,369 kg</t>
  </si>
  <si>
    <t>3.5</t>
  </si>
  <si>
    <t>0,006 kg</t>
  </si>
  <si>
    <t>Fasteners</t>
  </si>
  <si>
    <t>Zinc 8.8</t>
  </si>
  <si>
    <t>3.6</t>
  </si>
  <si>
    <t>D985-M12x1.75-Z8</t>
  </si>
  <si>
    <t>Self locking nut M12x1,75 Zinc 8.8 DIN 985</t>
  </si>
  <si>
    <t>Dado ATB M12x1,75 Zinc 8.8 DIN 985</t>
  </si>
  <si>
    <t>0,019 kg</t>
  </si>
  <si>
    <t>3.7</t>
  </si>
  <si>
    <t>D933-M12x50-Z8</t>
  </si>
  <si>
    <t>Screw HH M12x50 white zinc 8.8 DIN 933</t>
  </si>
  <si>
    <t>Vite TE M12x50 Zinc 8.8 DIN 933</t>
  </si>
  <si>
    <t>0,062 kg</t>
  </si>
  <si>
    <t>DV46784</t>
  </si>
  <si>
    <t>Outlet joint assembly 800x800</t>
  </si>
  <si>
    <t>Assieme giunto di scarico 80x800</t>
  </si>
  <si>
    <t>90,41 kg</t>
  </si>
  <si>
    <t>4.1</t>
  </si>
  <si>
    <t>DV46791</t>
  </si>
  <si>
    <t>42,47 kg</t>
  </si>
  <si>
    <t>4.1.1</t>
  </si>
  <si>
    <t>DV46788</t>
  </si>
  <si>
    <t>12,82 kg</t>
  </si>
  <si>
    <t>4.1.2</t>
  </si>
  <si>
    <t>DV46790</t>
  </si>
  <si>
    <t>4.1.3</t>
  </si>
  <si>
    <t>DV46789</t>
  </si>
  <si>
    <t>4.2</t>
  </si>
  <si>
    <t>DV46793</t>
  </si>
  <si>
    <t>11,16 kg</t>
  </si>
  <si>
    <t>4.3</t>
  </si>
  <si>
    <t>DV46792</t>
  </si>
  <si>
    <t>9,75 kg</t>
  </si>
  <si>
    <t>4.4</t>
  </si>
  <si>
    <t>DV46785</t>
  </si>
  <si>
    <t>Outlet flange</t>
  </si>
  <si>
    <t>Flangia di scarico</t>
  </si>
  <si>
    <t>14,910 kg</t>
  </si>
  <si>
    <t>4.4.1</t>
  </si>
  <si>
    <t>DV46786</t>
  </si>
  <si>
    <t>4.4.2</t>
  </si>
  <si>
    <t>DV46787</t>
  </si>
  <si>
    <t>3,491 kg</t>
  </si>
  <si>
    <t>4.5</t>
  </si>
  <si>
    <t>4.6</t>
  </si>
  <si>
    <t>4.7</t>
  </si>
  <si>
    <t>D933-M12x55-Z8</t>
  </si>
  <si>
    <t>Screw HH M12x55 white zinc 8.8 DIN 933</t>
  </si>
  <si>
    <t>Vite TE M12x55 Zinc 8.8 DIN 933</t>
  </si>
  <si>
    <t>0,066 kg</t>
  </si>
  <si>
    <t>4.8</t>
  </si>
  <si>
    <t>D933-M12x40-Z8</t>
  </si>
  <si>
    <t>Screw HH M12x40 white zinc 8.8 DIN 933</t>
  </si>
  <si>
    <t>Vite TE M12x40 Zinc 8.8 DIN 933</t>
  </si>
  <si>
    <t>0,053 kg</t>
  </si>
  <si>
    <t>4.9</t>
  </si>
  <si>
    <t>I7093-12x37-Z8</t>
  </si>
  <si>
    <t>Washer M12 Zinc 8.8 ISO 7093</t>
  </si>
  <si>
    <t>Rondella M12 Zinc 8.8 ISO 7093</t>
  </si>
  <si>
    <t>0,022 kg</t>
  </si>
  <si>
    <t>5</t>
  </si>
  <si>
    <t>C003577</t>
  </si>
  <si>
    <t>Support TM100CLC</t>
  </si>
  <si>
    <t>Supporto TM100CLC</t>
  </si>
  <si>
    <t>42,727 kg</t>
  </si>
  <si>
    <t>5.1</t>
  </si>
  <si>
    <t>C003577-A</t>
  </si>
  <si>
    <t>Body support TM100CLC</t>
  </si>
  <si>
    <t>Corpo supporto TM100CLC</t>
  </si>
  <si>
    <t>27,720 kg</t>
  </si>
  <si>
    <t>5.2</t>
  </si>
  <si>
    <t>C003577-B</t>
  </si>
  <si>
    <t>Support cap TM100CLC</t>
  </si>
  <si>
    <t>Cappellotto supporto TM100CLC</t>
  </si>
  <si>
    <t>4,990 kg</t>
  </si>
  <si>
    <t>5.3</t>
  </si>
  <si>
    <t>C003577-C</t>
  </si>
  <si>
    <t>Support spacer TM100CLC</t>
  </si>
  <si>
    <t>Distanziale supporto TM100CLC</t>
  </si>
  <si>
    <t>0,730 kg</t>
  </si>
  <si>
    <t>5.4</t>
  </si>
  <si>
    <t>BU1047</t>
  </si>
  <si>
    <t>Greaser UNI7663-B G1/8</t>
  </si>
  <si>
    <t>Ingrassatore UNI7663-B G1/8</t>
  </si>
  <si>
    <t>0,000 kg</t>
  </si>
  <si>
    <t>Custom fasteners</t>
  </si>
  <si>
    <t>Acciaio</t>
  </si>
  <si>
    <t>5.5</t>
  </si>
  <si>
    <t>D933-M18x60-Z8</t>
  </si>
  <si>
    <t>Screw HH M18x60 white zinc 8.8 DIN 933</t>
  </si>
  <si>
    <t>Vite TE M18x60 Zinc 8.8 DIN 933</t>
  </si>
  <si>
    <t>0,173 kg</t>
  </si>
  <si>
    <t>5.6</t>
  </si>
  <si>
    <t>D127A-18x29.4-Z8</t>
  </si>
  <si>
    <t>Split washer A 18 Zinc 8.8 DIN 127A</t>
  </si>
  <si>
    <t>Rondella elastica spaccata A 18 Zinc 8.8 DIN 127A</t>
  </si>
  <si>
    <t>0,011 kg</t>
  </si>
  <si>
    <t>5.7</t>
  </si>
  <si>
    <t>D933-M10x40-Z8</t>
  </si>
  <si>
    <t>Screw HH M10x40 white zinc 8.8 DIN 933</t>
  </si>
  <si>
    <t>Vite TE M10x40 Zinc 8.8 DIN 933</t>
  </si>
  <si>
    <t>0,036 kg</t>
  </si>
  <si>
    <t>5.8</t>
  </si>
  <si>
    <t>D127A-10x18.1-Z8</t>
  </si>
  <si>
    <t>Split washer A 10 Zinc 8.8 DIN 127A</t>
  </si>
  <si>
    <t>Rondella elastica spaccata A 10 Zinc 8.8 DIN 127A</t>
  </si>
  <si>
    <t>0,003 kg</t>
  </si>
  <si>
    <t>5.9</t>
  </si>
  <si>
    <t>GU1040</t>
  </si>
  <si>
    <t>Sealing 120X150X12 DIN3760-A</t>
  </si>
  <si>
    <t>Tenuta 120X150X12 DIN3760-A</t>
  </si>
  <si>
    <t>0,049 kg</t>
  </si>
  <si>
    <t>Yes</t>
  </si>
  <si>
    <t>Rubber</t>
  </si>
  <si>
    <t>5.10</t>
  </si>
  <si>
    <t>GU0018</t>
  </si>
  <si>
    <t>Sealing 100X130X12 DIN3760-A</t>
  </si>
  <si>
    <t>Tenuta 100X130X12 DIN3760-A</t>
  </si>
  <si>
    <t>0,037 kg</t>
  </si>
  <si>
    <t>Generico</t>
  </si>
  <si>
    <t>5.11</t>
  </si>
  <si>
    <t>CU0024</t>
  </si>
  <si>
    <t>Spherical roller bearing 22220 E 100x180x46</t>
  </si>
  <si>
    <t>Cuscinetto radiale 22220 E 100x180x46</t>
  </si>
  <si>
    <t>4,950 kg</t>
  </si>
  <si>
    <t>5.12</t>
  </si>
  <si>
    <t>CU0025</t>
  </si>
  <si>
    <t>Thrust ball bearing, single direction 53220 100x150x40.9</t>
  </si>
  <si>
    <t>Cuscinetto assiale a sfere, a semplice effetto SKF 53220 100x150x40.9</t>
  </si>
  <si>
    <t>2,700 kg</t>
  </si>
  <si>
    <t>5.13</t>
  </si>
  <si>
    <t>CU0026</t>
  </si>
  <si>
    <t>Ring U220 for axial bearing 125x155x14</t>
  </si>
  <si>
    <t>Ralla U220 per cuscinetto assiale 125x155x14</t>
  </si>
  <si>
    <t>0,210 kg</t>
  </si>
  <si>
    <t>C003795-90</t>
  </si>
  <si>
    <t>Grease seal "type 13-90"</t>
  </si>
  <si>
    <t>Tenuta a grasso "tipo 13-90"</t>
  </si>
  <si>
    <t>7,656 kg</t>
  </si>
  <si>
    <t>6.1</t>
  </si>
  <si>
    <t>C003795-A</t>
  </si>
  <si>
    <t>Seal body "type 13"</t>
  </si>
  <si>
    <t>Corpo tenuta "tipo 13"</t>
  </si>
  <si>
    <t>5,138 kg</t>
  </si>
  <si>
    <t>6.2</t>
  </si>
  <si>
    <t>C003795-B</t>
  </si>
  <si>
    <t>Seal cap "type 13"</t>
  </si>
  <si>
    <t>Coperchio tenuta "tipo 13"</t>
  </si>
  <si>
    <t>2,355 kg</t>
  </si>
  <si>
    <t>6.3</t>
  </si>
  <si>
    <t>6.4</t>
  </si>
  <si>
    <t>I4762-M8x35-Z8</t>
  </si>
  <si>
    <t>HSHC screw M8 x 35 Zinc 8.8 ISO 4762</t>
  </si>
  <si>
    <t>Vite TCEI M8 x 35 Zinc 8.8 ISO 4762</t>
  </si>
  <si>
    <t>0,021 kg</t>
  </si>
  <si>
    <t>6.5</t>
  </si>
  <si>
    <t>D933-M8x30-Z8</t>
  </si>
  <si>
    <t>Screw HH M8x30 white zinc 8.8 DIN 933</t>
  </si>
  <si>
    <t>Vite TE M8x30 Zinc 8.8 DIN 933</t>
  </si>
  <si>
    <t>0,017 kg</t>
  </si>
  <si>
    <t>6.6</t>
  </si>
  <si>
    <t>D127A-8x14.8-Z8</t>
  </si>
  <si>
    <t>Split washer A 8 Zinc 8.8 DIN 127A</t>
  </si>
  <si>
    <t>Rondella elastica spaccata A 8 Zinc 8.8 DIN 127A</t>
  </si>
  <si>
    <t>0,002 kg</t>
  </si>
  <si>
    <t>6.7</t>
  </si>
  <si>
    <t>GU0007</t>
  </si>
  <si>
    <t>Sealing 90X130X12 DIN3760-A</t>
  </si>
  <si>
    <t>Tenuta 90X130X12 DIN3760-A</t>
  </si>
  <si>
    <t>0,023 kg</t>
  </si>
  <si>
    <t>Gomma</t>
  </si>
  <si>
    <t>7</t>
  </si>
  <si>
    <t>DV43548</t>
  </si>
  <si>
    <t>Bearing support plate</t>
  </si>
  <si>
    <t>1,842 kg</t>
  </si>
  <si>
    <t>DV46716</t>
  </si>
  <si>
    <t>Driven flange welded assembly</t>
  </si>
  <si>
    <t>Assieme saldato testata rinvio</t>
  </si>
  <si>
    <t>145,566 kg</t>
  </si>
  <si>
    <t>8.1</t>
  </si>
  <si>
    <t>DV34381-V01</t>
  </si>
  <si>
    <t>Driven side flange</t>
  </si>
  <si>
    <t>Flangia rinvio</t>
  </si>
  <si>
    <t>92,611 kg</t>
  </si>
  <si>
    <t>8.2</t>
  </si>
  <si>
    <t>DV33985</t>
  </si>
  <si>
    <t>Lifting lug</t>
  </si>
  <si>
    <t>1,956 kg</t>
  </si>
  <si>
    <t>8.3</t>
  </si>
  <si>
    <t>DV34510-V00</t>
  </si>
  <si>
    <t>Fixing plate</t>
  </si>
  <si>
    <t>Piatto fissaggio</t>
  </si>
  <si>
    <t>3,772 kg</t>
  </si>
  <si>
    <t>8.4</t>
  </si>
  <si>
    <t>DV46717</t>
  </si>
  <si>
    <t>7,574 kg</t>
  </si>
  <si>
    <t>8.5</t>
  </si>
  <si>
    <t>DV34510-V02</t>
  </si>
  <si>
    <t>8.6</t>
  </si>
  <si>
    <t>DV46719</t>
  </si>
  <si>
    <t>Inner rib</t>
  </si>
  <si>
    <t>Rinforzo interno</t>
  </si>
  <si>
    <t>4,371 kg</t>
  </si>
  <si>
    <t>8.7</t>
  </si>
  <si>
    <t>DV34541</t>
  </si>
  <si>
    <t>Bushing for arm fixing</t>
  </si>
  <si>
    <t>Boccola fissaggio braccetto</t>
  </si>
  <si>
    <t>1,171 kg</t>
  </si>
  <si>
    <t>8.8</t>
  </si>
  <si>
    <t>DV46718</t>
  </si>
  <si>
    <t>Plate for support fixing</t>
  </si>
  <si>
    <t>Piatto fissaggio supporto</t>
  </si>
  <si>
    <t>8,168 kg</t>
  </si>
  <si>
    <t>8.9</t>
  </si>
  <si>
    <t>DV36335</t>
  </si>
  <si>
    <t>Pin for calibration weights</t>
  </si>
  <si>
    <t>Perno per pesi calibratura</t>
  </si>
  <si>
    <t>3,345 kg</t>
  </si>
  <si>
    <t>8.10</t>
  </si>
  <si>
    <t>DV36340</t>
  </si>
  <si>
    <t>0,993 kg</t>
  </si>
  <si>
    <t>8.11</t>
  </si>
  <si>
    <t>DV38269</t>
  </si>
  <si>
    <t>Stop plate</t>
  </si>
  <si>
    <t>Piatto battuta</t>
  </si>
  <si>
    <t>0,471 kg</t>
  </si>
  <si>
    <t>DV46758</t>
  </si>
  <si>
    <t>Drive flange welded assembly</t>
  </si>
  <si>
    <t>Assieme saldato testata comando</t>
  </si>
  <si>
    <t>106,494 kg</t>
  </si>
  <si>
    <t>9.1</t>
  </si>
  <si>
    <t>DV46759</t>
  </si>
  <si>
    <t>Drive side flange</t>
  </si>
  <si>
    <t>Flangia comando</t>
  </si>
  <si>
    <t>94,456 kg</t>
  </si>
  <si>
    <t>9.2</t>
  </si>
  <si>
    <t>D934-M18x2.5-N8</t>
  </si>
  <si>
    <t>Hex nut M18 Uncoated 8.8 DIN 934</t>
  </si>
  <si>
    <t>Dado medio M18 Nero 8.8 DIN 934</t>
  </si>
  <si>
    <t>0,051 kg</t>
  </si>
  <si>
    <t>Nero 8.8</t>
  </si>
  <si>
    <t>9.3</t>
  </si>
  <si>
    <t>9.8</t>
  </si>
  <si>
    <t>9.9</t>
  </si>
  <si>
    <t>DV46760</t>
  </si>
  <si>
    <t>Metal plate torque arm FH87</t>
  </si>
  <si>
    <t>Lamiera braccio reazione FH87</t>
  </si>
  <si>
    <t>3,655 kg</t>
  </si>
  <si>
    <t>DV46713</t>
  </si>
  <si>
    <t>Frame for weighing L4500</t>
  </si>
  <si>
    <t>Telaio per pesatura L4500</t>
  </si>
  <si>
    <t>335,262 kg</t>
  </si>
  <si>
    <t>10.1</t>
  </si>
  <si>
    <t>DV46814</t>
  </si>
  <si>
    <t>Square profile 100x6 L7500</t>
  </si>
  <si>
    <t>Tubo quadro 100x6 L7500</t>
  </si>
  <si>
    <t>74,720 kg</t>
  </si>
  <si>
    <t>10.2</t>
  </si>
  <si>
    <t>DV34544</t>
  </si>
  <si>
    <t>Square profile 100x6 L1500</t>
  </si>
  <si>
    <t>Tubo quadro 100x6 L1500</t>
  </si>
  <si>
    <t>23,775 kg</t>
  </si>
  <si>
    <t>10.3</t>
  </si>
  <si>
    <t>DV34546</t>
  </si>
  <si>
    <t>Square profile 100x6 L1300</t>
  </si>
  <si>
    <t>Tubo quadro 100x6 L1300</t>
  </si>
  <si>
    <t>22,076 kg</t>
  </si>
  <si>
    <t>10.4</t>
  </si>
  <si>
    <t>DV34548</t>
  </si>
  <si>
    <t>Plate for bearing supp. fixing</t>
  </si>
  <si>
    <t>Piastra fissaggio supp. cuscinetto</t>
  </si>
  <si>
    <t>17,867 kg</t>
  </si>
  <si>
    <t>10.5</t>
  </si>
  <si>
    <t>DV34558</t>
  </si>
  <si>
    <t>Bracket</t>
  </si>
  <si>
    <t>Mensola</t>
  </si>
  <si>
    <t>5,202 kg</t>
  </si>
  <si>
    <t>10.6</t>
  </si>
  <si>
    <t>DV36292</t>
  </si>
  <si>
    <t>Stop plate L80</t>
  </si>
  <si>
    <t>Piatto di battuta L80</t>
  </si>
  <si>
    <t>0,063 kg</t>
  </si>
  <si>
    <t>10.7</t>
  </si>
  <si>
    <t>DV36710</t>
  </si>
  <si>
    <t>Plate for load cell fixing</t>
  </si>
  <si>
    <t>Piatto fissaggio cella carico</t>
  </si>
  <si>
    <t>3,712 kg</t>
  </si>
  <si>
    <t>10.8</t>
  </si>
  <si>
    <t>D976-1-B-M30x160x3.5-Z8</t>
  </si>
  <si>
    <t>Threaded bar M30x160x3,5 Zinc 8.8 DIN 976-1</t>
  </si>
  <si>
    <t>Barra fil. M30x160x3,5 Zinc 8.8 DIN 976-1</t>
  </si>
  <si>
    <t>0,884 kg</t>
  </si>
  <si>
    <t>DV46772</t>
  </si>
  <si>
    <t>Weighing arm</t>
  </si>
  <si>
    <t>Braccetto di pesatura</t>
  </si>
  <si>
    <t>13,201 kg</t>
  </si>
  <si>
    <t>11.1</t>
  </si>
  <si>
    <t>DV46773</t>
  </si>
  <si>
    <t>Square profile 100x6 shaped</t>
  </si>
  <si>
    <t>Tubo quadro 100x6 sagomato</t>
  </si>
  <si>
    <t>6,205 kg</t>
  </si>
  <si>
    <t>11.2</t>
  </si>
  <si>
    <t>DV34553</t>
  </si>
  <si>
    <t>Eyelet</t>
  </si>
  <si>
    <t>Occhiello</t>
  </si>
  <si>
    <t>1,725 kg</t>
  </si>
  <si>
    <t>11.3</t>
  </si>
  <si>
    <t>DV36707</t>
  </si>
  <si>
    <t>Base plate</t>
  </si>
  <si>
    <t>Piastra base</t>
  </si>
  <si>
    <t>3,199 kg</t>
  </si>
  <si>
    <t>11.4</t>
  </si>
  <si>
    <t>D934-M20x2.5-N8</t>
  </si>
  <si>
    <t>Hex nut M20 Uncoated 8.8 DIN 934</t>
  </si>
  <si>
    <t>Dado medio M20 Nero 8.8 DIN 934</t>
  </si>
  <si>
    <t>0,067 kg</t>
  </si>
  <si>
    <t>12</t>
  </si>
  <si>
    <t>DV34556</t>
  </si>
  <si>
    <t>Pin for fork fitting</t>
  </si>
  <si>
    <t>Perno fissaggio forcella</t>
  </si>
  <si>
    <t>1,193 kg</t>
  </si>
  <si>
    <t>13</t>
  </si>
  <si>
    <t>DV34913-V00</t>
  </si>
  <si>
    <t>Cover</t>
  </si>
  <si>
    <t>Coperchio</t>
  </si>
  <si>
    <t>24,551 kg</t>
  </si>
  <si>
    <t>14</t>
  </si>
  <si>
    <t>DV34942</t>
  </si>
  <si>
    <t>Safety guard kit load cell</t>
  </si>
  <si>
    <t>Kit carter cella carico</t>
  </si>
  <si>
    <t>7,287 kg</t>
  </si>
  <si>
    <t>14.1</t>
  </si>
  <si>
    <t>DV34941</t>
  </si>
  <si>
    <t>Load cell safety guard</t>
  </si>
  <si>
    <t>Carter cella di carico</t>
  </si>
  <si>
    <t>7,196 kg</t>
  </si>
  <si>
    <t>14.2</t>
  </si>
  <si>
    <t>14.3</t>
  </si>
  <si>
    <t>D127A-12x21.1-Z8</t>
  </si>
  <si>
    <t>Split washer Zinc 8.8 DIN 127A</t>
  </si>
  <si>
    <t>Rondella elastica spaccata Zinc 8.8 DIN 127A</t>
  </si>
  <si>
    <t>0,004 kg</t>
  </si>
  <si>
    <t>14.4</t>
  </si>
  <si>
    <t>D933-M12x20-Z8</t>
  </si>
  <si>
    <t>Screw HH M12x20 white zinc 8.8 DIN 933</t>
  </si>
  <si>
    <t>Vite TE M12x20 Zinc 8.8 DIN 933</t>
  </si>
  <si>
    <t>0,035 kg</t>
  </si>
  <si>
    <t>15</t>
  </si>
  <si>
    <t>DV46824</t>
  </si>
  <si>
    <t>Encoder kit LIKA</t>
  </si>
  <si>
    <t>Kit encoder LIKA</t>
  </si>
  <si>
    <t>2,423 kg</t>
  </si>
  <si>
    <t>15.1</t>
  </si>
  <si>
    <t>DV46823</t>
  </si>
  <si>
    <t>Encoder fixing bracket welded assembly</t>
  </si>
  <si>
    <t>Assieme saldato staffa encoder</t>
  </si>
  <si>
    <t>0,957 kg</t>
  </si>
  <si>
    <t>15.1.1</t>
  </si>
  <si>
    <t>DV46821</t>
  </si>
  <si>
    <t>Bracket for encoder LIKA</t>
  </si>
  <si>
    <t>Staffa per encoder LIKA</t>
  </si>
  <si>
    <t>0,665 kg</t>
  </si>
  <si>
    <t>15.1.2</t>
  </si>
  <si>
    <t>DV46822</t>
  </si>
  <si>
    <t>Plate for encoder fixing</t>
  </si>
  <si>
    <t>Lamiera fissaggio encoder</t>
  </si>
  <si>
    <t>0,139 kg</t>
  </si>
  <si>
    <t>15.1.3</t>
  </si>
  <si>
    <t>D934-M8x1.25-N8</t>
  </si>
  <si>
    <t>Hex nut M8 Uncoated 8.8 DIN 934</t>
  </si>
  <si>
    <t>Dado medio M8 Nero 8.8 DIN 934</t>
  </si>
  <si>
    <t>0,005 kg</t>
  </si>
  <si>
    <t>15.2</t>
  </si>
  <si>
    <t>I7089-8x16-Z8</t>
  </si>
  <si>
    <t>Washer M8 Zinc 8.8 ISO 7089</t>
  </si>
  <si>
    <t>Rondella M8 Zinc 8.8 ISO 7089</t>
  </si>
  <si>
    <t>15.3</t>
  </si>
  <si>
    <t>15.4</t>
  </si>
  <si>
    <t>D933-M8x16-Z8</t>
  </si>
  <si>
    <t>Screw HH M8x16 white zinc 8.8 DIN 933</t>
  </si>
  <si>
    <t>Vite TE M8x16 Zinc 8.8 DIN 933</t>
  </si>
  <si>
    <t>0,012 kg</t>
  </si>
  <si>
    <t>15.5</t>
  </si>
  <si>
    <t>DV35092</t>
  </si>
  <si>
    <t>Cover for encoder EK8R/EV8R</t>
  </si>
  <si>
    <t>Copertura encoder EK8R/EV8R</t>
  </si>
  <si>
    <t>1,343 kg</t>
  </si>
  <si>
    <t>15.7</t>
  </si>
  <si>
    <t>D127A-4x7.6-Z8</t>
  </si>
  <si>
    <t>Split washer A 4 Zinc 8.8 DIN 127A</t>
  </si>
  <si>
    <t>Rondella elastica spaccata A 4 Zinc 8.8 DIN 127A</t>
  </si>
  <si>
    <t>15.8</t>
  </si>
  <si>
    <t>I4762-M4x10-Z8</t>
  </si>
  <si>
    <t>HSHC screw M4 x 10 Zinc 8.8 ISO 4762</t>
  </si>
  <si>
    <t>Vite TCEI M4 x 10 Zinc 8.8 ISO 4762</t>
  </si>
  <si>
    <t>15.9</t>
  </si>
  <si>
    <t>DV46618</t>
  </si>
  <si>
    <t>Encoder pin Ø10-M10 - FH97</t>
  </si>
  <si>
    <t>Perno encoder Ø10-M10 - FH97</t>
  </si>
  <si>
    <t>0,054 kg</t>
  </si>
  <si>
    <t>16</t>
  </si>
  <si>
    <t>DV000123-LH</t>
  </si>
  <si>
    <t>Sensor fixing - Lh</t>
  </si>
  <si>
    <t>Porta Sensore -Sx</t>
  </si>
  <si>
    <t>0,231 kg</t>
  </si>
  <si>
    <t>AISI304</t>
  </si>
  <si>
    <t>17</t>
  </si>
  <si>
    <t>DV10902</t>
  </si>
  <si>
    <t>Sensor reading paddle 30x145</t>
  </si>
  <si>
    <t>Paletta lettura sensore 30x145</t>
  </si>
  <si>
    <t>0,265 kg</t>
  </si>
  <si>
    <t>17.1</t>
  </si>
  <si>
    <t>ISO 8752 - 5 x 30 - A(1)</t>
  </si>
  <si>
    <t>Spina elastica</t>
  </si>
  <si>
    <t>Acciaio inox, Austenitico</t>
  </si>
  <si>
    <t>17.2</t>
  </si>
  <si>
    <t>DV10913</t>
  </si>
  <si>
    <t>BUSH Ø30-Ø20-Ø5 Lg30</t>
  </si>
  <si>
    <t>BOCCOLA Ø30-Ø20-Ø5 Lg30</t>
  </si>
  <si>
    <t>0,091 kg</t>
  </si>
  <si>
    <t>17.3</t>
  </si>
  <si>
    <t>DV10914</t>
  </si>
  <si>
    <t>Sensor reading paddle 145x30</t>
  </si>
  <si>
    <t>Paletta lettura sensore 145x30</t>
  </si>
  <si>
    <t>0,169 kg</t>
  </si>
  <si>
    <t>Fe360B</t>
  </si>
  <si>
    <t>18</t>
  </si>
  <si>
    <t>DV34939</t>
  </si>
  <si>
    <t>Round bar Ø20 L955</t>
  </si>
  <si>
    <t>Trafilato Ø20 L955</t>
  </si>
  <si>
    <t>19</t>
  </si>
  <si>
    <t>DV34189</t>
  </si>
  <si>
    <t>Overflow paddle 800x50</t>
  </si>
  <si>
    <t>Paletta antintasamento 800x50</t>
  </si>
  <si>
    <t>3,210 kg</t>
  </si>
  <si>
    <t>19.1</t>
  </si>
  <si>
    <t>DV34190</t>
  </si>
  <si>
    <t>Paletta overflow 800x50</t>
  </si>
  <si>
    <t>3,111 kg</t>
  </si>
  <si>
    <t>19.2</t>
  </si>
  <si>
    <t>IV003886-04</t>
  </si>
  <si>
    <t>Collar</t>
  </si>
  <si>
    <t>Bussola</t>
  </si>
  <si>
    <t>0,092 kg</t>
  </si>
  <si>
    <t>19.3</t>
  </si>
  <si>
    <t>I8752-5x30A-N</t>
  </si>
  <si>
    <t>Spring straight pin 5x30-A N ISO 8752</t>
  </si>
  <si>
    <t>Spina elastica 5x30-A N ISO 8752</t>
  </si>
  <si>
    <t>N</t>
  </si>
  <si>
    <t>20</t>
  </si>
  <si>
    <t>DV38997</t>
  </si>
  <si>
    <t>FH87 fixing washer</t>
  </si>
  <si>
    <t>Rondella fissaggio FH87</t>
  </si>
  <si>
    <t>0,19 kg</t>
  </si>
  <si>
    <t>21</t>
  </si>
  <si>
    <t>DV36683</t>
  </si>
  <si>
    <t>Kit for transport, weighing system 35909</t>
  </si>
  <si>
    <t>Kit trasporto per cella di carico 35909</t>
  </si>
  <si>
    <t>15,016 kg</t>
  </si>
  <si>
    <t>21.1</t>
  </si>
  <si>
    <t>DV36684</t>
  </si>
  <si>
    <t>Block for transport 35909</t>
  </si>
  <si>
    <t>Blocco per trasporto 35909</t>
  </si>
  <si>
    <t>14,538 kg</t>
  </si>
  <si>
    <t>21.2</t>
  </si>
  <si>
    <t>21.3</t>
  </si>
  <si>
    <t>21.4</t>
  </si>
  <si>
    <t>21.5</t>
  </si>
  <si>
    <t>DV36784</t>
  </si>
  <si>
    <t>Plate for arm fixing</t>
  </si>
  <si>
    <t>Piattello fissaggio braccetto</t>
  </si>
  <si>
    <t>0,048 kg</t>
  </si>
  <si>
    <t>DV36680</t>
  </si>
  <si>
    <t>Load cell kit 1.5t</t>
  </si>
  <si>
    <t>Kit cella di carico 1.5t</t>
  </si>
  <si>
    <t>6,586 kg</t>
  </si>
  <si>
    <t>22.1</t>
  </si>
  <si>
    <t>22.2</t>
  </si>
  <si>
    <t>22.3</t>
  </si>
  <si>
    <t>D982-12x16.63-Z8</t>
  </si>
  <si>
    <t>Self locking nut M12 Zinc 8.8 DIN 982</t>
  </si>
  <si>
    <t>Dado ATB alto M12 Zinc 8.8 DIN 982</t>
  </si>
  <si>
    <t>22.4</t>
  </si>
  <si>
    <t>D933-M12x60-Z8</t>
  </si>
  <si>
    <t>Screw HH M12x60 white zinc 8.8 DIN 933</t>
  </si>
  <si>
    <t>Vite TE M12x60 Zinc 8.8 DIN 933</t>
  </si>
  <si>
    <t>0,070 kg</t>
  </si>
  <si>
    <t>22.5</t>
  </si>
  <si>
    <t>PN1005</t>
  </si>
  <si>
    <t>Shear load cell mod. 350i 1500kg</t>
  </si>
  <si>
    <t>Cella carico a taglio mod. 350i 1500kg</t>
  </si>
  <si>
    <t>0,900 kg</t>
  </si>
  <si>
    <t>Carbon Steel</t>
  </si>
  <si>
    <t>22.6</t>
  </si>
  <si>
    <t>PN1006</t>
  </si>
  <si>
    <t>Silent-block with lift-off prevention mod. 35909</t>
  </si>
  <si>
    <t>Antivibrante con anti-sollevamento mod. 35909</t>
  </si>
  <si>
    <t>2,000 kg</t>
  </si>
  <si>
    <t>22.7</t>
  </si>
  <si>
    <t>PN1007</t>
  </si>
  <si>
    <t>Base plate mod. 35911</t>
  </si>
  <si>
    <t>Piatto base mod. 35911</t>
  </si>
  <si>
    <t>3,200 kg</t>
  </si>
  <si>
    <t>DV36337</t>
  </si>
  <si>
    <t>Sample weight 15kg</t>
  </si>
  <si>
    <t>Peso campione 15kg</t>
  </si>
  <si>
    <t>15,056 kg</t>
  </si>
  <si>
    <t>DV38277</t>
  </si>
  <si>
    <t>Rondella fissaggio pesi</t>
  </si>
  <si>
    <t>0,175 kg</t>
  </si>
  <si>
    <t>51</t>
  </si>
  <si>
    <t>SC0014-VAR2</t>
  </si>
  <si>
    <t>Support SNL 520 TG Da90 (side 2)</t>
  </si>
  <si>
    <t>Supporto SNL 520 TG Da90 (lato 2)</t>
  </si>
  <si>
    <t>25,283 kg</t>
  </si>
  <si>
    <t>51.1</t>
  </si>
  <si>
    <t>CU1103</t>
  </si>
  <si>
    <t>Block SNL 520 (housing only)</t>
  </si>
  <si>
    <t>Supporto SNL 520 (solo corpo)</t>
  </si>
  <si>
    <t>18,400 kg</t>
  </si>
  <si>
    <t>51.2</t>
  </si>
  <si>
    <t>CU1091</t>
  </si>
  <si>
    <t>Spherical roller bearing 22220 EK 100x180x46</t>
  </si>
  <si>
    <t>Cuscinetto radiale 22220 EK 100x180x46</t>
  </si>
  <si>
    <t>4,740 kg</t>
  </si>
  <si>
    <t>Generic</t>
  </si>
  <si>
    <t>51.3</t>
  </si>
  <si>
    <t>CU0060</t>
  </si>
  <si>
    <t>Adapter sleeve for metric shaft H 320</t>
  </si>
  <si>
    <t>Bussola di trazione H 320</t>
  </si>
  <si>
    <t>1,780 kg</t>
  </si>
  <si>
    <t>51.4</t>
  </si>
  <si>
    <t>CU1106</t>
  </si>
  <si>
    <t>Locating (stabilizing) ring FRB 12/180</t>
  </si>
  <si>
    <t>Anello di arresto FRB 12/180</t>
  </si>
  <si>
    <t>0,209 kg</t>
  </si>
  <si>
    <t>51.5</t>
  </si>
  <si>
    <t>GU1076</t>
  </si>
  <si>
    <t>Seal TXL 520</t>
  </si>
  <si>
    <t>Tenuta TXL 520</t>
  </si>
  <si>
    <t>0,077 kg</t>
  </si>
  <si>
    <t>52</t>
  </si>
  <si>
    <t>SC1017</t>
  </si>
  <si>
    <t>Support UCP316 Shaft80</t>
  </si>
  <si>
    <t>Supporto UCP316 Shaft80</t>
  </si>
  <si>
    <t>18,200 kg</t>
  </si>
  <si>
    <t>53</t>
  </si>
  <si>
    <t>SC0039</t>
  </si>
  <si>
    <t>Support SBPF204 Da20</t>
  </si>
  <si>
    <t>Supporto SBPF204 Da20</t>
  </si>
  <si>
    <t>0,330 kg</t>
  </si>
  <si>
    <t>101</t>
  </si>
  <si>
    <t>D933-M20x190-Z8</t>
  </si>
  <si>
    <t>Screw HH M20x190 white zinc 8.8 DIN 933</t>
  </si>
  <si>
    <t>Vite TE M20x190 Zinc 8.8 DIN 933</t>
  </si>
  <si>
    <t>0,541 kg</t>
  </si>
  <si>
    <t>102</t>
  </si>
  <si>
    <t>I7089-20x37-Z8</t>
  </si>
  <si>
    <t>Washer M20 Zinc 8.8 ISO 7089</t>
  </si>
  <si>
    <t>Rondella M20 Zinc 8.8 ISO 7089</t>
  </si>
  <si>
    <t>103</t>
  </si>
  <si>
    <t>D934-M20x2.5-Z8</t>
  </si>
  <si>
    <t>Hex nut M20 White zinc 8.8 DIN 934</t>
  </si>
  <si>
    <t>Dado medio M20 Zinc 8.8 DIN 934</t>
  </si>
  <si>
    <t>104</t>
  </si>
  <si>
    <t>D933-M16x30-Z8</t>
  </si>
  <si>
    <t>Screw HH M16x30 white zinc 8.8 DIN 933</t>
  </si>
  <si>
    <t>Vite TE M16x30 Zinc 8.8 DIN 933</t>
  </si>
  <si>
    <t>0,084 kg</t>
  </si>
  <si>
    <t>105</t>
  </si>
  <si>
    <t>D127A-16x27,4-Z8</t>
  </si>
  <si>
    <t>0,010 kg</t>
  </si>
  <si>
    <t>106</t>
  </si>
  <si>
    <t>I7093-16x50-Z8</t>
  </si>
  <si>
    <t>Washer M16 Zinc 8.8 ISO 7093</t>
  </si>
  <si>
    <t>Rondella M16 Zinc 8.8 ISO 7093</t>
  </si>
  <si>
    <t>0,041 kg</t>
  </si>
  <si>
    <t>107</t>
  </si>
  <si>
    <t>108</t>
  </si>
  <si>
    <t>D933-M12x35-Z8</t>
  </si>
  <si>
    <t>Screw HH M12x35 white zinc 8.8 DIN 933</t>
  </si>
  <si>
    <t>Vite TE M12x35 Zinc 8.8 DIN 933</t>
  </si>
  <si>
    <t>109</t>
  </si>
  <si>
    <t>D933-M12x45-Z8</t>
  </si>
  <si>
    <t>Screw HH M12x45 white zinc 8.8 DIN 933</t>
  </si>
  <si>
    <t>Vite TE M12x45 Zinc 8.8 DIN 933</t>
  </si>
  <si>
    <t>0,057 kg</t>
  </si>
  <si>
    <t>110</t>
  </si>
  <si>
    <t>111</t>
  </si>
  <si>
    <t>112</t>
  </si>
  <si>
    <t>D934-M12x1.75-Z8</t>
  </si>
  <si>
    <t>Hex nut M12 White zinc 8.8 DIN 934</t>
  </si>
  <si>
    <t>Dado medio M12 Zinc 8.8 DIN 934</t>
  </si>
  <si>
    <t>0,018 kg</t>
  </si>
  <si>
    <t>113</t>
  </si>
  <si>
    <t>D933-M8x20-Z8</t>
  </si>
  <si>
    <t>Screw HH M8x20 white zinc 8.8 DIN 933</t>
  </si>
  <si>
    <t>Vite TE M8x20 Zinc 8.8 DIN 933</t>
  </si>
  <si>
    <t>0,013 kg</t>
  </si>
  <si>
    <t>114</t>
  </si>
  <si>
    <t>115</t>
  </si>
  <si>
    <t>116</t>
  </si>
  <si>
    <t>D931-M20x140-Z8</t>
  </si>
  <si>
    <t>Screw HH M20x140 white zinc. 8.8 DIN 931</t>
  </si>
  <si>
    <t>Vite TE M20x140 Zinc 8.8 DIN 931</t>
  </si>
  <si>
    <t>0,420 kg</t>
  </si>
  <si>
    <t>117</t>
  </si>
  <si>
    <t>D931-M24x100-Z8</t>
  </si>
  <si>
    <t>Screw HH M24x100 white zinc. 8.8 DIN 931</t>
  </si>
  <si>
    <t>Vite TE M24x100 Zinc 8.8 DIN 931</t>
  </si>
  <si>
    <t>0,484 kg</t>
  </si>
  <si>
    <t>118</t>
  </si>
  <si>
    <t>D931-M24x110-Z8</t>
  </si>
  <si>
    <t>Screw HH M24x110 white zinc. 8.8 DIN 931</t>
  </si>
  <si>
    <t>Vite TE M24x110 Zinc 8.8 DIN 931</t>
  </si>
  <si>
    <t>0,520 kg</t>
  </si>
  <si>
    <t>119</t>
  </si>
  <si>
    <t>I7089-24x44-Z8</t>
  </si>
  <si>
    <t>Washer M24 Zinc 8.8 ISO 7089</t>
  </si>
  <si>
    <t>Rondella M24 Zinc 8.8 ISO 7089</t>
  </si>
  <si>
    <t>0,032 kg</t>
  </si>
  <si>
    <t>120</t>
  </si>
  <si>
    <t>D982-24x33.25-Z8</t>
  </si>
  <si>
    <t>Self locking nut M24 Zinc 8.8 DIN 982</t>
  </si>
  <si>
    <t>Dado ATB alto M24 Zinc 8.8 DIN 982</t>
  </si>
  <si>
    <t>0,149 kg</t>
  </si>
  <si>
    <t>121</t>
  </si>
  <si>
    <t>I1234-8x71</t>
  </si>
  <si>
    <t>Copiglia 8x71 Steel ISO 1234</t>
  </si>
  <si>
    <t>Split pin 8x71 Steel ISO 1234</t>
  </si>
  <si>
    <t>Steel</t>
  </si>
  <si>
    <t>122</t>
  </si>
  <si>
    <t>D982-20x27.7-Z8</t>
  </si>
  <si>
    <t>Self locking nut M20 Zinc 8.8 DIN 982</t>
  </si>
  <si>
    <t>Dado ATB alto M20 Zinc 8.8 DIN 982</t>
  </si>
  <si>
    <t>0,087 kg</t>
  </si>
  <si>
    <t>123</t>
  </si>
  <si>
    <t>D934-M30x3.5-Z8</t>
  </si>
  <si>
    <t>Hex nut M30 White zinc 8.8 DIN 934</t>
  </si>
  <si>
    <t>Dado medio M30 Zinc 8.8 DIN 934</t>
  </si>
  <si>
    <t>0,236 kg</t>
  </si>
  <si>
    <t>201</t>
  </si>
  <si>
    <t>(NULL)</t>
  </si>
  <si>
    <t>PN1008</t>
  </si>
  <si>
    <t>Junction box 4 load cells mod. 59053</t>
  </si>
  <si>
    <t>Scatola giunzione 4 celle mod.89053</t>
  </si>
  <si>
    <t>202</t>
  </si>
  <si>
    <t>PN1009</t>
  </si>
  <si>
    <t>Weighing transmitter SWIFT RAIL RS+ANALOG mod.89450</t>
  </si>
  <si>
    <t>Trasmettitore SWIFT RAIL RS+ANALOG mod.89450</t>
  </si>
  <si>
    <t>203</t>
  </si>
  <si>
    <t>PN1010</t>
  </si>
  <si>
    <t>Mounting box for transmitter mod.89458</t>
  </si>
  <si>
    <t>Scatola montaggio trasmettitore mod.89458</t>
  </si>
  <si>
    <t>204</t>
  </si>
  <si>
    <t>PN1011</t>
  </si>
  <si>
    <t>Load cell cable 20m rif.89009</t>
  </si>
  <si>
    <t>Cavo per celle di carico 20m rif.89009</t>
  </si>
  <si>
    <t>*Varies*</t>
  </si>
  <si>
    <t>27</t>
  </si>
  <si>
    <t>28</t>
  </si>
  <si>
    <t>29</t>
  </si>
  <si>
    <t>30</t>
  </si>
  <si>
    <t>31</t>
  </si>
  <si>
    <t>32</t>
  </si>
  <si>
    <t>33</t>
  </si>
  <si>
    <t>34</t>
  </si>
  <si>
    <t>35</t>
  </si>
  <si>
    <t>36</t>
  </si>
  <si>
    <t>37</t>
  </si>
  <si>
    <t>38</t>
  </si>
  <si>
    <t>39</t>
  </si>
  <si>
    <t>40</t>
  </si>
  <si>
    <t>41</t>
  </si>
  <si>
    <t>42</t>
  </si>
  <si>
    <t>43</t>
  </si>
  <si>
    <t>44</t>
  </si>
  <si>
    <t>45</t>
  </si>
  <si>
    <t>46</t>
  </si>
  <si>
    <t>47</t>
  </si>
  <si>
    <t>48</t>
  </si>
  <si>
    <t>49</t>
  </si>
  <si>
    <t>50</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</si>
  <si>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</si>
  <si>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</si>
  <si>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</si>
  <si>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</si>
  <si>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</si>
  <si>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</si>
  <si>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</si>
  <si>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</si>
  <si>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</si>
  <si>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</si>
  <si>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</si>
  <si>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</si>
  <si>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</si>
  <si>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</si>
  <si>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</si>
  <si>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</si>
  <si>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</si>
  <si>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</si>
  <si>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</si>
  <si>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</si>
  <si>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</si>
  <si>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</si>
  <si>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</si>
  <si>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</si>
  <si>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</si>
  <si>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</si>
  <si>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</si>
  <si>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</si>
  <si>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</si>
  <si>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</si>
  <si>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</si>
  <si>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</si>
  <si>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</si>
  <si>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</si>
  <si>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</si>
  <si>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</si>
  <si>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</si>
  <si>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</si>
  <si>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</si>
  <si>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</si>
  <si>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</si>
  <si>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</si>
  <si>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</si>
  <si>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</si>
  <si>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</si>
  <si>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</si>
  <si>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</si>
  <si>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</si>
  <si>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</si>
  <si>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</si>
  <si>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</si>
  <si>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</si>
  <si>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</si>
  <si>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</si>
  <si>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</si>
  <si>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</si>
  <si>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</si>
  <si>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</si>
  <si>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</si>
  <si>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</si>
  <si>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</si>
  <si>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</si>
  <si>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</si>
  <si>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</si>
  <si>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</si>
  <si>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</si>
  <si>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</si>
  <si>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</si>
  <si>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</si>
  <si>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</si>
  <si>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</si>
  <si>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</si>
  <si>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SPIRA ∅700/219 Sp.10 DX P=700 L=390 - S235JR</t>
  </si>
  <si>
    <t>SPIRA ∅700/219 Sp.10 DX P=700 L=700 - S235JR</t>
  </si>
  <si>
    <t>SPIRE ∅700/219 t10 RHP=700 L=700 - S235JR</t>
  </si>
  <si>
    <t>SPIRE ∅700/219 t10 RH P=700 L=390 - S235JR</t>
  </si>
  <si>
    <t>SPIRE ∅700/219 t10 RHP=700 L=390 - S235JR</t>
  </si>
  <si>
    <t>DE1004</t>
  </si>
  <si>
    <t>Sticker " WARNING - WEIGHING CONVEYOR" 300x150</t>
  </si>
  <si>
    <t>Adesivo "ATTENZIONE - TRASPORTATORE PESATO" 300x150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</si>
</sst>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quot;€&quot;"/>
  </numFmts>
  <fonts count="34" x14ac:knownFonts="1">
    <font>
      <sz val="8"/>
      <color theme="1"/>
      <name val="Tahoma"/>
      <family val="2"/>
    </font>
    <font>
      <b/>
      <sz val="8"/>
      <color theme="1"/>
      <name val="Tahoma"/>
      <family val="2"/>
    </font>
    <font>
      <sz val="7"/>
      <color theme="1"/>
      <name val="Tahoma"/>
      <family val="2"/>
    </font>
    <font>
      <b/>
      <sz val="10"/>
      <color theme="1"/>
      <name val="Tahoma"/>
      <family val="2"/>
    </font>
    <font>
      <sz val="10"/>
      <color theme="1"/>
      <name val="Tahoma"/>
      <family val="2"/>
    </font>
    <font>
      <sz val="9"/>
      <color theme="1"/>
      <name val="Tahoma"/>
      <family val="2"/>
    </font>
    <font>
      <i/>
      <sz val="8"/>
      <color theme="1"/>
      <name val="Tahoma"/>
      <family val="2"/>
    </font>
    <font>
      <sz val="8"/>
      <name val="Tahoma"/>
      <family val="2"/>
    </font>
    <font>
      <b/>
      <sz val="9"/>
      <color indexed="81"/>
      <name val="Tahoma"/>
      <family val="2"/>
    </font>
    <font>
      <i/>
      <sz val="8"/>
      <name val="Tahoma"/>
      <family val="2"/>
    </font>
    <font>
      <sz val="8"/>
      <color theme="0" tint="-0.249977111117893"/>
      <name val="Tahoma"/>
      <family val="2"/>
    </font>
    <font>
      <b/>
      <sz val="11"/>
      <color theme="1"/>
      <name val="Calibri"/>
      <family val="2"/>
      <scheme val="minor"/>
    </font>
    <font>
      <b/>
      <sz val="11"/>
      <name val="Calibri"/>
      <family val="2"/>
    </font>
    <font>
      <sz val="11"/>
      <name val="Calibri"/>
      <family val="2"/>
    </font>
    <font>
      <sz val="11"/>
      <name val="Calibri"/>
      <family val="2"/>
    </font>
    <font>
      <strike/>
      <sz val="11"/>
      <name val="Calibri"/>
      <family val="2"/>
    </font>
    <font>
      <strike/>
      <sz val="8"/>
      <color theme="1"/>
      <name val="Tahoma"/>
      <family val="2"/>
    </font>
    <font>
      <b/>
      <sz val="12"/>
      <color theme="1"/>
      <name val="Tahoma"/>
      <family val="2"/>
    </font>
    <font>
      <sz val="20"/>
      <color theme="1"/>
      <name val="Tahoma"/>
      <family val="2"/>
    </font>
    <font>
      <b/>
      <sz val="20"/>
      <color theme="1"/>
      <name val="Tahoma"/>
      <family val="2"/>
    </font>
    <font>
      <sz val="14"/>
      <name val="Calibri"/>
      <family val="2"/>
      <scheme val="minor"/>
    </font>
    <font>
      <b/>
      <sz val="12"/>
      <color rgb="FF000000"/>
      <name val="Arial Narrow"/>
      <family val="2"/>
    </font>
    <font>
      <sz val="8"/>
      <color rgb="FF000000"/>
      <name val="Arial Narrow"/>
      <family val="2"/>
    </font>
    <font>
      <b/>
      <sz val="12"/>
      <color theme="1"/>
      <name val="Arial Narrow"/>
      <family val="2"/>
    </font>
    <font>
      <sz val="14"/>
      <color theme="1"/>
      <name val="Tahoma"/>
      <family val="2"/>
    </font>
    <font>
      <sz val="16"/>
      <color theme="1"/>
      <name val="Arial Narrow"/>
      <family val="2"/>
    </font>
    <font>
      <sz val="12"/>
      <color theme="1"/>
      <name val="Tahoma"/>
      <family val="2"/>
    </font>
    <font>
      <sz val="36"/>
      <color theme="1"/>
      <name val="Tahoma"/>
      <family val="2"/>
    </font>
    <font>
      <u/>
      <sz val="8"/>
      <color theme="10"/>
      <name val="Tahoma"/>
      <family val="2"/>
    </font>
    <font>
      <sz val="9"/>
      <color indexed="81"/>
      <name val="Tahoma"/>
      <family val="2"/>
    </font>
    <font>
      <u/>
      <sz val="8"/>
      <name val="Tahoma"/>
      <family val="2"/>
    </font>
    <font>
      <b/>
      <u/>
      <sz val="8"/>
      <name val="Tahoma"/>
      <family val="2"/>
    </font>
    <font>
      <b/>
      <sz val="8"/>
      <color rgb="FF000000"/>
      <name val="Tahoma"/>
      <family val="2"/>
    </font>
    <font>
      <b/>
      <sz val="12"/>
      <color rgb="FF000000"/>
      <name val="Tahoma"/>
      <family val="2"/>
    </font>
  </fonts>
  <fills count="17">
    <fill>
      <patternFill patternType="none"/>
    </fill>
    <fill>
      <patternFill patternType="gray125"/>
    </fill>
    <fill>
      <patternFill patternType="solid">
        <fgColor theme="8"/>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theme="4" tint="-9.9978637043366805E-2"/>
        <bgColor indexed="64"/>
      </patternFill>
    </fill>
    <fill>
      <patternFill patternType="solid">
        <fgColor theme="9" tint="-9.9978637043366805E-2"/>
        <bgColor indexed="64"/>
      </patternFill>
    </fill>
    <fill>
      <patternFill patternType="solid">
        <fgColor theme="8" tint="-9.9978637043366805E-2"/>
        <bgColor indexed="64"/>
      </patternFill>
    </fill>
    <fill>
      <patternFill patternType="solid">
        <fgColor theme="7" tint="-9.9978637043366805E-2"/>
        <bgColor indexed="64"/>
      </patternFill>
    </fill>
    <fill>
      <patternFill patternType="solid">
        <fgColor theme="6" tint="-9.9978637043366805E-2"/>
        <bgColor indexed="64"/>
      </patternFill>
    </fill>
    <fill>
      <patternFill patternType="solid">
        <fgColor theme="5" tint="-9.9978637043366805E-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57979"/>
        <bgColor indexed="64"/>
      </patternFill>
    </fill>
  </fills>
  <borders count="22">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3" fillId="0" borderId="0">
      <alignment vertical="center"/>
    </xf>
    <xf numFmtId="0" fontId="13" fillId="0" borderId="0"/>
    <xf numFmtId="0" fontId="28" fillId="0" borderId="0" applyNumberFormat="0" applyFill="0" applyBorder="0" applyAlignment="0" applyProtection="0"/>
  </cellStyleXfs>
  <cellXfs count="263">
    <xf numFmtId="0" fontId="0" fillId="0" borderId="0" xfId="0"/>
    <xf numFmtId="0" fontId="0" fillId="0" borderId="0" xfId="0" applyAlignment="1">
      <alignment horizontal="center" vertical="center"/>
    </xf>
    <xf numFmtId="0" fontId="0" fillId="0" borderId="0" xfId="0" applyAlignment="1">
      <alignment vertical="center"/>
    </xf>
    <xf numFmtId="0" fontId="0" fillId="2" borderId="0" xfId="0" applyFill="1" applyAlignment="1">
      <alignment horizontal="center" vertical="center"/>
    </xf>
    <xf numFmtId="0" fontId="0" fillId="2" borderId="0" xfId="0" applyFill="1" applyAlignment="1">
      <alignment vertical="center"/>
    </xf>
    <xf numFmtId="0" fontId="0" fillId="0" borderId="1" xfId="0" applyBorder="1" applyAlignment="1">
      <alignment vertical="center"/>
    </xf>
    <xf numFmtId="0" fontId="6" fillId="0" borderId="0" xfId="0" applyFont="1" applyAlignment="1">
      <alignment horizontal="center" vertical="center"/>
    </xf>
    <xf numFmtId="0" fontId="0" fillId="3" borderId="0" xfId="0" applyFill="1" applyAlignment="1">
      <alignment vertical="center"/>
    </xf>
    <xf numFmtId="0" fontId="0" fillId="3" borderId="0" xfId="0" applyFill="1" applyAlignment="1">
      <alignment horizontal="center" vertical="center"/>
    </xf>
    <xf numFmtId="0" fontId="0" fillId="4" borderId="0" xfId="0" applyFill="1" applyAlignment="1">
      <alignment vertical="center"/>
    </xf>
    <xf numFmtId="0" fontId="6" fillId="0" borderId="0" xfId="0" applyFont="1" applyAlignment="1">
      <alignment vertical="center"/>
    </xf>
    <xf numFmtId="0" fontId="0" fillId="6" borderId="0" xfId="0" applyFill="1" applyAlignment="1">
      <alignment vertical="center"/>
    </xf>
    <xf numFmtId="0" fontId="0" fillId="4" borderId="1" xfId="0" applyFill="1" applyBorder="1" applyAlignment="1">
      <alignment horizontal="center" vertical="center"/>
    </xf>
    <xf numFmtId="0" fontId="0" fillId="4" borderId="0" xfId="0" applyFill="1" applyAlignment="1">
      <alignment horizontal="center" vertical="center"/>
    </xf>
    <xf numFmtId="0" fontId="0" fillId="6" borderId="1" xfId="0" applyFill="1" applyBorder="1" applyAlignment="1">
      <alignment horizontal="center" vertical="center"/>
    </xf>
    <xf numFmtId="0" fontId="0" fillId="6" borderId="0" xfId="0" applyFill="1" applyAlignment="1">
      <alignment horizontal="center" vertical="center"/>
    </xf>
    <xf numFmtId="0" fontId="1" fillId="2" borderId="0" xfId="0" applyFont="1" applyFill="1" applyAlignment="1">
      <alignment vertical="center"/>
    </xf>
    <xf numFmtId="0" fontId="4" fillId="4" borderId="4" xfId="0" applyFont="1" applyFill="1" applyBorder="1" applyAlignment="1" applyProtection="1">
      <alignment horizontal="center" vertical="center"/>
      <protection locked="0"/>
    </xf>
    <xf numFmtId="0" fontId="1" fillId="5" borderId="0" xfId="0" applyFont="1" applyFill="1" applyAlignment="1">
      <alignment vertical="center"/>
    </xf>
    <xf numFmtId="0" fontId="0" fillId="5" borderId="0" xfId="0" applyFill="1" applyAlignment="1">
      <alignment vertical="center"/>
    </xf>
    <xf numFmtId="0" fontId="0" fillId="5" borderId="0" xfId="0" applyFill="1" applyAlignment="1">
      <alignment horizontal="right" vertical="center"/>
    </xf>
    <xf numFmtId="0" fontId="6" fillId="5" borderId="0" xfId="0" applyFont="1" applyFill="1" applyAlignment="1">
      <alignment vertical="center"/>
    </xf>
    <xf numFmtId="0" fontId="0" fillId="5" borderId="0" xfId="0" applyFill="1" applyAlignment="1">
      <alignment horizontal="center" vertical="center"/>
    </xf>
    <xf numFmtId="0" fontId="6" fillId="5" borderId="0" xfId="0" applyFont="1" applyFill="1" applyAlignment="1">
      <alignment horizontal="center" vertical="center"/>
    </xf>
    <xf numFmtId="165" fontId="0" fillId="5" borderId="0" xfId="0" applyNumberFormat="1" applyFill="1" applyAlignment="1">
      <alignment horizontal="center" vertical="center"/>
    </xf>
    <xf numFmtId="1" fontId="0" fillId="5" borderId="0" xfId="0" applyNumberFormat="1" applyFill="1" applyAlignment="1">
      <alignment horizontal="center" vertical="center"/>
    </xf>
    <xf numFmtId="0" fontId="1" fillId="5" borderId="0" xfId="0" applyFont="1" applyFill="1" applyAlignment="1">
      <alignment horizontal="right" vertical="center"/>
    </xf>
    <xf numFmtId="0" fontId="0" fillId="5" borderId="0" xfId="0" quotePrefix="1" applyFill="1" applyAlignment="1">
      <alignment horizontal="center" vertical="center"/>
    </xf>
    <xf numFmtId="0" fontId="9" fillId="5" borderId="0" xfId="0" applyFont="1" applyFill="1" applyAlignment="1">
      <alignment vertical="center"/>
    </xf>
    <xf numFmtId="0" fontId="7" fillId="5" borderId="0" xfId="0" applyFont="1" applyFill="1" applyAlignment="1">
      <alignment horizontal="center" vertical="center"/>
    </xf>
    <xf numFmtId="0" fontId="10" fillId="5" borderId="0" xfId="0" applyFont="1" applyFill="1" applyAlignment="1">
      <alignment horizontal="center" vertical="center"/>
    </xf>
    <xf numFmtId="0" fontId="7" fillId="5" borderId="0" xfId="0" applyFont="1" applyFill="1" applyAlignment="1">
      <alignment vertical="center"/>
    </xf>
    <xf numFmtId="49" fontId="0" fillId="5" borderId="0" xfId="0" applyNumberFormat="1" applyFill="1" applyAlignment="1">
      <alignment horizontal="center"/>
    </xf>
    <xf numFmtId="49" fontId="4" fillId="4" borderId="4" xfId="0" applyNumberFormat="1" applyFont="1" applyFill="1" applyBorder="1" applyAlignment="1" applyProtection="1">
      <alignment horizontal="center" vertical="center"/>
      <protection locked="0"/>
    </xf>
    <xf numFmtId="0" fontId="13" fillId="0" borderId="0" xfId="0" applyFont="1"/>
    <xf numFmtId="0" fontId="14" fillId="0" borderId="0" xfId="0" applyFont="1"/>
    <xf numFmtId="14" fontId="0" fillId="0" borderId="0" xfId="0" applyNumberFormat="1" applyAlignment="1" applyProtection="1">
      <alignment vertical="center"/>
      <protection locked="0"/>
    </xf>
    <xf numFmtId="14" fontId="4" fillId="0" borderId="0" xfId="0" applyNumberFormat="1" applyFont="1" applyAlignment="1" applyProtection="1">
      <alignment vertical="center"/>
      <protection locked="0"/>
    </xf>
    <xf numFmtId="0" fontId="4" fillId="0" borderId="0" xfId="0" applyFont="1" applyAlignment="1" applyProtection="1">
      <alignment vertical="center"/>
      <protection locked="0"/>
    </xf>
    <xf numFmtId="49" fontId="4" fillId="0" borderId="0" xfId="0" applyNumberFormat="1" applyFont="1" applyAlignment="1" applyProtection="1">
      <alignment vertical="center"/>
      <protection locked="0"/>
    </xf>
    <xf numFmtId="0" fontId="4" fillId="4" borderId="14" xfId="0" applyFont="1" applyFill="1" applyBorder="1" applyAlignment="1" applyProtection="1">
      <alignment horizontal="center" vertical="center"/>
      <protection locked="0"/>
    </xf>
    <xf numFmtId="14" fontId="0" fillId="0" borderId="11" xfId="0" applyNumberFormat="1" applyBorder="1" applyAlignment="1" applyProtection="1">
      <alignment vertical="center"/>
      <protection locked="0"/>
    </xf>
    <xf numFmtId="0" fontId="23" fillId="3" borderId="2" xfId="0" applyFont="1" applyFill="1" applyBorder="1" applyAlignment="1" applyProtection="1">
      <alignment horizontal="center" vertical="center"/>
      <protection locked="0"/>
    </xf>
    <xf numFmtId="0" fontId="23" fillId="0" borderId="19" xfId="0" applyFont="1" applyBorder="1" applyAlignment="1" applyProtection="1">
      <alignment horizontal="center" vertical="center"/>
      <protection locked="0"/>
    </xf>
    <xf numFmtId="0" fontId="21" fillId="3" borderId="19" xfId="0" applyFont="1" applyFill="1" applyBorder="1" applyAlignment="1" applyProtection="1">
      <alignment horizontal="center" vertical="center"/>
      <protection locked="0"/>
    </xf>
    <xf numFmtId="0" fontId="21" fillId="3" borderId="0" xfId="0" applyFont="1" applyFill="1" applyAlignment="1" applyProtection="1">
      <alignment horizontal="center" vertical="center"/>
      <protection locked="0"/>
    </xf>
    <xf numFmtId="0" fontId="0" fillId="0" borderId="0" xfId="0" applyProtection="1">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0" fillId="0" borderId="0" xfId="0" applyAlignment="1" applyProtection="1">
      <alignment horizontal="center" vertical="center"/>
      <protection locked="0"/>
    </xf>
    <xf numFmtId="164" fontId="0" fillId="0" borderId="2" xfId="0" applyNumberFormat="1" applyBorder="1"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0" fontId="0" fillId="0" borderId="0" xfId="0" applyAlignment="1" applyProtection="1">
      <alignment textRotation="255" wrapText="1"/>
      <protection locked="0"/>
    </xf>
    <xf numFmtId="0" fontId="0" fillId="0" borderId="0" xfId="0" applyAlignment="1" applyProtection="1">
      <alignment textRotation="255"/>
      <protection locked="0"/>
    </xf>
    <xf numFmtId="0" fontId="2" fillId="0" borderId="8" xfId="0" applyFont="1" applyBorder="1" applyAlignment="1" applyProtection="1">
      <alignment horizontal="center" vertical="center"/>
      <protection locked="0"/>
    </xf>
    <xf numFmtId="14" fontId="0" fillId="0" borderId="0" xfId="0" applyNumberFormat="1" applyAlignment="1" applyProtection="1">
      <alignment horizontal="center" vertical="center"/>
      <protection locked="0"/>
    </xf>
    <xf numFmtId="14" fontId="0" fillId="0" borderId="11" xfId="0" applyNumberFormat="1" applyBorder="1" applyAlignment="1" applyProtection="1">
      <alignment horizontal="center" vertical="center"/>
      <protection locked="0"/>
    </xf>
    <xf numFmtId="0" fontId="17" fillId="0" borderId="8" xfId="1" applyFont="1" applyBorder="1" applyAlignment="1" applyProtection="1">
      <alignment horizontal="center" vertical="center"/>
      <protection locked="0"/>
    </xf>
    <xf numFmtId="0" fontId="17" fillId="0" borderId="0" xfId="1" applyFont="1" applyAlignment="1" applyProtection="1">
      <alignment horizontal="center" vertical="center"/>
      <protection locked="0"/>
    </xf>
    <xf numFmtId="0" fontId="17" fillId="0" borderId="11" xfId="1" applyFont="1" applyBorder="1" applyAlignment="1" applyProtection="1">
      <alignment horizontal="center" vertical="center"/>
      <protection locked="0"/>
    </xf>
    <xf numFmtId="0" fontId="0" fillId="0" borderId="0" xfId="0" quotePrefix="1" applyProtection="1">
      <protection locked="0"/>
    </xf>
    <xf numFmtId="0" fontId="5" fillId="0" borderId="4" xfId="0" applyFon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1" xfId="0" applyBorder="1" applyAlignment="1" applyProtection="1">
      <alignment vertical="center"/>
      <protection locked="0"/>
    </xf>
    <xf numFmtId="0" fontId="0" fillId="0" borderId="4"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0" borderId="8" xfId="0" applyFont="1" applyBorder="1" applyAlignment="1" applyProtection="1">
      <alignment vertical="center"/>
      <protection locked="0"/>
    </xf>
    <xf numFmtId="0" fontId="5" fillId="0" borderId="0" xfId="0" applyFont="1" applyAlignment="1" applyProtection="1">
      <alignment vertical="center"/>
      <protection locked="0"/>
    </xf>
    <xf numFmtId="0" fontId="5" fillId="0" borderId="0" xfId="0" applyFont="1" applyAlignment="1" applyProtection="1">
      <alignment horizontal="right" vertical="center"/>
      <protection locked="0"/>
    </xf>
    <xf numFmtId="0" fontId="28" fillId="0" borderId="0" xfId="3" applyAlignment="1" applyProtection="1">
      <alignment vertical="center"/>
      <protection locked="0"/>
    </xf>
    <xf numFmtId="14" fontId="0" fillId="0" borderId="4" xfId="0" applyNumberFormat="1" applyBorder="1" applyAlignment="1" applyProtection="1">
      <alignment horizontal="center" vertical="center"/>
      <protection locked="0"/>
    </xf>
    <xf numFmtId="0" fontId="0" fillId="0" borderId="0" xfId="0" applyAlignment="1" applyProtection="1">
      <alignment horizontal="center"/>
      <protection locked="0"/>
    </xf>
    <xf numFmtId="0" fontId="0" fillId="0" borderId="0" xfId="0" applyAlignment="1" applyProtection="1">
      <alignment horizontal="right"/>
      <protection locked="0"/>
    </xf>
    <xf numFmtId="0" fontId="0" fillId="4" borderId="4" xfId="0" applyFill="1" applyBorder="1" applyAlignment="1" applyProtection="1">
      <alignment horizontal="center" vertical="center"/>
      <protection locked="0"/>
    </xf>
    <xf numFmtId="0" fontId="0" fillId="0" borderId="8" xfId="0" applyBorder="1" applyProtection="1">
      <protection locked="0"/>
    </xf>
    <xf numFmtId="166" fontId="0" fillId="0" borderId="0" xfId="0" applyNumberFormat="1" applyAlignment="1" applyProtection="1">
      <alignment horizontal="center" vertical="center"/>
      <protection locked="0"/>
    </xf>
    <xf numFmtId="164" fontId="1" fillId="8" borderId="4" xfId="0" applyNumberFormat="1" applyFont="1" applyFill="1" applyBorder="1" applyAlignment="1" applyProtection="1">
      <alignment horizontal="center" vertical="center"/>
      <protection locked="0"/>
    </xf>
    <xf numFmtId="164" fontId="1" fillId="9" borderId="4" xfId="0" applyNumberFormat="1" applyFont="1" applyFill="1" applyBorder="1" applyAlignment="1" applyProtection="1">
      <alignment horizontal="center" vertical="center"/>
      <protection locked="0"/>
    </xf>
    <xf numFmtId="164" fontId="1" fillId="10" borderId="4" xfId="0" applyNumberFormat="1" applyFont="1" applyFill="1" applyBorder="1" applyAlignment="1" applyProtection="1">
      <alignment horizontal="center" vertical="center"/>
      <protection locked="0"/>
    </xf>
    <xf numFmtId="164" fontId="1" fillId="11" borderId="4" xfId="0" applyNumberFormat="1" applyFont="1" applyFill="1" applyBorder="1" applyAlignment="1" applyProtection="1">
      <alignment horizontal="center" vertical="center"/>
      <protection locked="0"/>
    </xf>
    <xf numFmtId="164" fontId="1" fillId="12" borderId="4" xfId="0" applyNumberFormat="1" applyFont="1" applyFill="1" applyBorder="1" applyAlignment="1" applyProtection="1">
      <alignment horizontal="center" vertical="center"/>
      <protection locked="0"/>
    </xf>
    <xf numFmtId="164" fontId="1" fillId="7" borderId="4" xfId="0" applyNumberFormat="1" applyFont="1" applyFill="1" applyBorder="1" applyAlignment="1" applyProtection="1">
      <alignment horizontal="center" vertical="center"/>
      <protection locked="0"/>
    </xf>
    <xf numFmtId="164" fontId="1" fillId="13" borderId="4" xfId="0" applyNumberFormat="1" applyFont="1" applyFill="1" applyBorder="1" applyAlignment="1" applyProtection="1">
      <alignment horizontal="center" vertical="center"/>
      <protection locked="0"/>
    </xf>
    <xf numFmtId="164" fontId="1" fillId="14" borderId="4" xfId="0" applyNumberFormat="1" applyFont="1" applyFill="1" applyBorder="1" applyAlignment="1" applyProtection="1">
      <alignment horizontal="center" vertical="center"/>
      <protection locked="0"/>
    </xf>
    <xf numFmtId="164" fontId="1" fillId="15" borderId="4" xfId="0" applyNumberFormat="1" applyFont="1" applyFill="1" applyBorder="1" applyAlignment="1" applyProtection="1">
      <alignment horizontal="center" vertical="center"/>
      <protection locked="0"/>
    </xf>
    <xf numFmtId="0" fontId="0" fillId="0" borderId="11" xfId="0" applyBorder="1" applyProtection="1">
      <protection locked="0"/>
    </xf>
    <xf numFmtId="164" fontId="1" fillId="16" borderId="4" xfId="0" applyNumberFormat="1" applyFont="1" applyFill="1" applyBorder="1" applyAlignment="1" applyProtection="1">
      <alignment horizontal="center" vertical="center"/>
      <protection locked="0"/>
    </xf>
    <xf numFmtId="0" fontId="0" fillId="0" borderId="1" xfId="0" applyBorder="1" applyAlignment="1" applyProtection="1">
      <alignment horizontal="center"/>
      <protection locked="0"/>
    </xf>
    <xf numFmtId="0" fontId="20" fillId="0" borderId="1" xfId="0" applyFont="1" applyBorder="1" applyAlignment="1" applyProtection="1">
      <alignment vertical="center"/>
      <protection locked="0"/>
    </xf>
    <xf numFmtId="0" fontId="0" fillId="0" borderId="13" xfId="0" applyBorder="1" applyAlignment="1" applyProtection="1">
      <alignment horizontal="center"/>
      <protection locked="0"/>
    </xf>
    <xf numFmtId="14" fontId="1" fillId="0" borderId="1" xfId="0" applyNumberFormat="1" applyFont="1" applyBorder="1" applyAlignment="1" applyProtection="1">
      <alignment vertical="center"/>
      <protection locked="0"/>
    </xf>
    <xf numFmtId="14" fontId="1" fillId="0" borderId="13" xfId="0" applyNumberFormat="1" applyFon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13" fillId="0" borderId="0" xfId="0" applyFont="1" applyProtection="1">
      <protection locked="0"/>
    </xf>
    <xf numFmtId="0" fontId="11" fillId="0" borderId="0" xfId="0" applyFont="1" applyAlignment="1" applyProtection="1">
      <alignment horizontal="center"/>
      <protection locked="0"/>
    </xf>
    <xf numFmtId="0" fontId="15" fillId="0" borderId="0" xfId="0" applyFont="1" applyProtection="1">
      <protection locked="0"/>
    </xf>
    <xf numFmtId="0" fontId="16" fillId="0" borderId="0" xfId="0" applyFont="1" applyAlignment="1" applyProtection="1">
      <alignment horizontal="center" vertical="center"/>
      <protection locked="0"/>
    </xf>
    <xf numFmtId="0" fontId="16" fillId="0" borderId="0" xfId="0" applyFont="1" applyProtection="1">
      <protection locked="0"/>
    </xf>
    <xf numFmtId="0" fontId="13" fillId="0" borderId="0" xfId="0" applyFont="1" applyAlignment="1" applyProtection="1">
      <alignment horizontal="left"/>
      <protection locked="0"/>
    </xf>
    <xf numFmtId="0" fontId="4" fillId="5" borderId="4" xfId="0" applyFont="1" applyFill="1" applyBorder="1" applyAlignment="1">
      <alignment horizontal="center" vertical="center"/>
    </xf>
    <xf numFmtId="14" fontId="0" fillId="0" borderId="4" xfId="0" applyNumberFormat="1" applyBorder="1" applyAlignment="1">
      <alignment horizontal="center" vertical="center"/>
    </xf>
    <xf numFmtId="0" fontId="4" fillId="0" borderId="4" xfId="0" applyFont="1" applyBorder="1" applyAlignment="1">
      <alignment horizontal="center" vertical="center"/>
    </xf>
    <xf numFmtId="0" fontId="22" fillId="0" borderId="8" xfId="0" applyFont="1" applyBorder="1" applyAlignment="1" applyProtection="1">
      <alignment horizontal="center" vertical="center"/>
      <protection locked="0"/>
    </xf>
    <xf numFmtId="0" fontId="22" fillId="0" borderId="0" xfId="0" applyFont="1" applyAlignment="1" applyProtection="1">
      <alignment horizontal="center" vertical="center"/>
      <protection locked="0"/>
    </xf>
    <xf numFmtId="0" fontId="22" fillId="0" borderId="8" xfId="0" applyFont="1" applyBorder="1" applyAlignment="1" applyProtection="1">
      <alignment vertical="center"/>
      <protection locked="0"/>
    </xf>
    <xf numFmtId="0" fontId="22" fillId="0" borderId="0" xfId="0" applyFont="1" applyAlignment="1" applyProtection="1">
      <alignment vertical="center"/>
      <protection locked="0"/>
    </xf>
    <xf numFmtId="0" fontId="22" fillId="0" borderId="11" xfId="0" applyFont="1" applyBorder="1" applyAlignment="1" applyProtection="1">
      <alignment vertical="center"/>
      <protection locked="0"/>
    </xf>
    <xf numFmtId="0" fontId="6" fillId="0" borderId="0" xfId="0" applyFont="1" applyAlignment="1" applyProtection="1">
      <alignment vertical="center"/>
      <protection locked="0"/>
    </xf>
    <xf numFmtId="0" fontId="21" fillId="0" borderId="8" xfId="0" applyFont="1" applyBorder="1" applyAlignment="1" applyProtection="1">
      <alignment vertical="center"/>
      <protection locked="0"/>
    </xf>
    <xf numFmtId="0" fontId="21" fillId="0" borderId="0" xfId="0" applyFont="1" applyAlignment="1" applyProtection="1">
      <alignment vertical="center"/>
      <protection locked="0"/>
    </xf>
    <xf numFmtId="0" fontId="0" fillId="3" borderId="0" xfId="0" applyFill="1" applyAlignment="1" applyProtection="1">
      <alignment vertical="center"/>
      <protection locked="0"/>
    </xf>
    <xf numFmtId="0" fontId="0" fillId="3" borderId="0" xfId="0" applyFill="1" applyAlignment="1" applyProtection="1">
      <alignment horizontal="center" vertical="center"/>
      <protection locked="0"/>
    </xf>
    <xf numFmtId="0" fontId="0" fillId="0" borderId="12" xfId="0" applyBorder="1" applyAlignment="1" applyProtection="1">
      <alignment vertical="center"/>
      <protection locked="0"/>
    </xf>
    <xf numFmtId="0" fontId="0" fillId="0" borderId="1" xfId="0" applyBorder="1" applyAlignment="1" applyProtection="1">
      <alignment vertical="center"/>
      <protection locked="0"/>
    </xf>
    <xf numFmtId="0" fontId="0" fillId="0" borderId="13" xfId="0" applyBorder="1" applyAlignment="1" applyProtection="1">
      <alignment vertical="center"/>
      <protection locked="0"/>
    </xf>
    <xf numFmtId="0" fontId="0" fillId="4" borderId="9" xfId="0" applyFill="1" applyBorder="1" applyAlignment="1" applyProtection="1">
      <alignment vertical="center"/>
      <protection locked="0"/>
    </xf>
    <xf numFmtId="0" fontId="0" fillId="4" borderId="3" xfId="0" applyFill="1" applyBorder="1" applyAlignment="1" applyProtection="1">
      <alignment vertical="center"/>
      <protection locked="0"/>
    </xf>
    <xf numFmtId="0" fontId="0" fillId="4" borderId="10" xfId="0" applyFill="1" applyBorder="1" applyAlignment="1" applyProtection="1">
      <alignment vertical="center"/>
      <protection locked="0"/>
    </xf>
    <xf numFmtId="0" fontId="0" fillId="3" borderId="0" xfId="0" applyFill="1" applyAlignment="1" applyProtection="1">
      <alignment horizontal="right" vertical="center"/>
      <protection locked="0"/>
    </xf>
    <xf numFmtId="0" fontId="0" fillId="4" borderId="8" xfId="0" applyFill="1" applyBorder="1" applyAlignment="1" applyProtection="1">
      <alignment vertical="center"/>
      <protection locked="0"/>
    </xf>
    <xf numFmtId="0" fontId="0" fillId="4" borderId="0" xfId="0" applyFill="1" applyAlignment="1" applyProtection="1">
      <alignment vertical="center"/>
      <protection locked="0"/>
    </xf>
    <xf numFmtId="0" fontId="0" fillId="4" borderId="11" xfId="0" applyFill="1" applyBorder="1" applyAlignment="1" applyProtection="1">
      <alignment vertical="center"/>
      <protection locked="0"/>
    </xf>
    <xf numFmtId="0" fontId="1" fillId="4" borderId="8" xfId="0" applyFont="1" applyFill="1" applyBorder="1" applyAlignment="1" applyProtection="1">
      <alignment vertical="center" wrapText="1"/>
      <protection locked="0"/>
    </xf>
    <xf numFmtId="49" fontId="0" fillId="4" borderId="8" xfId="0" applyNumberFormat="1" applyFill="1" applyBorder="1" applyAlignment="1" applyProtection="1">
      <alignment vertical="center"/>
      <protection locked="0"/>
    </xf>
    <xf numFmtId="0" fontId="7" fillId="0" borderId="0" xfId="0" applyFont="1" applyAlignment="1" applyProtection="1">
      <alignment vertical="center"/>
      <protection locked="0"/>
    </xf>
    <xf numFmtId="0" fontId="30" fillId="4" borderId="8" xfId="3" applyFont="1" applyFill="1" applyBorder="1" applyAlignment="1" applyProtection="1">
      <alignment vertical="center"/>
      <protection locked="0"/>
    </xf>
    <xf numFmtId="0" fontId="23" fillId="4" borderId="0" xfId="0" applyFont="1" applyFill="1" applyAlignment="1" applyProtection="1">
      <alignment horizontal="right" vertical="center"/>
      <protection locked="0"/>
    </xf>
    <xf numFmtId="0" fontId="24" fillId="4" borderId="0" xfId="0" applyFont="1" applyFill="1" applyAlignment="1" applyProtection="1">
      <alignment vertical="center"/>
      <protection locked="0"/>
    </xf>
    <xf numFmtId="0" fontId="25" fillId="5" borderId="4" xfId="0" applyFont="1" applyFill="1" applyBorder="1" applyAlignment="1" applyProtection="1">
      <alignment horizontal="center" vertical="center"/>
      <protection locked="0"/>
    </xf>
    <xf numFmtId="0" fontId="0" fillId="4" borderId="12" xfId="0" applyFill="1" applyBorder="1" applyAlignment="1" applyProtection="1">
      <alignment vertical="center"/>
      <protection locked="0"/>
    </xf>
    <xf numFmtId="0" fontId="0" fillId="4" borderId="1" xfId="0" applyFill="1" applyBorder="1" applyAlignment="1" applyProtection="1">
      <alignment vertical="center"/>
      <protection locked="0"/>
    </xf>
    <xf numFmtId="0" fontId="0" fillId="4" borderId="13" xfId="0" applyFill="1" applyBorder="1" applyAlignment="1" applyProtection="1">
      <alignment vertical="center"/>
      <protection locked="0"/>
    </xf>
    <xf numFmtId="0" fontId="23" fillId="0" borderId="0" xfId="0" applyFont="1" applyAlignment="1" applyProtection="1">
      <alignment vertical="center"/>
      <protection locked="0"/>
    </xf>
    <xf numFmtId="0" fontId="1" fillId="0" borderId="1" xfId="0" applyFont="1" applyBorder="1" applyAlignment="1">
      <alignment horizontal="center" vertical="center"/>
    </xf>
    <xf numFmtId="164" fontId="1" fillId="0" borderId="1" xfId="0" applyNumberFormat="1" applyFont="1" applyBorder="1" applyAlignment="1">
      <alignment horizontal="center" vertical="center"/>
    </xf>
    <xf numFmtId="14" fontId="1" fillId="0" borderId="1" xfId="0" applyNumberFormat="1" applyFont="1" applyBorder="1" applyAlignment="1">
      <alignment vertical="center"/>
    </xf>
    <xf numFmtId="14" fontId="4" fillId="0" borderId="4" xfId="0" applyNumberFormat="1" applyFont="1" applyBorder="1" applyAlignment="1" applyProtection="1">
      <alignment horizontal="center" vertical="center"/>
      <protection locked="0"/>
    </xf>
    <xf numFmtId="0" fontId="12" fillId="0" borderId="4" xfId="0" applyFont="1" applyBorder="1" applyAlignment="1">
      <alignment horizontal="center"/>
    </xf>
    <xf numFmtId="0" fontId="0" fillId="0" borderId="5" xfId="0" applyBorder="1" applyAlignment="1">
      <alignment horizontal="center"/>
    </xf>
    <xf numFmtId="0" fontId="0" fillId="0" borderId="7" xfId="0" applyBorder="1" applyAlignment="1">
      <alignment horizontal="center"/>
    </xf>
    <xf numFmtId="0" fontId="21" fillId="0" borderId="2" xfId="0" applyFont="1" applyBorder="1" applyAlignment="1">
      <alignment horizontal="center" vertical="center"/>
    </xf>
    <xf numFmtId="0" fontId="0" fillId="0" borderId="0" xfId="0" applyAlignment="1" applyProtection="1">
      <alignment horizontal="left" vertical="center"/>
      <protection locked="0"/>
    </xf>
    <xf numFmtId="49" fontId="4" fillId="4" borderId="5" xfId="0" applyNumberFormat="1" applyFont="1" applyFill="1" applyBorder="1" applyAlignment="1" applyProtection="1">
      <alignment horizontal="center" vertical="center"/>
      <protection locked="0"/>
    </xf>
    <xf numFmtId="49" fontId="4" fillId="4" borderId="6" xfId="0" applyNumberFormat="1" applyFont="1" applyFill="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49" fontId="5" fillId="4" borderId="5" xfId="0" applyNumberFormat="1" applyFont="1" applyFill="1" applyBorder="1" applyAlignment="1" applyProtection="1">
      <alignment horizontal="center" vertical="center"/>
      <protection locked="0"/>
    </xf>
    <xf numFmtId="49" fontId="5" fillId="4" borderId="6"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4" fillId="0" borderId="4"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protection locked="0"/>
    </xf>
    <xf numFmtId="0" fontId="1" fillId="0" borderId="5" xfId="0" applyFont="1" applyBorder="1" applyAlignment="1">
      <alignment horizontal="center" vertical="center"/>
    </xf>
    <xf numFmtId="0" fontId="1" fillId="0" borderId="7" xfId="0" applyFont="1" applyBorder="1" applyAlignment="1">
      <alignment horizontal="center" vertical="center"/>
    </xf>
    <xf numFmtId="0" fontId="19" fillId="0" borderId="9" xfId="0" applyFont="1" applyBorder="1" applyAlignment="1">
      <alignment horizontal="center" vertical="center"/>
    </xf>
    <xf numFmtId="0" fontId="19" fillId="0" borderId="3" xfId="0" applyFont="1" applyBorder="1" applyAlignment="1">
      <alignment horizontal="center" vertical="center"/>
    </xf>
    <xf numFmtId="0" fontId="19" fillId="0" borderId="8" xfId="0" applyFont="1" applyBorder="1" applyAlignment="1">
      <alignment horizontal="center" vertical="center"/>
    </xf>
    <xf numFmtId="0" fontId="19" fillId="0" borderId="0" xfId="0" applyFont="1" applyAlignment="1">
      <alignment horizontal="center" vertical="center"/>
    </xf>
    <xf numFmtId="0" fontId="19" fillId="0" borderId="12" xfId="0" applyFont="1" applyBorder="1" applyAlignment="1">
      <alignment horizontal="center" vertical="center"/>
    </xf>
    <xf numFmtId="0" fontId="19" fillId="0" borderId="1" xfId="0" applyFont="1" applyBorder="1" applyAlignment="1">
      <alignment horizontal="center" vertical="center"/>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3" xfId="0" applyFont="1" applyBorder="1" applyAlignment="1">
      <alignment horizontal="center" vertical="center"/>
    </xf>
    <xf numFmtId="0" fontId="4" fillId="4" borderId="4" xfId="0" applyFont="1" applyFill="1" applyBorder="1" applyAlignment="1" applyProtection="1">
      <alignment horizontal="center" vertical="center"/>
      <protection locked="0"/>
    </xf>
    <xf numFmtId="0" fontId="4" fillId="5" borderId="4" xfId="0" applyFont="1" applyFill="1" applyBorder="1" applyAlignment="1">
      <alignment horizontal="center" vertical="center"/>
    </xf>
    <xf numFmtId="0" fontId="2" fillId="0" borderId="9"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2" fillId="0" borderId="4" xfId="0" applyFont="1" applyBorder="1" applyAlignment="1" applyProtection="1">
      <alignment horizontal="center"/>
      <protection locked="0"/>
    </xf>
    <xf numFmtId="0" fontId="18" fillId="0" borderId="9" xfId="0" applyFont="1" applyBorder="1" applyAlignment="1">
      <alignment horizontal="center" vertical="center"/>
    </xf>
    <xf numFmtId="0" fontId="18" fillId="0" borderId="3" xfId="0" applyFont="1" applyBorder="1" applyAlignment="1">
      <alignment horizontal="center" vertical="center"/>
    </xf>
    <xf numFmtId="0" fontId="18" fillId="0" borderId="10" xfId="0" applyFont="1" applyBorder="1" applyAlignment="1">
      <alignment horizontal="center" vertical="center"/>
    </xf>
    <xf numFmtId="0" fontId="18" fillId="0" borderId="8" xfId="0" applyFont="1" applyBorder="1" applyAlignment="1">
      <alignment horizontal="center" vertical="center"/>
    </xf>
    <xf numFmtId="0" fontId="18" fillId="0" borderId="0" xfId="0" applyFont="1" applyAlignment="1">
      <alignment horizontal="center" vertical="center"/>
    </xf>
    <xf numFmtId="0" fontId="18" fillId="0" borderId="11" xfId="0" applyFont="1" applyBorder="1" applyAlignment="1">
      <alignment horizontal="center" vertical="center"/>
    </xf>
    <xf numFmtId="0" fontId="18" fillId="0" borderId="12" xfId="0" applyFont="1" applyBorder="1" applyAlignment="1">
      <alignment horizontal="center" vertical="center"/>
    </xf>
    <xf numFmtId="0" fontId="18" fillId="0" borderId="1" xfId="0" applyFont="1" applyBorder="1" applyAlignment="1">
      <alignment horizontal="center" vertical="center"/>
    </xf>
    <xf numFmtId="0" fontId="18" fillId="0" borderId="13" xfId="0" applyFont="1" applyBorder="1" applyAlignment="1">
      <alignment horizontal="center" vertical="center"/>
    </xf>
    <xf numFmtId="0" fontId="17" fillId="0" borderId="4" xfId="1" applyFont="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0" fontId="4" fillId="4" borderId="5" xfId="0" applyFont="1" applyFill="1" applyBorder="1" applyAlignment="1" applyProtection="1">
      <alignment horizontal="center" vertical="center"/>
      <protection locked="0"/>
    </xf>
    <xf numFmtId="0" fontId="4" fillId="4" borderId="6"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1"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21" xfId="0" applyBorder="1" applyAlignment="1" applyProtection="1">
      <alignment horizontal="center" wrapText="1"/>
      <protection locked="0"/>
    </xf>
    <xf numFmtId="0" fontId="0" fillId="0" borderId="20" xfId="0" applyBorder="1" applyAlignment="1" applyProtection="1">
      <alignment horizontal="center"/>
      <protection locked="0"/>
    </xf>
    <xf numFmtId="0" fontId="0" fillId="0" borderId="14" xfId="0" applyBorder="1" applyAlignment="1" applyProtection="1">
      <alignment horizontal="center"/>
      <protection locked="0"/>
    </xf>
    <xf numFmtId="0" fontId="1" fillId="0" borderId="4" xfId="0" applyFont="1" applyBorder="1" applyAlignment="1">
      <alignment horizontal="center" vertical="center"/>
    </xf>
    <xf numFmtId="164" fontId="1" fillId="0" borderId="4" xfId="0" applyNumberFormat="1" applyFont="1" applyBorder="1" applyAlignment="1">
      <alignment horizontal="center" vertical="center"/>
    </xf>
    <xf numFmtId="14" fontId="1" fillId="0" borderId="4" xfId="0" applyNumberFormat="1" applyFont="1" applyBorder="1" applyAlignment="1">
      <alignment horizontal="center" vertical="center"/>
    </xf>
    <xf numFmtId="0" fontId="0" fillId="0" borderId="3" xfId="0" applyBorder="1" applyAlignment="1">
      <alignment horizontal="center"/>
    </xf>
    <xf numFmtId="0" fontId="0" fillId="0" borderId="10" xfId="0" applyBorder="1" applyAlignment="1">
      <alignment horizontal="center"/>
    </xf>
    <xf numFmtId="164" fontId="1" fillId="0" borderId="9" xfId="0" applyNumberFormat="1" applyFont="1" applyBorder="1" applyAlignment="1">
      <alignment horizontal="center" vertical="center"/>
    </xf>
    <xf numFmtId="164" fontId="1" fillId="0" borderId="10" xfId="0" applyNumberFormat="1" applyFont="1" applyBorder="1" applyAlignment="1">
      <alignment horizontal="center" vertical="center"/>
    </xf>
    <xf numFmtId="164" fontId="1" fillId="0" borderId="12" xfId="0" applyNumberFormat="1" applyFont="1" applyBorder="1" applyAlignment="1">
      <alignment horizontal="center" vertical="center"/>
    </xf>
    <xf numFmtId="164" fontId="1" fillId="0" borderId="13" xfId="0" applyNumberFormat="1" applyFont="1" applyBorder="1" applyAlignment="1">
      <alignment horizontal="center" vertical="center"/>
    </xf>
    <xf numFmtId="0" fontId="0" fillId="0" borderId="7" xfId="0" applyBorder="1" applyAlignment="1">
      <alignment horizontal="center"/>
    </xf>
    <xf numFmtId="0" fontId="0" fillId="0" borderId="6" xfId="0" applyBorder="1" applyAlignment="1">
      <alignment horizontal="center"/>
    </xf>
    <xf numFmtId="0" fontId="0" fillId="0" borderId="4" xfId="0" applyBorder="1" applyAlignment="1" applyProtection="1">
      <alignment horizontal="center"/>
      <protection locked="0"/>
    </xf>
    <xf numFmtId="0" fontId="0" fillId="0" borderId="0" xfId="0" applyAlignment="1" applyProtection="1">
      <alignment horizontal="center" vertical="center" textRotation="90"/>
      <protection locked="0"/>
    </xf>
    <xf numFmtId="0" fontId="21" fillId="0" borderId="9" xfId="0" applyFont="1" applyBorder="1" applyAlignment="1" applyProtection="1">
      <alignment horizontal="center" vertical="center"/>
      <protection locked="0"/>
    </xf>
    <xf numFmtId="0" fontId="21" fillId="0" borderId="3" xfId="0" applyFont="1" applyBorder="1" applyAlignment="1" applyProtection="1">
      <alignment horizontal="center" vertical="center"/>
      <protection locked="0"/>
    </xf>
    <xf numFmtId="0" fontId="21" fillId="0" borderId="10" xfId="0" applyFont="1" applyBorder="1" applyAlignment="1" applyProtection="1">
      <alignment horizontal="center" vertical="center"/>
      <protection locked="0"/>
    </xf>
    <xf numFmtId="0" fontId="23" fillId="0" borderId="9" xfId="0" applyFont="1" applyBorder="1" applyAlignment="1" applyProtection="1">
      <alignment horizontal="center" vertical="center"/>
      <protection locked="0"/>
    </xf>
    <xf numFmtId="0" fontId="23" fillId="0" borderId="3" xfId="0" applyFont="1" applyBorder="1" applyAlignment="1" applyProtection="1">
      <alignment horizontal="center" vertical="center"/>
      <protection locked="0"/>
    </xf>
    <xf numFmtId="0" fontId="23" fillId="0" borderId="10" xfId="0" applyFont="1" applyBorder="1" applyAlignment="1" applyProtection="1">
      <alignment horizontal="center" vertical="center"/>
      <protection locked="0"/>
    </xf>
    <xf numFmtId="0" fontId="23" fillId="0" borderId="8" xfId="0" applyFont="1" applyBorder="1" applyAlignment="1" applyProtection="1">
      <alignment horizontal="center" vertical="center"/>
      <protection locked="0"/>
    </xf>
    <xf numFmtId="0" fontId="23" fillId="0" borderId="0" xfId="0" applyFont="1" applyAlignment="1" applyProtection="1">
      <alignment horizontal="center" vertical="center"/>
      <protection locked="0"/>
    </xf>
    <xf numFmtId="0" fontId="23" fillId="0" borderId="11" xfId="0" applyFont="1" applyBorder="1" applyAlignment="1" applyProtection="1">
      <alignment horizontal="center" vertical="center"/>
      <protection locked="0"/>
    </xf>
    <xf numFmtId="0" fontId="1" fillId="0" borderId="13" xfId="0" applyFont="1" applyBorder="1" applyAlignment="1">
      <alignment horizontal="center" vertical="center"/>
    </xf>
    <xf numFmtId="0" fontId="1" fillId="0" borderId="6" xfId="0" applyFont="1" applyBorder="1" applyAlignment="1">
      <alignment horizontal="center" vertical="center"/>
    </xf>
    <xf numFmtId="0" fontId="1" fillId="0" borderId="14" xfId="0" applyFont="1" applyBorder="1" applyAlignment="1">
      <alignment horizontal="center" vertical="center"/>
    </xf>
    <xf numFmtId="14" fontId="1" fillId="0" borderId="14" xfId="0" applyNumberFormat="1" applyFont="1" applyBorder="1" applyAlignment="1">
      <alignment horizontal="center" vertical="center"/>
    </xf>
    <xf numFmtId="0" fontId="2" fillId="0" borderId="9" xfId="0" applyFont="1" applyBorder="1" applyAlignment="1" applyProtection="1">
      <alignment horizontal="center"/>
      <protection locked="0"/>
    </xf>
    <xf numFmtId="0" fontId="2" fillId="0" borderId="3" xfId="0" applyFont="1" applyBorder="1" applyAlignment="1" applyProtection="1">
      <alignment horizontal="center"/>
      <protection locked="0"/>
    </xf>
    <xf numFmtId="0" fontId="2" fillId="0" borderId="10"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0" xfId="0" applyFont="1" applyAlignment="1" applyProtection="1">
      <alignment horizontal="center"/>
      <protection locked="0"/>
    </xf>
    <xf numFmtId="0" fontId="2" fillId="0" borderId="11" xfId="0" applyFont="1" applyBorder="1" applyAlignment="1" applyProtection="1">
      <alignment horizontal="center"/>
      <protection locked="0"/>
    </xf>
    <xf numFmtId="0" fontId="2" fillId="0" borderId="12" xfId="0" applyFont="1" applyBorder="1" applyAlignment="1" applyProtection="1">
      <alignment horizontal="center"/>
      <protection locked="0"/>
    </xf>
    <xf numFmtId="0" fontId="2" fillId="0" borderId="1" xfId="0" applyFont="1" applyBorder="1" applyAlignment="1" applyProtection="1">
      <alignment horizontal="center"/>
      <protection locked="0"/>
    </xf>
    <xf numFmtId="0" fontId="2" fillId="0" borderId="13" xfId="0" applyFont="1" applyBorder="1" applyAlignment="1" applyProtection="1">
      <alignment horizontal="center"/>
      <protection locked="0"/>
    </xf>
    <xf numFmtId="164" fontId="1" fillId="0" borderId="20" xfId="0" applyNumberFormat="1" applyFont="1" applyBorder="1" applyAlignment="1">
      <alignment horizontal="center" vertical="center"/>
    </xf>
    <xf numFmtId="164" fontId="1" fillId="0" borderId="14" xfId="0" applyNumberFormat="1" applyFont="1" applyBorder="1" applyAlignment="1">
      <alignment horizontal="center" vertical="center"/>
    </xf>
    <xf numFmtId="0" fontId="27" fillId="3" borderId="4" xfId="0" applyFont="1" applyFill="1" applyBorder="1" applyAlignment="1" applyProtection="1">
      <alignment horizontal="center" vertical="center"/>
      <protection locked="0"/>
    </xf>
    <xf numFmtId="0" fontId="26" fillId="0" borderId="8" xfId="0" applyFont="1" applyBorder="1" applyAlignment="1" applyProtection="1">
      <alignment horizontal="left" vertical="center"/>
      <protection locked="0"/>
    </xf>
    <xf numFmtId="0" fontId="26" fillId="0" borderId="0" xfId="0" applyFont="1" applyAlignment="1" applyProtection="1">
      <alignment horizontal="left" vertical="center"/>
      <protection locked="0"/>
    </xf>
    <xf numFmtId="0" fontId="22" fillId="0" borderId="0" xfId="0" applyFont="1" applyAlignment="1" applyProtection="1">
      <alignment horizontal="center" vertical="center"/>
      <protection locked="0"/>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3" fillId="4" borderId="9" xfId="0" applyFont="1" applyFill="1" applyBorder="1" applyAlignment="1" applyProtection="1">
      <alignment horizontal="center" vertical="center" wrapText="1"/>
      <protection locked="0"/>
    </xf>
    <xf numFmtId="0" fontId="23" fillId="4" borderId="10" xfId="0" applyFont="1" applyFill="1" applyBorder="1" applyAlignment="1" applyProtection="1">
      <alignment horizontal="center" vertical="center" wrapText="1"/>
      <protection locked="0"/>
    </xf>
    <xf numFmtId="0" fontId="23" fillId="4" borderId="8" xfId="0" applyFont="1" applyFill="1" applyBorder="1" applyAlignment="1" applyProtection="1">
      <alignment horizontal="center" vertical="center" wrapText="1"/>
      <protection locked="0"/>
    </xf>
    <xf numFmtId="0" fontId="23" fillId="4" borderId="11" xfId="0" applyFont="1" applyFill="1" applyBorder="1" applyAlignment="1" applyProtection="1">
      <alignment horizontal="center" vertical="center" wrapText="1"/>
      <protection locked="0"/>
    </xf>
    <xf numFmtId="0" fontId="23" fillId="4" borderId="12" xfId="0" applyFont="1" applyFill="1" applyBorder="1" applyAlignment="1" applyProtection="1">
      <alignment horizontal="center" vertical="center" wrapText="1"/>
      <protection locked="0"/>
    </xf>
    <xf numFmtId="0" fontId="23" fillId="4" borderId="13" xfId="0" applyFont="1" applyFill="1" applyBorder="1" applyAlignment="1" applyProtection="1">
      <alignment horizontal="center" vertical="center" wrapText="1"/>
      <protection locked="0"/>
    </xf>
    <xf numFmtId="0" fontId="25" fillId="5" borderId="5" xfId="0" applyFont="1" applyFill="1" applyBorder="1" applyAlignment="1" applyProtection="1">
      <alignment horizontal="center" vertical="center"/>
      <protection locked="0"/>
    </xf>
    <xf numFmtId="0" fontId="25" fillId="5" borderId="7" xfId="0" applyFont="1" applyFill="1" applyBorder="1" applyAlignment="1" applyProtection="1">
      <alignment horizontal="center" vertical="center"/>
      <protection locked="0"/>
    </xf>
    <xf numFmtId="0" fontId="25" fillId="5" borderId="6" xfId="0" applyFont="1" applyFill="1" applyBorder="1" applyAlignment="1" applyProtection="1">
      <alignment horizontal="center" vertical="center"/>
      <protection locked="0"/>
    </xf>
    <xf numFmtId="0" fontId="0" fillId="4" borderId="9" xfId="0" applyFill="1" applyBorder="1" applyAlignment="1" applyProtection="1">
      <alignment horizontal="center" vertical="center"/>
      <protection locked="0"/>
    </xf>
    <xf numFmtId="0" fontId="0" fillId="4" borderId="10" xfId="0" applyFill="1" applyBorder="1" applyAlignment="1" applyProtection="1">
      <alignment horizontal="center" vertical="center"/>
      <protection locked="0"/>
    </xf>
    <xf numFmtId="0" fontId="0" fillId="4" borderId="8" xfId="0" applyFill="1" applyBorder="1" applyAlignment="1" applyProtection="1">
      <alignment horizontal="center" vertical="center"/>
      <protection locked="0"/>
    </xf>
    <xf numFmtId="0" fontId="0" fillId="4" borderId="11"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0" fontId="0" fillId="4" borderId="13" xfId="0" applyFill="1" applyBorder="1" applyAlignment="1" applyProtection="1">
      <alignment horizontal="center" vertical="center"/>
      <protection locked="0"/>
    </xf>
    <xf numFmtId="0" fontId="30" fillId="4" borderId="3" xfId="3" applyFont="1" applyFill="1" applyBorder="1" applyAlignment="1" applyProtection="1">
      <alignment horizontal="left" vertical="center" wrapText="1"/>
      <protection locked="0"/>
    </xf>
    <xf numFmtId="0" fontId="30" fillId="4" borderId="3" xfId="3" applyFont="1" applyFill="1" applyBorder="1" applyAlignment="1" applyProtection="1">
      <alignment horizontal="left" vertical="center"/>
      <protection locked="0"/>
    </xf>
    <xf numFmtId="0" fontId="30" fillId="4" borderId="0" xfId="3" applyFont="1" applyFill="1" applyBorder="1" applyAlignment="1" applyProtection="1">
      <alignment horizontal="left" vertical="center"/>
      <protection locked="0"/>
    </xf>
    <xf numFmtId="0" fontId="0" fillId="4" borderId="0" xfId="0" applyFill="1" applyAlignment="1">
      <alignment horizontal="center" vertical="center"/>
    </xf>
    <xf numFmtId="0" fontId="0" fillId="6"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right" vertical="center" textRotation="90"/>
    </xf>
    <xf numFmtId="0" fontId="0" fillId="0" borderId="0" xfId="0" applyAlignment="1" applyProtection="1">
      <alignment horizontal="left"/>
      <protection locked="0"/>
    </xf>
  </cellXfs>
  <cellStyles count="4">
    <cellStyle name="Collegamento ipertestuale" xfId="3" builtinId="8"/>
    <cellStyle name="Normale" xfId="0" builtinId="0"/>
    <cellStyle name="Normale 2" xfId="2" xr:uid="{BF6A35B4-3060-4FCF-B32A-553A035C9173}"/>
    <cellStyle name="Sezione" xfId="1" xr:uid="{00000000-0005-0000-0000-000002000000}"/>
  </cellStyles>
  <dxfs count="44">
    <dxf>
      <font>
        <color theme="0" tint="-0.14996795556505021"/>
      </font>
    </dxf>
    <dxf>
      <fill>
        <patternFill>
          <bgColor theme="1"/>
        </patternFill>
      </fill>
    </dxf>
    <dxf>
      <fill>
        <patternFill>
          <bgColor theme="1"/>
        </patternFill>
      </fill>
    </dxf>
    <dxf>
      <fill>
        <patternFill>
          <bgColor theme="1"/>
        </patternFill>
      </fill>
    </dxf>
    <dxf>
      <fill>
        <patternFill>
          <bgColor theme="9" tint="-9.9948118533890809E-2"/>
        </patternFill>
      </fill>
    </dxf>
    <dxf>
      <fill>
        <patternFill>
          <bgColor theme="8" tint="-9.9948118533890809E-2"/>
        </patternFill>
      </fill>
    </dxf>
    <dxf>
      <fill>
        <patternFill>
          <bgColor theme="7" tint="-9.9948118533890809E-2"/>
        </patternFill>
      </fill>
    </dxf>
    <dxf>
      <fill>
        <patternFill>
          <bgColor theme="6" tint="-9.9948118533890809E-2"/>
        </patternFill>
      </fill>
    </dxf>
    <dxf>
      <fill>
        <patternFill>
          <bgColor theme="5" tint="-9.9948118533890809E-2"/>
        </patternFill>
      </fill>
    </dxf>
    <dxf>
      <fill>
        <patternFill>
          <bgColor theme="4" tint="-9.9948118533890809E-2"/>
        </patternFill>
      </fill>
    </dxf>
    <dxf>
      <fill>
        <patternFill>
          <bgColor theme="3" tint="0.79998168889431442"/>
        </patternFill>
      </fill>
    </dxf>
    <dxf>
      <fill>
        <patternFill>
          <bgColor theme="2" tint="-9.9948118533890809E-2"/>
        </patternFill>
      </fill>
    </dxf>
    <dxf>
      <fill>
        <patternFill>
          <bgColor theme="1" tint="0.499984740745262"/>
        </patternFill>
      </fill>
    </dxf>
    <dxf>
      <fill>
        <patternFill>
          <bgColor rgb="FFF57979"/>
        </patternFill>
      </fill>
    </dxf>
    <dxf>
      <fill>
        <patternFill>
          <bgColor theme="9" tint="-9.9948118533890809E-2"/>
        </patternFill>
      </fill>
    </dxf>
    <dxf>
      <fill>
        <patternFill>
          <bgColor theme="8" tint="-9.9948118533890809E-2"/>
        </patternFill>
      </fill>
    </dxf>
    <dxf>
      <fill>
        <patternFill>
          <bgColor theme="7" tint="-9.9948118533890809E-2"/>
        </patternFill>
      </fill>
    </dxf>
    <dxf>
      <fill>
        <patternFill>
          <bgColor theme="6" tint="-9.9948118533890809E-2"/>
        </patternFill>
      </fill>
    </dxf>
    <dxf>
      <fill>
        <patternFill>
          <bgColor theme="5" tint="-9.9948118533890809E-2"/>
        </patternFill>
      </fill>
    </dxf>
    <dxf>
      <fill>
        <patternFill>
          <bgColor theme="4" tint="-9.9948118533890809E-2"/>
        </patternFill>
      </fill>
    </dxf>
    <dxf>
      <fill>
        <patternFill>
          <bgColor theme="3" tint="0.79998168889431442"/>
        </patternFill>
      </fill>
    </dxf>
    <dxf>
      <fill>
        <patternFill>
          <bgColor theme="2" tint="-9.9948118533890809E-2"/>
        </patternFill>
      </fill>
    </dxf>
    <dxf>
      <fill>
        <patternFill>
          <bgColor theme="1" tint="0.499984740745262"/>
        </patternFill>
      </fill>
    </dxf>
    <dxf>
      <fill>
        <patternFill>
          <bgColor rgb="FFF57979"/>
        </patternFill>
      </fill>
    </dxf>
    <dxf>
      <fill>
        <patternFill>
          <bgColor theme="9" tint="-9.9948118533890809E-2"/>
        </patternFill>
      </fill>
    </dxf>
    <dxf>
      <fill>
        <patternFill>
          <bgColor theme="8" tint="-9.9948118533890809E-2"/>
        </patternFill>
      </fill>
    </dxf>
    <dxf>
      <fill>
        <patternFill>
          <bgColor theme="7" tint="-9.9948118533890809E-2"/>
        </patternFill>
      </fill>
    </dxf>
    <dxf>
      <fill>
        <patternFill>
          <bgColor theme="6" tint="-9.9948118533890809E-2"/>
        </patternFill>
      </fill>
    </dxf>
    <dxf>
      <fill>
        <patternFill>
          <bgColor theme="5" tint="-9.9948118533890809E-2"/>
        </patternFill>
      </fill>
    </dxf>
    <dxf>
      <fill>
        <patternFill>
          <bgColor theme="4" tint="-9.9948118533890809E-2"/>
        </patternFill>
      </fill>
    </dxf>
    <dxf>
      <fill>
        <patternFill>
          <bgColor theme="3" tint="0.79998168889431442"/>
        </patternFill>
      </fill>
    </dxf>
    <dxf>
      <fill>
        <patternFill>
          <bgColor theme="2" tint="-9.9948118533890809E-2"/>
        </patternFill>
      </fill>
    </dxf>
    <dxf>
      <fill>
        <patternFill>
          <bgColor theme="1" tint="0.499984740745262"/>
        </patternFill>
      </fill>
    </dxf>
    <dxf>
      <fill>
        <patternFill>
          <bgColor rgb="FFF57979"/>
        </patternFill>
      </fill>
    </dxf>
    <dxf>
      <fill>
        <patternFill>
          <bgColor theme="9" tint="-9.9948118533890809E-2"/>
        </patternFill>
      </fill>
    </dxf>
    <dxf>
      <fill>
        <patternFill>
          <bgColor theme="8" tint="-9.9948118533890809E-2"/>
        </patternFill>
      </fill>
    </dxf>
    <dxf>
      <fill>
        <patternFill>
          <bgColor theme="7" tint="-9.9948118533890809E-2"/>
        </patternFill>
      </fill>
    </dxf>
    <dxf>
      <fill>
        <patternFill>
          <bgColor theme="6" tint="-9.9948118533890809E-2"/>
        </patternFill>
      </fill>
    </dxf>
    <dxf>
      <fill>
        <patternFill>
          <bgColor theme="5" tint="-9.9948118533890809E-2"/>
        </patternFill>
      </fill>
    </dxf>
    <dxf>
      <fill>
        <patternFill>
          <bgColor theme="4" tint="-9.9948118533890809E-2"/>
        </patternFill>
      </fill>
    </dxf>
    <dxf>
      <fill>
        <patternFill>
          <bgColor theme="3" tint="0.79998168889431442"/>
        </patternFill>
      </fill>
    </dxf>
    <dxf>
      <fill>
        <patternFill>
          <bgColor theme="2" tint="-9.9948118533890809E-2"/>
        </patternFill>
      </fill>
    </dxf>
    <dxf>
      <fill>
        <patternFill>
          <bgColor theme="1" tint="0.499984740745262"/>
        </patternFill>
      </fill>
    </dxf>
    <dxf>
      <fill>
        <patternFill>
          <bgColor rgb="FFF57979"/>
        </patternFill>
      </fill>
    </dxf>
  </dxfs>
  <tableStyles count="0" defaultTableStyle="TableStyleMedium2" defaultPivotStyle="PivotStyleLight16"/>
  <colors>
    <mruColors>
      <color rgb="FFF5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24" Type="http://schemas.microsoft.com/office/2006/relationships/vbaProject" Target="vbaProject.bin"/><Relationship Id="rId5" Type="http://schemas.openxmlformats.org/officeDocument/2006/relationships/worksheet" Target="worksheets/sheet5.xml"/><Relationship Id="rId15" Type="http://schemas.microsoft.com/office/2022/10/relationships/richValueRel" Target="richData/richValueRel.xml"/><Relationship Id="rId23" Type="http://schemas.openxmlformats.org/officeDocument/2006/relationships/customXml" Target="../customXml/item4.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17" Type="http://schemas.openxmlformats.org/officeDocument/2006/relationships/image" Target="../media/image118.jpg"/><Relationship Id="rId21" Type="http://schemas.openxmlformats.org/officeDocument/2006/relationships/image" Target="../media/image22.jpg"/><Relationship Id="rId42" Type="http://schemas.openxmlformats.org/officeDocument/2006/relationships/image" Target="../media/image43.jpg"/><Relationship Id="rId47" Type="http://schemas.openxmlformats.org/officeDocument/2006/relationships/image" Target="../media/image48.jpg"/><Relationship Id="rId63" Type="http://schemas.openxmlformats.org/officeDocument/2006/relationships/image" Target="../media/image64.jpg"/><Relationship Id="rId68" Type="http://schemas.openxmlformats.org/officeDocument/2006/relationships/image" Target="../media/image69.jpg"/><Relationship Id="rId84" Type="http://schemas.openxmlformats.org/officeDocument/2006/relationships/image" Target="../media/image85.jpg"/><Relationship Id="rId89" Type="http://schemas.openxmlformats.org/officeDocument/2006/relationships/image" Target="../media/image90.jpg"/><Relationship Id="rId112" Type="http://schemas.openxmlformats.org/officeDocument/2006/relationships/image" Target="../media/image113.jpg"/><Relationship Id="rId16" Type="http://schemas.openxmlformats.org/officeDocument/2006/relationships/image" Target="../media/image17.jpg"/><Relationship Id="rId107" Type="http://schemas.openxmlformats.org/officeDocument/2006/relationships/image" Target="../media/image108.jpg"/><Relationship Id="rId11" Type="http://schemas.openxmlformats.org/officeDocument/2006/relationships/image" Target="../media/image12.jpg"/><Relationship Id="rId32" Type="http://schemas.openxmlformats.org/officeDocument/2006/relationships/image" Target="../media/image33.jpg"/><Relationship Id="rId37" Type="http://schemas.openxmlformats.org/officeDocument/2006/relationships/image" Target="../media/image38.jpg"/><Relationship Id="rId53" Type="http://schemas.openxmlformats.org/officeDocument/2006/relationships/image" Target="../media/image54.jpg"/><Relationship Id="rId58" Type="http://schemas.openxmlformats.org/officeDocument/2006/relationships/image" Target="../media/image59.jpg"/><Relationship Id="rId74" Type="http://schemas.openxmlformats.org/officeDocument/2006/relationships/image" Target="../media/image75.jpg"/><Relationship Id="rId79" Type="http://schemas.openxmlformats.org/officeDocument/2006/relationships/image" Target="../media/image80.jpg"/><Relationship Id="rId102" Type="http://schemas.openxmlformats.org/officeDocument/2006/relationships/image" Target="../media/image103.jpg"/><Relationship Id="rId123" Type="http://schemas.openxmlformats.org/officeDocument/2006/relationships/image" Target="../media/image124.jpg"/><Relationship Id="rId128" Type="http://schemas.openxmlformats.org/officeDocument/2006/relationships/image" Target="../media/image129.jpg"/><Relationship Id="rId5" Type="http://schemas.openxmlformats.org/officeDocument/2006/relationships/image" Target="../media/image6.jpg"/><Relationship Id="rId90" Type="http://schemas.openxmlformats.org/officeDocument/2006/relationships/image" Target="../media/image91.jpg"/><Relationship Id="rId95" Type="http://schemas.openxmlformats.org/officeDocument/2006/relationships/image" Target="../media/image96.jpg"/><Relationship Id="rId22" Type="http://schemas.openxmlformats.org/officeDocument/2006/relationships/image" Target="../media/image23.jpg"/><Relationship Id="rId27" Type="http://schemas.openxmlformats.org/officeDocument/2006/relationships/image" Target="../media/image28.jpg"/><Relationship Id="rId43" Type="http://schemas.openxmlformats.org/officeDocument/2006/relationships/image" Target="../media/image44.jpg"/><Relationship Id="rId48" Type="http://schemas.openxmlformats.org/officeDocument/2006/relationships/image" Target="../media/image49.jpg"/><Relationship Id="rId64" Type="http://schemas.openxmlformats.org/officeDocument/2006/relationships/image" Target="../media/image65.jpg"/><Relationship Id="rId69" Type="http://schemas.openxmlformats.org/officeDocument/2006/relationships/image" Target="../media/image70.jpg"/><Relationship Id="rId113" Type="http://schemas.openxmlformats.org/officeDocument/2006/relationships/image" Target="../media/image114.jpg"/><Relationship Id="rId118" Type="http://schemas.openxmlformats.org/officeDocument/2006/relationships/image" Target="../media/image119.jpg"/><Relationship Id="rId80" Type="http://schemas.openxmlformats.org/officeDocument/2006/relationships/image" Target="../media/image81.jpg"/><Relationship Id="rId85" Type="http://schemas.openxmlformats.org/officeDocument/2006/relationships/image" Target="../media/image86.jpg"/><Relationship Id="rId12" Type="http://schemas.openxmlformats.org/officeDocument/2006/relationships/image" Target="../media/image13.jpg"/><Relationship Id="rId17" Type="http://schemas.openxmlformats.org/officeDocument/2006/relationships/image" Target="../media/image18.jpg"/><Relationship Id="rId33" Type="http://schemas.openxmlformats.org/officeDocument/2006/relationships/image" Target="../media/image34.jpg"/><Relationship Id="rId38" Type="http://schemas.openxmlformats.org/officeDocument/2006/relationships/image" Target="../media/image39.jpg"/><Relationship Id="rId59" Type="http://schemas.openxmlformats.org/officeDocument/2006/relationships/image" Target="../media/image60.jpg"/><Relationship Id="rId103" Type="http://schemas.openxmlformats.org/officeDocument/2006/relationships/image" Target="../media/image104.jpg"/><Relationship Id="rId108" Type="http://schemas.openxmlformats.org/officeDocument/2006/relationships/image" Target="../media/image109.jpg"/><Relationship Id="rId124" Type="http://schemas.openxmlformats.org/officeDocument/2006/relationships/image" Target="../media/image125.jpg"/><Relationship Id="rId129" Type="http://schemas.openxmlformats.org/officeDocument/2006/relationships/image" Target="../media/image130.jpg"/><Relationship Id="rId54" Type="http://schemas.openxmlformats.org/officeDocument/2006/relationships/image" Target="../media/image55.jpg"/><Relationship Id="rId70" Type="http://schemas.openxmlformats.org/officeDocument/2006/relationships/image" Target="../media/image71.jpg"/><Relationship Id="rId75" Type="http://schemas.openxmlformats.org/officeDocument/2006/relationships/image" Target="../media/image76.jpg"/><Relationship Id="rId91" Type="http://schemas.openxmlformats.org/officeDocument/2006/relationships/image" Target="../media/image92.jpg"/><Relationship Id="rId96" Type="http://schemas.openxmlformats.org/officeDocument/2006/relationships/image" Target="../media/image97.jpg"/><Relationship Id="rId1" Type="http://schemas.openxmlformats.org/officeDocument/2006/relationships/image" Target="../media/image2.png"/><Relationship Id="rId6" Type="http://schemas.openxmlformats.org/officeDocument/2006/relationships/image" Target="../media/image7.jpg"/><Relationship Id="rId23" Type="http://schemas.openxmlformats.org/officeDocument/2006/relationships/image" Target="../media/image24.jpg"/><Relationship Id="rId28" Type="http://schemas.openxmlformats.org/officeDocument/2006/relationships/image" Target="../media/image29.jpg"/><Relationship Id="rId49" Type="http://schemas.openxmlformats.org/officeDocument/2006/relationships/image" Target="../media/image50.jpg"/><Relationship Id="rId114" Type="http://schemas.openxmlformats.org/officeDocument/2006/relationships/image" Target="../media/image115.jpg"/><Relationship Id="rId119" Type="http://schemas.openxmlformats.org/officeDocument/2006/relationships/image" Target="../media/image120.jpg"/><Relationship Id="rId44" Type="http://schemas.openxmlformats.org/officeDocument/2006/relationships/image" Target="../media/image45.jpg"/><Relationship Id="rId60" Type="http://schemas.openxmlformats.org/officeDocument/2006/relationships/image" Target="../media/image61.jpg"/><Relationship Id="rId65" Type="http://schemas.openxmlformats.org/officeDocument/2006/relationships/image" Target="../media/image66.jpg"/><Relationship Id="rId81" Type="http://schemas.openxmlformats.org/officeDocument/2006/relationships/image" Target="../media/image82.jpg"/><Relationship Id="rId86" Type="http://schemas.openxmlformats.org/officeDocument/2006/relationships/image" Target="../media/image87.jpg"/><Relationship Id="rId130" Type="http://schemas.openxmlformats.org/officeDocument/2006/relationships/image" Target="../media/image131.jpg"/><Relationship Id="rId13" Type="http://schemas.openxmlformats.org/officeDocument/2006/relationships/image" Target="../media/image14.jpg"/><Relationship Id="rId18" Type="http://schemas.openxmlformats.org/officeDocument/2006/relationships/image" Target="../media/image19.jpg"/><Relationship Id="rId39" Type="http://schemas.openxmlformats.org/officeDocument/2006/relationships/image" Target="../media/image40.jpg"/><Relationship Id="rId109" Type="http://schemas.openxmlformats.org/officeDocument/2006/relationships/image" Target="../media/image110.jpg"/><Relationship Id="rId34" Type="http://schemas.openxmlformats.org/officeDocument/2006/relationships/image" Target="../media/image35.jpg"/><Relationship Id="rId50" Type="http://schemas.openxmlformats.org/officeDocument/2006/relationships/image" Target="../media/image51.jpg"/><Relationship Id="rId55" Type="http://schemas.openxmlformats.org/officeDocument/2006/relationships/image" Target="../media/image56.jpg"/><Relationship Id="rId76" Type="http://schemas.openxmlformats.org/officeDocument/2006/relationships/image" Target="../media/image77.jpg"/><Relationship Id="rId97" Type="http://schemas.openxmlformats.org/officeDocument/2006/relationships/image" Target="../media/image98.jpg"/><Relationship Id="rId104" Type="http://schemas.openxmlformats.org/officeDocument/2006/relationships/image" Target="../media/image105.jpg"/><Relationship Id="rId120" Type="http://schemas.openxmlformats.org/officeDocument/2006/relationships/image" Target="../media/image121.jpg"/><Relationship Id="rId125" Type="http://schemas.openxmlformats.org/officeDocument/2006/relationships/image" Target="../media/image126.jpg"/><Relationship Id="rId7" Type="http://schemas.openxmlformats.org/officeDocument/2006/relationships/image" Target="../media/image8.jpg"/><Relationship Id="rId71" Type="http://schemas.openxmlformats.org/officeDocument/2006/relationships/image" Target="../media/image72.jpg"/><Relationship Id="rId92" Type="http://schemas.openxmlformats.org/officeDocument/2006/relationships/image" Target="../media/image93.jpg"/><Relationship Id="rId2" Type="http://schemas.openxmlformats.org/officeDocument/2006/relationships/image" Target="../media/image3.jpg"/><Relationship Id="rId29" Type="http://schemas.openxmlformats.org/officeDocument/2006/relationships/image" Target="../media/image30.jpg"/><Relationship Id="rId24" Type="http://schemas.openxmlformats.org/officeDocument/2006/relationships/image" Target="../media/image25.jpg"/><Relationship Id="rId40" Type="http://schemas.openxmlformats.org/officeDocument/2006/relationships/image" Target="../media/image41.jpg"/><Relationship Id="rId45" Type="http://schemas.openxmlformats.org/officeDocument/2006/relationships/image" Target="../media/image46.jpg"/><Relationship Id="rId66" Type="http://schemas.openxmlformats.org/officeDocument/2006/relationships/image" Target="../media/image67.jpg"/><Relationship Id="rId87" Type="http://schemas.openxmlformats.org/officeDocument/2006/relationships/image" Target="../media/image88.jpg"/><Relationship Id="rId110" Type="http://schemas.openxmlformats.org/officeDocument/2006/relationships/image" Target="../media/image111.jpg"/><Relationship Id="rId115" Type="http://schemas.openxmlformats.org/officeDocument/2006/relationships/image" Target="../media/image116.jpg"/><Relationship Id="rId131" Type="http://schemas.openxmlformats.org/officeDocument/2006/relationships/image" Target="../media/image132.jpg"/><Relationship Id="rId61" Type="http://schemas.openxmlformats.org/officeDocument/2006/relationships/image" Target="../media/image62.jpg"/><Relationship Id="rId82" Type="http://schemas.openxmlformats.org/officeDocument/2006/relationships/image" Target="../media/image83.jpg"/><Relationship Id="rId19" Type="http://schemas.openxmlformats.org/officeDocument/2006/relationships/image" Target="../media/image20.jpg"/><Relationship Id="rId14" Type="http://schemas.openxmlformats.org/officeDocument/2006/relationships/image" Target="../media/image15.jpg"/><Relationship Id="rId30" Type="http://schemas.openxmlformats.org/officeDocument/2006/relationships/image" Target="../media/image31.jpg"/><Relationship Id="rId35" Type="http://schemas.openxmlformats.org/officeDocument/2006/relationships/image" Target="../media/image36.jpg"/><Relationship Id="rId56" Type="http://schemas.openxmlformats.org/officeDocument/2006/relationships/image" Target="../media/image57.jpg"/><Relationship Id="rId77" Type="http://schemas.openxmlformats.org/officeDocument/2006/relationships/image" Target="../media/image78.jpg"/><Relationship Id="rId100" Type="http://schemas.openxmlformats.org/officeDocument/2006/relationships/image" Target="../media/image101.jpg"/><Relationship Id="rId105" Type="http://schemas.openxmlformats.org/officeDocument/2006/relationships/image" Target="../media/image106.jpg"/><Relationship Id="rId126" Type="http://schemas.openxmlformats.org/officeDocument/2006/relationships/image" Target="../media/image127.jpg"/><Relationship Id="rId8" Type="http://schemas.openxmlformats.org/officeDocument/2006/relationships/image" Target="../media/image9.jpg"/><Relationship Id="rId51" Type="http://schemas.openxmlformats.org/officeDocument/2006/relationships/image" Target="../media/image52.jpg"/><Relationship Id="rId72" Type="http://schemas.openxmlformats.org/officeDocument/2006/relationships/image" Target="../media/image73.jpg"/><Relationship Id="rId93" Type="http://schemas.openxmlformats.org/officeDocument/2006/relationships/image" Target="../media/image94.jpg"/><Relationship Id="rId98" Type="http://schemas.openxmlformats.org/officeDocument/2006/relationships/image" Target="../media/image99.jpg"/><Relationship Id="rId121" Type="http://schemas.openxmlformats.org/officeDocument/2006/relationships/image" Target="../media/image122.jpg"/><Relationship Id="rId3" Type="http://schemas.openxmlformats.org/officeDocument/2006/relationships/image" Target="../media/image4.jpg"/><Relationship Id="rId25" Type="http://schemas.openxmlformats.org/officeDocument/2006/relationships/image" Target="../media/image26.jpg"/><Relationship Id="rId46" Type="http://schemas.openxmlformats.org/officeDocument/2006/relationships/image" Target="../media/image47.jpg"/><Relationship Id="rId67" Type="http://schemas.openxmlformats.org/officeDocument/2006/relationships/image" Target="../media/image68.jpg"/><Relationship Id="rId116" Type="http://schemas.openxmlformats.org/officeDocument/2006/relationships/image" Target="../media/image117.jpg"/><Relationship Id="rId20" Type="http://schemas.openxmlformats.org/officeDocument/2006/relationships/image" Target="../media/image21.jpg"/><Relationship Id="rId41" Type="http://schemas.openxmlformats.org/officeDocument/2006/relationships/image" Target="../media/image42.jpg"/><Relationship Id="rId62" Type="http://schemas.openxmlformats.org/officeDocument/2006/relationships/image" Target="../media/image63.jpg"/><Relationship Id="rId83" Type="http://schemas.openxmlformats.org/officeDocument/2006/relationships/image" Target="../media/image84.jpg"/><Relationship Id="rId88" Type="http://schemas.openxmlformats.org/officeDocument/2006/relationships/image" Target="../media/image89.jpg"/><Relationship Id="rId111" Type="http://schemas.openxmlformats.org/officeDocument/2006/relationships/image" Target="../media/image112.jpg"/><Relationship Id="rId15" Type="http://schemas.openxmlformats.org/officeDocument/2006/relationships/image" Target="../media/image16.jpg"/><Relationship Id="rId36" Type="http://schemas.openxmlformats.org/officeDocument/2006/relationships/image" Target="../media/image37.jpg"/><Relationship Id="rId57" Type="http://schemas.openxmlformats.org/officeDocument/2006/relationships/image" Target="../media/image58.jpg"/><Relationship Id="rId106" Type="http://schemas.openxmlformats.org/officeDocument/2006/relationships/image" Target="../media/image107.jpg"/><Relationship Id="rId127" Type="http://schemas.openxmlformats.org/officeDocument/2006/relationships/image" Target="../media/image128.jpg"/><Relationship Id="rId10" Type="http://schemas.openxmlformats.org/officeDocument/2006/relationships/image" Target="../media/image11.jpg"/><Relationship Id="rId31" Type="http://schemas.openxmlformats.org/officeDocument/2006/relationships/image" Target="../media/image32.jpg"/><Relationship Id="rId52" Type="http://schemas.openxmlformats.org/officeDocument/2006/relationships/image" Target="../media/image53.jpg"/><Relationship Id="rId73" Type="http://schemas.openxmlformats.org/officeDocument/2006/relationships/image" Target="../media/image74.jpg"/><Relationship Id="rId78" Type="http://schemas.openxmlformats.org/officeDocument/2006/relationships/image" Target="../media/image79.jpg"/><Relationship Id="rId94" Type="http://schemas.openxmlformats.org/officeDocument/2006/relationships/image" Target="../media/image95.jpg"/><Relationship Id="rId99" Type="http://schemas.openxmlformats.org/officeDocument/2006/relationships/image" Target="../media/image100.jpg"/><Relationship Id="rId101" Type="http://schemas.openxmlformats.org/officeDocument/2006/relationships/image" Target="../media/image102.jpg"/><Relationship Id="rId122" Type="http://schemas.openxmlformats.org/officeDocument/2006/relationships/image" Target="../media/image123.jpg"/><Relationship Id="rId4" Type="http://schemas.openxmlformats.org/officeDocument/2006/relationships/image" Target="../media/image5.jpg"/><Relationship Id="rId9" Type="http://schemas.openxmlformats.org/officeDocument/2006/relationships/image" Target="../media/image10.jpg"/><Relationship Id="rId26" Type="http://schemas.openxmlformats.org/officeDocument/2006/relationships/image" Target="../media/image27.jpg"/></Relationships>
</file>

<file path=xl/drawings/_rels/drawing3.xml.rels><?xml version="1.0" encoding="UTF-8" standalone="yes"?>
<Relationships xmlns="http://schemas.openxmlformats.org/package/2006/relationships"><Relationship Id="rId26" Type="http://schemas.openxmlformats.org/officeDocument/2006/relationships/image" Target="../media/image66.jpg"/><Relationship Id="rId21" Type="http://schemas.openxmlformats.org/officeDocument/2006/relationships/image" Target="../media/image104.jpg"/><Relationship Id="rId42" Type="http://schemas.openxmlformats.org/officeDocument/2006/relationships/image" Target="../media/image109.jpg"/><Relationship Id="rId47" Type="http://schemas.openxmlformats.org/officeDocument/2006/relationships/image" Target="../media/image74.jpg"/><Relationship Id="rId63" Type="http://schemas.openxmlformats.org/officeDocument/2006/relationships/image" Target="../media/image73.jpg"/><Relationship Id="rId68" Type="http://schemas.openxmlformats.org/officeDocument/2006/relationships/image" Target="../media/image21.jpg"/><Relationship Id="rId84" Type="http://schemas.openxmlformats.org/officeDocument/2006/relationships/image" Target="../media/image43.jpg"/><Relationship Id="rId89" Type="http://schemas.openxmlformats.org/officeDocument/2006/relationships/image" Target="../media/image5.jpg"/><Relationship Id="rId16" Type="http://schemas.openxmlformats.org/officeDocument/2006/relationships/image" Target="../media/image131.jpg"/><Relationship Id="rId107" Type="http://schemas.openxmlformats.org/officeDocument/2006/relationships/image" Target="../media/image130.jpg"/><Relationship Id="rId11" Type="http://schemas.openxmlformats.org/officeDocument/2006/relationships/image" Target="../media/image126.jpg"/><Relationship Id="rId32" Type="http://schemas.openxmlformats.org/officeDocument/2006/relationships/image" Target="../media/image72.jpg"/><Relationship Id="rId37" Type="http://schemas.openxmlformats.org/officeDocument/2006/relationships/image" Target="../media/image94.jpg"/><Relationship Id="rId53" Type="http://schemas.openxmlformats.org/officeDocument/2006/relationships/image" Target="../media/image116.jpg"/><Relationship Id="rId58" Type="http://schemas.openxmlformats.org/officeDocument/2006/relationships/image" Target="../media/image103.jpg"/><Relationship Id="rId74" Type="http://schemas.openxmlformats.org/officeDocument/2006/relationships/image" Target="../media/image30.jpg"/><Relationship Id="rId79" Type="http://schemas.openxmlformats.org/officeDocument/2006/relationships/image" Target="../media/image46.jpg"/><Relationship Id="rId102" Type="http://schemas.openxmlformats.org/officeDocument/2006/relationships/image" Target="../media/image15.jpg"/><Relationship Id="rId5" Type="http://schemas.openxmlformats.org/officeDocument/2006/relationships/image" Target="../media/image51.jpg"/><Relationship Id="rId90" Type="http://schemas.openxmlformats.org/officeDocument/2006/relationships/image" Target="../media/image8.jpg"/><Relationship Id="rId95" Type="http://schemas.openxmlformats.org/officeDocument/2006/relationships/image" Target="../media/image55.jpg"/><Relationship Id="rId22" Type="http://schemas.openxmlformats.org/officeDocument/2006/relationships/image" Target="../media/image107.jpg"/><Relationship Id="rId27" Type="http://schemas.openxmlformats.org/officeDocument/2006/relationships/image" Target="../media/image68.jpg"/><Relationship Id="rId43" Type="http://schemas.openxmlformats.org/officeDocument/2006/relationships/image" Target="../media/image97.jpg"/><Relationship Id="rId48" Type="http://schemas.openxmlformats.org/officeDocument/2006/relationships/image" Target="../media/image121.jpg"/><Relationship Id="rId64" Type="http://schemas.openxmlformats.org/officeDocument/2006/relationships/image" Target="../media/image71.jpg"/><Relationship Id="rId69" Type="http://schemas.openxmlformats.org/officeDocument/2006/relationships/image" Target="../media/image78.jpg"/><Relationship Id="rId80" Type="http://schemas.openxmlformats.org/officeDocument/2006/relationships/image" Target="../media/image47.jpg"/><Relationship Id="rId85" Type="http://schemas.openxmlformats.org/officeDocument/2006/relationships/image" Target="../media/image82.jpg"/><Relationship Id="rId12" Type="http://schemas.openxmlformats.org/officeDocument/2006/relationships/image" Target="../media/image125.jpg"/><Relationship Id="rId17" Type="http://schemas.openxmlformats.org/officeDocument/2006/relationships/image" Target="../media/image38.jpg"/><Relationship Id="rId33" Type="http://schemas.openxmlformats.org/officeDocument/2006/relationships/image" Target="../media/image83.jpg"/><Relationship Id="rId38" Type="http://schemas.openxmlformats.org/officeDocument/2006/relationships/image" Target="../media/image86.jpg"/><Relationship Id="rId59" Type="http://schemas.openxmlformats.org/officeDocument/2006/relationships/image" Target="../media/image4.jpg"/><Relationship Id="rId103" Type="http://schemas.openxmlformats.org/officeDocument/2006/relationships/image" Target="../media/image112.jpg"/><Relationship Id="rId108" Type="http://schemas.openxmlformats.org/officeDocument/2006/relationships/image" Target="../media/image129.jpg"/><Relationship Id="rId54" Type="http://schemas.openxmlformats.org/officeDocument/2006/relationships/image" Target="../media/image76.jpg"/><Relationship Id="rId70" Type="http://schemas.openxmlformats.org/officeDocument/2006/relationships/image" Target="../media/image80.jpg"/><Relationship Id="rId75" Type="http://schemas.openxmlformats.org/officeDocument/2006/relationships/image" Target="../media/image29.jpg"/><Relationship Id="rId91" Type="http://schemas.openxmlformats.org/officeDocument/2006/relationships/image" Target="../media/image12.jpg"/><Relationship Id="rId96" Type="http://schemas.openxmlformats.org/officeDocument/2006/relationships/image" Target="../media/image54.jpg"/><Relationship Id="rId1" Type="http://schemas.openxmlformats.org/officeDocument/2006/relationships/image" Target="../media/image2.png"/><Relationship Id="rId6" Type="http://schemas.openxmlformats.org/officeDocument/2006/relationships/image" Target="../media/image60.jpg"/><Relationship Id="rId15" Type="http://schemas.openxmlformats.org/officeDocument/2006/relationships/image" Target="../media/image53.jpg"/><Relationship Id="rId23" Type="http://schemas.openxmlformats.org/officeDocument/2006/relationships/image" Target="../media/image108.jpg"/><Relationship Id="rId28" Type="http://schemas.openxmlformats.org/officeDocument/2006/relationships/image" Target="../media/image70.jpg"/><Relationship Id="rId36" Type="http://schemas.openxmlformats.org/officeDocument/2006/relationships/image" Target="../media/image92.jpg"/><Relationship Id="rId49" Type="http://schemas.openxmlformats.org/officeDocument/2006/relationships/image" Target="../media/image75.jpg"/><Relationship Id="rId57" Type="http://schemas.openxmlformats.org/officeDocument/2006/relationships/image" Target="../media/image64.jpg"/><Relationship Id="rId106" Type="http://schemas.openxmlformats.org/officeDocument/2006/relationships/image" Target="../media/image120.jpg"/><Relationship Id="rId10" Type="http://schemas.openxmlformats.org/officeDocument/2006/relationships/image" Target="../media/image58.jpg"/><Relationship Id="rId31" Type="http://schemas.openxmlformats.org/officeDocument/2006/relationships/image" Target="../media/image11.jpg"/><Relationship Id="rId44" Type="http://schemas.openxmlformats.org/officeDocument/2006/relationships/image" Target="../media/image102.jpg"/><Relationship Id="rId52" Type="http://schemas.openxmlformats.org/officeDocument/2006/relationships/image" Target="../media/image88.jpg"/><Relationship Id="rId60" Type="http://schemas.openxmlformats.org/officeDocument/2006/relationships/image" Target="../media/image17.jpg"/><Relationship Id="rId65" Type="http://schemas.openxmlformats.org/officeDocument/2006/relationships/image" Target="../media/image25.jpg"/><Relationship Id="rId73" Type="http://schemas.openxmlformats.org/officeDocument/2006/relationships/image" Target="../media/image31.jpg"/><Relationship Id="rId78" Type="http://schemas.openxmlformats.org/officeDocument/2006/relationships/image" Target="../media/image34.jpg"/><Relationship Id="rId81" Type="http://schemas.openxmlformats.org/officeDocument/2006/relationships/image" Target="../media/image41.jpg"/><Relationship Id="rId86" Type="http://schemas.openxmlformats.org/officeDocument/2006/relationships/image" Target="../media/image23.jpg"/><Relationship Id="rId94" Type="http://schemas.openxmlformats.org/officeDocument/2006/relationships/image" Target="../media/image63.jpg"/><Relationship Id="rId99" Type="http://schemas.openxmlformats.org/officeDocument/2006/relationships/image" Target="../media/image62.jpg"/><Relationship Id="rId101" Type="http://schemas.openxmlformats.org/officeDocument/2006/relationships/image" Target="../media/image106.jpg"/><Relationship Id="rId4" Type="http://schemas.openxmlformats.org/officeDocument/2006/relationships/image" Target="../media/image50.jpg"/><Relationship Id="rId9" Type="http://schemas.openxmlformats.org/officeDocument/2006/relationships/image" Target="../media/image57.jpg"/><Relationship Id="rId13" Type="http://schemas.openxmlformats.org/officeDocument/2006/relationships/image" Target="../media/image124.jpg"/><Relationship Id="rId18" Type="http://schemas.openxmlformats.org/officeDocument/2006/relationships/image" Target="../media/image79.jpg"/><Relationship Id="rId39" Type="http://schemas.openxmlformats.org/officeDocument/2006/relationships/image" Target="../media/image95.jpg"/><Relationship Id="rId109" Type="http://schemas.openxmlformats.org/officeDocument/2006/relationships/image" Target="../media/image24.jpg"/><Relationship Id="rId34" Type="http://schemas.openxmlformats.org/officeDocument/2006/relationships/image" Target="../media/image84.jpg"/><Relationship Id="rId50" Type="http://schemas.openxmlformats.org/officeDocument/2006/relationships/image" Target="../media/image115.jpg"/><Relationship Id="rId55" Type="http://schemas.openxmlformats.org/officeDocument/2006/relationships/image" Target="../media/image122.jpg"/><Relationship Id="rId76" Type="http://schemas.openxmlformats.org/officeDocument/2006/relationships/image" Target="../media/image28.jpg"/><Relationship Id="rId97" Type="http://schemas.openxmlformats.org/officeDocument/2006/relationships/image" Target="../media/image128.jpg"/><Relationship Id="rId104" Type="http://schemas.openxmlformats.org/officeDocument/2006/relationships/image" Target="../media/image118.jpg"/><Relationship Id="rId7" Type="http://schemas.openxmlformats.org/officeDocument/2006/relationships/image" Target="../media/image61.jpg"/><Relationship Id="rId71" Type="http://schemas.openxmlformats.org/officeDocument/2006/relationships/image" Target="../media/image91.jpg"/><Relationship Id="rId92" Type="http://schemas.openxmlformats.org/officeDocument/2006/relationships/image" Target="../media/image100.jpg"/><Relationship Id="rId2" Type="http://schemas.openxmlformats.org/officeDocument/2006/relationships/image" Target="../media/image52.jpg"/><Relationship Id="rId29" Type="http://schemas.openxmlformats.org/officeDocument/2006/relationships/image" Target="../media/image9.jpg"/><Relationship Id="rId24" Type="http://schemas.openxmlformats.org/officeDocument/2006/relationships/image" Target="../media/image67.jpg"/><Relationship Id="rId40" Type="http://schemas.openxmlformats.org/officeDocument/2006/relationships/image" Target="../media/image13.jpg"/><Relationship Id="rId45" Type="http://schemas.openxmlformats.org/officeDocument/2006/relationships/image" Target="../media/image16.jpg"/><Relationship Id="rId66" Type="http://schemas.openxmlformats.org/officeDocument/2006/relationships/image" Target="../media/image22.jpg"/><Relationship Id="rId87" Type="http://schemas.openxmlformats.org/officeDocument/2006/relationships/image" Target="../media/image6.jpg"/><Relationship Id="rId61" Type="http://schemas.openxmlformats.org/officeDocument/2006/relationships/image" Target="../media/image18.jpg"/><Relationship Id="rId82" Type="http://schemas.openxmlformats.org/officeDocument/2006/relationships/image" Target="../media/image42.jpg"/><Relationship Id="rId19" Type="http://schemas.openxmlformats.org/officeDocument/2006/relationships/image" Target="../media/image89.jpg"/><Relationship Id="rId14" Type="http://schemas.openxmlformats.org/officeDocument/2006/relationships/image" Target="../media/image127.jpg"/><Relationship Id="rId30" Type="http://schemas.openxmlformats.org/officeDocument/2006/relationships/image" Target="../media/image10.jpg"/><Relationship Id="rId35" Type="http://schemas.openxmlformats.org/officeDocument/2006/relationships/image" Target="../media/image85.jpg"/><Relationship Id="rId56" Type="http://schemas.openxmlformats.org/officeDocument/2006/relationships/image" Target="../media/image113.jpg"/><Relationship Id="rId77" Type="http://schemas.openxmlformats.org/officeDocument/2006/relationships/image" Target="../media/image35.jpg"/><Relationship Id="rId100" Type="http://schemas.openxmlformats.org/officeDocument/2006/relationships/image" Target="../media/image36.jpg"/><Relationship Id="rId105" Type="http://schemas.openxmlformats.org/officeDocument/2006/relationships/image" Target="../media/image119.jpg"/><Relationship Id="rId8" Type="http://schemas.openxmlformats.org/officeDocument/2006/relationships/image" Target="../media/image56.jpg"/><Relationship Id="rId51" Type="http://schemas.openxmlformats.org/officeDocument/2006/relationships/image" Target="../media/image93.jpg"/><Relationship Id="rId72" Type="http://schemas.openxmlformats.org/officeDocument/2006/relationships/image" Target="../media/image32.jpg"/><Relationship Id="rId93" Type="http://schemas.openxmlformats.org/officeDocument/2006/relationships/image" Target="../media/image101.jpg"/><Relationship Id="rId98" Type="http://schemas.openxmlformats.org/officeDocument/2006/relationships/image" Target="../media/image132.jpg"/><Relationship Id="rId3" Type="http://schemas.openxmlformats.org/officeDocument/2006/relationships/image" Target="../media/image49.jpg"/><Relationship Id="rId25" Type="http://schemas.openxmlformats.org/officeDocument/2006/relationships/image" Target="../media/image111.jpg"/><Relationship Id="rId46" Type="http://schemas.openxmlformats.org/officeDocument/2006/relationships/image" Target="../media/image87.jpg"/><Relationship Id="rId67" Type="http://schemas.openxmlformats.org/officeDocument/2006/relationships/image" Target="../media/image20.jpg"/><Relationship Id="rId20" Type="http://schemas.openxmlformats.org/officeDocument/2006/relationships/image" Target="../media/image37.jpg"/><Relationship Id="rId41" Type="http://schemas.openxmlformats.org/officeDocument/2006/relationships/image" Target="../media/image14.jpg"/><Relationship Id="rId62" Type="http://schemas.openxmlformats.org/officeDocument/2006/relationships/image" Target="../media/image69.jpg"/><Relationship Id="rId83" Type="http://schemas.openxmlformats.org/officeDocument/2006/relationships/image" Target="../media/image44.jpg"/><Relationship Id="rId88"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135.wmf"/><Relationship Id="rId2" Type="http://schemas.openxmlformats.org/officeDocument/2006/relationships/image" Target="../media/image134.emf"/><Relationship Id="rId1" Type="http://schemas.openxmlformats.org/officeDocument/2006/relationships/image" Target="../media/image133.emf"/><Relationship Id="rId5" Type="http://schemas.openxmlformats.org/officeDocument/2006/relationships/image" Target="../media/image137.png"/><Relationship Id="rId4" Type="http://schemas.openxmlformats.org/officeDocument/2006/relationships/image" Target="../media/image136.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1</xdr:row>
      <xdr:rowOff>0</xdr:rowOff>
    </xdr:from>
    <xdr:to>
      <xdr:col>2</xdr:col>
      <xdr:colOff>1895473</xdr:colOff>
      <xdr:row>5</xdr:row>
      <xdr:rowOff>37060</xdr:rowOff>
    </xdr:to>
    <xdr:pic>
      <xdr:nvPicPr>
        <xdr:cNvPr id="5" name="Immagin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2450" y="190500"/>
          <a:ext cx="3124198" cy="79906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276225</xdr:colOff>
          <xdr:row>0</xdr:row>
          <xdr:rowOff>123825</xdr:rowOff>
        </xdr:from>
        <xdr:to>
          <xdr:col>12</xdr:col>
          <xdr:colOff>266700</xdr:colOff>
          <xdr:row>4</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1" i="0" u="none" strike="noStrike" baseline="0">
                  <a:solidFill>
                    <a:srgbClr val="000000"/>
                  </a:solidFill>
                  <a:latin typeface="Tahoma"/>
                  <a:ea typeface="Tahoma"/>
                  <a:cs typeface="Tahoma"/>
                </a:rPr>
                <a:t>SAVE AS</a:t>
              </a:r>
            </a:p>
            <a:p>
              <a:pPr algn="ctr" rtl="0">
                <a:defRPr sz="1000"/>
              </a:pPr>
              <a:r>
                <a:rPr lang="it-IT" sz="800" b="1" i="0" u="none" strike="noStrike" baseline="0">
                  <a:solidFill>
                    <a:srgbClr val="000000"/>
                  </a:solidFill>
                  <a:latin typeface="Tahoma"/>
                  <a:ea typeface="Tahoma"/>
                  <a:cs typeface="Tahoma"/>
                </a:rPr>
                <a:t>Only for TRM 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257175</xdr:colOff>
          <xdr:row>4</xdr:row>
          <xdr:rowOff>76200</xdr:rowOff>
        </xdr:from>
        <xdr:to>
          <xdr:col>13</xdr:col>
          <xdr:colOff>266700</xdr:colOff>
          <xdr:row>7</xdr:row>
          <xdr:rowOff>152400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1" i="0" u="none" strike="noStrike" baseline="0">
                  <a:solidFill>
                    <a:srgbClr val="000000"/>
                  </a:solidFill>
                  <a:latin typeface="Tahoma"/>
                  <a:ea typeface="Tahoma"/>
                  <a:cs typeface="Tahoma"/>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257175</xdr:colOff>
          <xdr:row>8</xdr:row>
          <xdr:rowOff>28575</xdr:rowOff>
        </xdr:from>
        <xdr:to>
          <xdr:col>13</xdr:col>
          <xdr:colOff>266700</xdr:colOff>
          <xdr:row>11</xdr:row>
          <xdr:rowOff>104775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1" i="0" u="none" strike="noStrike" baseline="0">
                  <a:solidFill>
                    <a:srgbClr val="000000"/>
                  </a:solidFill>
                  <a:latin typeface="Tahoma"/>
                  <a:ea typeface="Tahoma"/>
                  <a:cs typeface="Tahoma"/>
                </a:rPr>
                <a:t>SAVE LABEL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285750</xdr:colOff>
          <xdr:row>0</xdr:row>
          <xdr:rowOff>123825</xdr:rowOff>
        </xdr:from>
        <xdr:to>
          <xdr:col>13</xdr:col>
          <xdr:colOff>276225</xdr:colOff>
          <xdr:row>4</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1" i="0" u="none" strike="noStrike" baseline="0">
                  <a:solidFill>
                    <a:srgbClr val="000000"/>
                  </a:solidFill>
                  <a:latin typeface="Tahoma"/>
                  <a:ea typeface="Tahoma"/>
                  <a:cs typeface="Tahoma"/>
                </a:rPr>
                <a:t>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47625</xdr:colOff>
      <xdr:row>0</xdr:row>
      <xdr:rowOff>158750</xdr:rowOff>
    </xdr:from>
    <xdr:to>
      <xdr:col>2</xdr:col>
      <xdr:colOff>2298698</xdr:colOff>
      <xdr:row>5</xdr:row>
      <xdr:rowOff>5310</xdr:rowOff>
    </xdr:to>
    <xdr:pic>
      <xdr:nvPicPr>
        <xdr:cNvPr id="3" name="Immagin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0" y="158750"/>
          <a:ext cx="3124198" cy="79906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85725</xdr:colOff>
          <xdr:row>1</xdr:row>
          <xdr:rowOff>76200</xdr:rowOff>
        </xdr:from>
        <xdr:to>
          <xdr:col>10</xdr:col>
          <xdr:colOff>704850</xdr:colOff>
          <xdr:row>4</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it-IT" sz="1200" b="1" i="0" u="none" strike="noStrike" baseline="0">
                  <a:solidFill>
                    <a:srgbClr val="000000"/>
                  </a:solidFill>
                  <a:latin typeface="Tahoma"/>
                  <a:ea typeface="Tahoma"/>
                  <a:cs typeface="Tahoma"/>
                </a:rPr>
                <a:t>UPDATE DATA</a:t>
              </a:r>
            </a:p>
          </xdr:txBody>
        </xdr:sp>
        <xdr:clientData fPrintsWithSheet="0"/>
      </xdr:twoCellAnchor>
    </mc:Choice>
    <mc:Fallback/>
  </mc:AlternateContent>
  <xdr:twoCellAnchor>
    <xdr:from>
      <xdr:col>1</xdr:col>
      <xdr:colOff>9525</xdr:colOff>
      <xdr:row>8</xdr:row>
      <xdr:rowOff>9525</xdr:rowOff>
    </xdr:from>
    <xdr:to>
      <xdr:col>1</xdr:col>
      <xdr:colOff>1724025</xdr:colOff>
      <xdr:row>8</xdr:row>
      <xdr:rowOff>1724025</xdr:rowOff>
    </xdr:to>
    <xdr:pic>
      <xdr:nvPicPr>
        <xdr:cNvPr id="2" name="Picture 1">
          <a:extLst>
            <a:ext uri="{FF2B5EF4-FFF2-40B4-BE49-F238E27FC236}">
              <a16:creationId xmlns:a16="http://schemas.microsoft.com/office/drawing/2014/main" id="{23FB4A56-A510-4F63-9D48-B229F18902BC}"/>
            </a:ext>
          </a:extLst>
        </xdr:cNvPr>
        <xdr:cNvPicPr>
          <a:picLocks noChangeAspect="1"/>
        </xdr:cNvPicPr>
      </xdr:nvPicPr>
      <xdr:blipFill>
        <a:blip xmlns:r="http://schemas.openxmlformats.org/officeDocument/2006/relationships" r:embed="rId2"/>
        <a:srcRect/>
        <a:stretch>
          <a:fillRect/>
        </a:stretch>
      </xdr:blipFill>
      <xdr:spPr>
        <a:xfrm>
          <a:off x="619125" y="200025"/>
          <a:ext cx="876300" cy="857250"/>
        </a:xfrm>
        <a:prstGeom prst="rect">
          <a:avLst/>
        </a:prstGeom>
      </xdr:spPr>
    </xdr:pic>
    <xdr:clientData/>
  </xdr:twoCellAnchor>
  <xdr:twoCellAnchor>
    <xdr:from>
      <xdr:col>1</xdr:col>
      <xdr:colOff>9525</xdr:colOff>
      <xdr:row>9</xdr:row>
      <xdr:rowOff>9525</xdr:rowOff>
    </xdr:from>
    <xdr:to>
      <xdr:col>1</xdr:col>
      <xdr:colOff>1724025</xdr:colOff>
      <xdr:row>9</xdr:row>
      <xdr:rowOff>1724025</xdr:rowOff>
    </xdr:to>
    <xdr:pic>
      <xdr:nvPicPr>
        <xdr:cNvPr id="4" name="Picture 2">
          <a:extLst>
            <a:ext uri="{FF2B5EF4-FFF2-40B4-BE49-F238E27FC236}">
              <a16:creationId xmlns:a16="http://schemas.microsoft.com/office/drawing/2014/main" id="{5760EFF9-F946-4C9E-BDE8-F63CCEEAA479}"/>
            </a:ext>
          </a:extLst>
        </xdr:cNvPr>
        <xdr:cNvPicPr>
          <a:picLocks noChangeAspect="1"/>
        </xdr:cNvPicPr>
      </xdr:nvPicPr>
      <xdr:blipFill>
        <a:blip xmlns:r="http://schemas.openxmlformats.org/officeDocument/2006/relationships" r:embed="rId3"/>
        <a:srcRect/>
        <a:stretch>
          <a:fillRect/>
        </a:stretch>
      </xdr:blipFill>
      <xdr:spPr>
        <a:xfrm>
          <a:off x="619125" y="1066800"/>
          <a:ext cx="876300" cy="857250"/>
        </a:xfrm>
        <a:prstGeom prst="rect">
          <a:avLst/>
        </a:prstGeom>
      </xdr:spPr>
    </xdr:pic>
    <xdr:clientData/>
  </xdr:twoCellAnchor>
  <xdr:twoCellAnchor>
    <xdr:from>
      <xdr:col>1</xdr:col>
      <xdr:colOff>9525</xdr:colOff>
      <xdr:row>10</xdr:row>
      <xdr:rowOff>9525</xdr:rowOff>
    </xdr:from>
    <xdr:to>
      <xdr:col>1</xdr:col>
      <xdr:colOff>1724025</xdr:colOff>
      <xdr:row>10</xdr:row>
      <xdr:rowOff>1724025</xdr:rowOff>
    </xdr:to>
    <xdr:pic>
      <xdr:nvPicPr>
        <xdr:cNvPr id="5" name="Picture 3">
          <a:extLst>
            <a:ext uri="{FF2B5EF4-FFF2-40B4-BE49-F238E27FC236}">
              <a16:creationId xmlns:a16="http://schemas.microsoft.com/office/drawing/2014/main" id="{BC7F6C98-42EB-4E34-AD98-6E5AACC94427}"/>
            </a:ext>
          </a:extLst>
        </xdr:cNvPr>
        <xdr:cNvPicPr>
          <a:picLocks noChangeAspect="1"/>
        </xdr:cNvPicPr>
      </xdr:nvPicPr>
      <xdr:blipFill>
        <a:blip xmlns:r="http://schemas.openxmlformats.org/officeDocument/2006/relationships" r:embed="rId4"/>
        <a:srcRect/>
        <a:stretch>
          <a:fillRect/>
        </a:stretch>
      </xdr:blipFill>
      <xdr:spPr>
        <a:xfrm>
          <a:off x="619125" y="1933575"/>
          <a:ext cx="876300" cy="857250"/>
        </a:xfrm>
        <a:prstGeom prst="rect">
          <a:avLst/>
        </a:prstGeom>
      </xdr:spPr>
    </xdr:pic>
    <xdr:clientData/>
  </xdr:twoCellAnchor>
  <xdr:twoCellAnchor>
    <xdr:from>
      <xdr:col>1</xdr:col>
      <xdr:colOff>9525</xdr:colOff>
      <xdr:row>11</xdr:row>
      <xdr:rowOff>9525</xdr:rowOff>
    </xdr:from>
    <xdr:to>
      <xdr:col>1</xdr:col>
      <xdr:colOff>1724025</xdr:colOff>
      <xdr:row>11</xdr:row>
      <xdr:rowOff>1724025</xdr:rowOff>
    </xdr:to>
    <xdr:pic>
      <xdr:nvPicPr>
        <xdr:cNvPr id="6" name="Picture 4">
          <a:extLst>
            <a:ext uri="{FF2B5EF4-FFF2-40B4-BE49-F238E27FC236}">
              <a16:creationId xmlns:a16="http://schemas.microsoft.com/office/drawing/2014/main" id="{36A81A13-3C12-4B42-A66B-1427EBED9772}"/>
            </a:ext>
          </a:extLst>
        </xdr:cNvPr>
        <xdr:cNvPicPr>
          <a:picLocks noChangeAspect="1"/>
        </xdr:cNvPicPr>
      </xdr:nvPicPr>
      <xdr:blipFill>
        <a:blip xmlns:r="http://schemas.openxmlformats.org/officeDocument/2006/relationships" r:embed="rId5"/>
        <a:srcRect/>
        <a:stretch>
          <a:fillRect/>
        </a:stretch>
      </xdr:blipFill>
      <xdr:spPr>
        <a:xfrm>
          <a:off x="619125" y="2800350"/>
          <a:ext cx="876300" cy="857250"/>
        </a:xfrm>
        <a:prstGeom prst="rect">
          <a:avLst/>
        </a:prstGeom>
      </xdr:spPr>
    </xdr:pic>
    <xdr:clientData/>
  </xdr:twoCellAnchor>
  <xdr:twoCellAnchor>
    <xdr:from>
      <xdr:col>1</xdr:col>
      <xdr:colOff>9525</xdr:colOff>
      <xdr:row>12</xdr:row>
      <xdr:rowOff>9525</xdr:rowOff>
    </xdr:from>
    <xdr:to>
      <xdr:col>1</xdr:col>
      <xdr:colOff>1724025</xdr:colOff>
      <xdr:row>12</xdr:row>
      <xdr:rowOff>1724025</xdr:rowOff>
    </xdr:to>
    <xdr:pic>
      <xdr:nvPicPr>
        <xdr:cNvPr id="7" name="Picture 5">
          <a:extLst>
            <a:ext uri="{FF2B5EF4-FFF2-40B4-BE49-F238E27FC236}">
              <a16:creationId xmlns:a16="http://schemas.microsoft.com/office/drawing/2014/main" id="{19221B20-CE1A-4D76-AEAF-9F9E8D11B6F5}"/>
            </a:ext>
          </a:extLst>
        </xdr:cNvPr>
        <xdr:cNvPicPr>
          <a:picLocks noChangeAspect="1"/>
        </xdr:cNvPicPr>
      </xdr:nvPicPr>
      <xdr:blipFill>
        <a:blip xmlns:r="http://schemas.openxmlformats.org/officeDocument/2006/relationships" r:embed="rId6"/>
        <a:srcRect/>
        <a:stretch>
          <a:fillRect/>
        </a:stretch>
      </xdr:blipFill>
      <xdr:spPr>
        <a:xfrm>
          <a:off x="619125" y="3667125"/>
          <a:ext cx="876300" cy="857250"/>
        </a:xfrm>
        <a:prstGeom prst="rect">
          <a:avLst/>
        </a:prstGeom>
      </xdr:spPr>
    </xdr:pic>
    <xdr:clientData/>
  </xdr:twoCellAnchor>
  <xdr:twoCellAnchor>
    <xdr:from>
      <xdr:col>1</xdr:col>
      <xdr:colOff>9525</xdr:colOff>
      <xdr:row>13</xdr:row>
      <xdr:rowOff>9525</xdr:rowOff>
    </xdr:from>
    <xdr:to>
      <xdr:col>1</xdr:col>
      <xdr:colOff>1724025</xdr:colOff>
      <xdr:row>13</xdr:row>
      <xdr:rowOff>1724025</xdr:rowOff>
    </xdr:to>
    <xdr:pic>
      <xdr:nvPicPr>
        <xdr:cNvPr id="8" name="Picture 6">
          <a:extLst>
            <a:ext uri="{FF2B5EF4-FFF2-40B4-BE49-F238E27FC236}">
              <a16:creationId xmlns:a16="http://schemas.microsoft.com/office/drawing/2014/main" id="{3F42FDF6-B079-4E6F-B2E1-3AB880B14C3A}"/>
            </a:ext>
          </a:extLst>
        </xdr:cNvPr>
        <xdr:cNvPicPr>
          <a:picLocks noChangeAspect="1"/>
        </xdr:cNvPicPr>
      </xdr:nvPicPr>
      <xdr:blipFill>
        <a:blip xmlns:r="http://schemas.openxmlformats.org/officeDocument/2006/relationships" r:embed="rId7"/>
        <a:srcRect/>
        <a:stretch>
          <a:fillRect/>
        </a:stretch>
      </xdr:blipFill>
      <xdr:spPr>
        <a:xfrm>
          <a:off x="619125" y="4533900"/>
          <a:ext cx="876300" cy="857250"/>
        </a:xfrm>
        <a:prstGeom prst="rect">
          <a:avLst/>
        </a:prstGeom>
      </xdr:spPr>
    </xdr:pic>
    <xdr:clientData/>
  </xdr:twoCellAnchor>
  <xdr:twoCellAnchor>
    <xdr:from>
      <xdr:col>1</xdr:col>
      <xdr:colOff>9525</xdr:colOff>
      <xdr:row>14</xdr:row>
      <xdr:rowOff>9525</xdr:rowOff>
    </xdr:from>
    <xdr:to>
      <xdr:col>1</xdr:col>
      <xdr:colOff>1724025</xdr:colOff>
      <xdr:row>14</xdr:row>
      <xdr:rowOff>1724025</xdr:rowOff>
    </xdr:to>
    <xdr:pic>
      <xdr:nvPicPr>
        <xdr:cNvPr id="9" name="Picture 7">
          <a:extLst>
            <a:ext uri="{FF2B5EF4-FFF2-40B4-BE49-F238E27FC236}">
              <a16:creationId xmlns:a16="http://schemas.microsoft.com/office/drawing/2014/main" id="{4C5217FA-1184-4611-A443-35111D5EBF3E}"/>
            </a:ext>
          </a:extLst>
        </xdr:cNvPr>
        <xdr:cNvPicPr>
          <a:picLocks noChangeAspect="1"/>
        </xdr:cNvPicPr>
      </xdr:nvPicPr>
      <xdr:blipFill>
        <a:blip xmlns:r="http://schemas.openxmlformats.org/officeDocument/2006/relationships" r:embed="rId8"/>
        <a:srcRect/>
        <a:stretch>
          <a:fillRect/>
        </a:stretch>
      </xdr:blipFill>
      <xdr:spPr>
        <a:xfrm>
          <a:off x="619125" y="5400675"/>
          <a:ext cx="876300" cy="857250"/>
        </a:xfrm>
        <a:prstGeom prst="rect">
          <a:avLst/>
        </a:prstGeom>
      </xdr:spPr>
    </xdr:pic>
    <xdr:clientData/>
  </xdr:twoCellAnchor>
  <xdr:twoCellAnchor>
    <xdr:from>
      <xdr:col>1</xdr:col>
      <xdr:colOff>9525</xdr:colOff>
      <xdr:row>15</xdr:row>
      <xdr:rowOff>9525</xdr:rowOff>
    </xdr:from>
    <xdr:to>
      <xdr:col>1</xdr:col>
      <xdr:colOff>1724025</xdr:colOff>
      <xdr:row>15</xdr:row>
      <xdr:rowOff>1724025</xdr:rowOff>
    </xdr:to>
    <xdr:pic>
      <xdr:nvPicPr>
        <xdr:cNvPr id="10" name="Picture 8">
          <a:extLst>
            <a:ext uri="{FF2B5EF4-FFF2-40B4-BE49-F238E27FC236}">
              <a16:creationId xmlns:a16="http://schemas.microsoft.com/office/drawing/2014/main" id="{95BC7CCD-544E-4280-8541-7C11F2867C81}"/>
            </a:ext>
          </a:extLst>
        </xdr:cNvPr>
        <xdr:cNvPicPr>
          <a:picLocks noChangeAspect="1"/>
        </xdr:cNvPicPr>
      </xdr:nvPicPr>
      <xdr:blipFill>
        <a:blip xmlns:r="http://schemas.openxmlformats.org/officeDocument/2006/relationships" r:embed="rId9"/>
        <a:srcRect/>
        <a:stretch>
          <a:fillRect/>
        </a:stretch>
      </xdr:blipFill>
      <xdr:spPr>
        <a:xfrm>
          <a:off x="619125" y="6267450"/>
          <a:ext cx="876300" cy="857250"/>
        </a:xfrm>
        <a:prstGeom prst="rect">
          <a:avLst/>
        </a:prstGeom>
      </xdr:spPr>
    </xdr:pic>
    <xdr:clientData/>
  </xdr:twoCellAnchor>
  <xdr:twoCellAnchor>
    <xdr:from>
      <xdr:col>1</xdr:col>
      <xdr:colOff>9525</xdr:colOff>
      <xdr:row>16</xdr:row>
      <xdr:rowOff>9525</xdr:rowOff>
    </xdr:from>
    <xdr:to>
      <xdr:col>1</xdr:col>
      <xdr:colOff>1724025</xdr:colOff>
      <xdr:row>16</xdr:row>
      <xdr:rowOff>1724025</xdr:rowOff>
    </xdr:to>
    <xdr:pic>
      <xdr:nvPicPr>
        <xdr:cNvPr id="11" name="Picture 9">
          <a:extLst>
            <a:ext uri="{FF2B5EF4-FFF2-40B4-BE49-F238E27FC236}">
              <a16:creationId xmlns:a16="http://schemas.microsoft.com/office/drawing/2014/main" id="{16C21C3D-2C00-4495-91CC-3A1AEBEB1297}"/>
            </a:ext>
          </a:extLst>
        </xdr:cNvPr>
        <xdr:cNvPicPr>
          <a:picLocks noChangeAspect="1"/>
        </xdr:cNvPicPr>
      </xdr:nvPicPr>
      <xdr:blipFill>
        <a:blip xmlns:r="http://schemas.openxmlformats.org/officeDocument/2006/relationships" r:embed="rId10"/>
        <a:srcRect/>
        <a:stretch>
          <a:fillRect/>
        </a:stretch>
      </xdr:blipFill>
      <xdr:spPr>
        <a:xfrm>
          <a:off x="619125" y="7134225"/>
          <a:ext cx="876300" cy="857250"/>
        </a:xfrm>
        <a:prstGeom prst="rect">
          <a:avLst/>
        </a:prstGeom>
      </xdr:spPr>
    </xdr:pic>
    <xdr:clientData/>
  </xdr:twoCellAnchor>
  <xdr:twoCellAnchor>
    <xdr:from>
      <xdr:col>1</xdr:col>
      <xdr:colOff>9525</xdr:colOff>
      <xdr:row>17</xdr:row>
      <xdr:rowOff>9525</xdr:rowOff>
    </xdr:from>
    <xdr:to>
      <xdr:col>1</xdr:col>
      <xdr:colOff>1724025</xdr:colOff>
      <xdr:row>17</xdr:row>
      <xdr:rowOff>1724025</xdr:rowOff>
    </xdr:to>
    <xdr:pic>
      <xdr:nvPicPr>
        <xdr:cNvPr id="12" name="Picture 10">
          <a:extLst>
            <a:ext uri="{FF2B5EF4-FFF2-40B4-BE49-F238E27FC236}">
              <a16:creationId xmlns:a16="http://schemas.microsoft.com/office/drawing/2014/main" id="{78C1260C-F5D8-44B8-86CD-6F717CABB559}"/>
            </a:ext>
          </a:extLst>
        </xdr:cNvPr>
        <xdr:cNvPicPr>
          <a:picLocks noChangeAspect="1"/>
        </xdr:cNvPicPr>
      </xdr:nvPicPr>
      <xdr:blipFill>
        <a:blip xmlns:r="http://schemas.openxmlformats.org/officeDocument/2006/relationships" r:embed="rId11"/>
        <a:srcRect/>
        <a:stretch>
          <a:fillRect/>
        </a:stretch>
      </xdr:blipFill>
      <xdr:spPr>
        <a:xfrm>
          <a:off x="619125" y="8001000"/>
          <a:ext cx="876300" cy="857250"/>
        </a:xfrm>
        <a:prstGeom prst="rect">
          <a:avLst/>
        </a:prstGeom>
      </xdr:spPr>
    </xdr:pic>
    <xdr:clientData/>
  </xdr:twoCellAnchor>
  <xdr:twoCellAnchor>
    <xdr:from>
      <xdr:col>1</xdr:col>
      <xdr:colOff>9525</xdr:colOff>
      <xdr:row>18</xdr:row>
      <xdr:rowOff>9525</xdr:rowOff>
    </xdr:from>
    <xdr:to>
      <xdr:col>1</xdr:col>
      <xdr:colOff>1724025</xdr:colOff>
      <xdr:row>18</xdr:row>
      <xdr:rowOff>1724025</xdr:rowOff>
    </xdr:to>
    <xdr:pic>
      <xdr:nvPicPr>
        <xdr:cNvPr id="13" name="Picture 11">
          <a:extLst>
            <a:ext uri="{FF2B5EF4-FFF2-40B4-BE49-F238E27FC236}">
              <a16:creationId xmlns:a16="http://schemas.microsoft.com/office/drawing/2014/main" id="{E64F0609-5D8A-431E-B6D6-3BC4D034FF87}"/>
            </a:ext>
          </a:extLst>
        </xdr:cNvPr>
        <xdr:cNvPicPr>
          <a:picLocks noChangeAspect="1"/>
        </xdr:cNvPicPr>
      </xdr:nvPicPr>
      <xdr:blipFill>
        <a:blip xmlns:r="http://schemas.openxmlformats.org/officeDocument/2006/relationships" r:embed="rId12"/>
        <a:srcRect/>
        <a:stretch>
          <a:fillRect/>
        </a:stretch>
      </xdr:blipFill>
      <xdr:spPr>
        <a:xfrm>
          <a:off x="619125" y="8867775"/>
          <a:ext cx="876300" cy="857250"/>
        </a:xfrm>
        <a:prstGeom prst="rect">
          <a:avLst/>
        </a:prstGeom>
      </xdr:spPr>
    </xdr:pic>
    <xdr:clientData/>
  </xdr:twoCellAnchor>
  <xdr:twoCellAnchor>
    <xdr:from>
      <xdr:col>1</xdr:col>
      <xdr:colOff>9525</xdr:colOff>
      <xdr:row>19</xdr:row>
      <xdr:rowOff>9525</xdr:rowOff>
    </xdr:from>
    <xdr:to>
      <xdr:col>1</xdr:col>
      <xdr:colOff>1724025</xdr:colOff>
      <xdr:row>19</xdr:row>
      <xdr:rowOff>1724025</xdr:rowOff>
    </xdr:to>
    <xdr:pic>
      <xdr:nvPicPr>
        <xdr:cNvPr id="14" name="Picture 12">
          <a:extLst>
            <a:ext uri="{FF2B5EF4-FFF2-40B4-BE49-F238E27FC236}">
              <a16:creationId xmlns:a16="http://schemas.microsoft.com/office/drawing/2014/main" id="{EFC7D420-A686-4BCD-B299-61462B0B32E0}"/>
            </a:ext>
          </a:extLst>
        </xdr:cNvPr>
        <xdr:cNvPicPr>
          <a:picLocks noChangeAspect="1"/>
        </xdr:cNvPicPr>
      </xdr:nvPicPr>
      <xdr:blipFill>
        <a:blip xmlns:r="http://schemas.openxmlformats.org/officeDocument/2006/relationships" r:embed="rId13"/>
        <a:srcRect/>
        <a:stretch>
          <a:fillRect/>
        </a:stretch>
      </xdr:blipFill>
      <xdr:spPr>
        <a:xfrm>
          <a:off x="619125" y="9734550"/>
          <a:ext cx="876300" cy="857250"/>
        </a:xfrm>
        <a:prstGeom prst="rect">
          <a:avLst/>
        </a:prstGeom>
      </xdr:spPr>
    </xdr:pic>
    <xdr:clientData/>
  </xdr:twoCellAnchor>
  <xdr:twoCellAnchor>
    <xdr:from>
      <xdr:col>1</xdr:col>
      <xdr:colOff>9525</xdr:colOff>
      <xdr:row>20</xdr:row>
      <xdr:rowOff>9525</xdr:rowOff>
    </xdr:from>
    <xdr:to>
      <xdr:col>1</xdr:col>
      <xdr:colOff>1724025</xdr:colOff>
      <xdr:row>20</xdr:row>
      <xdr:rowOff>1724025</xdr:rowOff>
    </xdr:to>
    <xdr:pic>
      <xdr:nvPicPr>
        <xdr:cNvPr id="15" name="Picture 13">
          <a:extLst>
            <a:ext uri="{FF2B5EF4-FFF2-40B4-BE49-F238E27FC236}">
              <a16:creationId xmlns:a16="http://schemas.microsoft.com/office/drawing/2014/main" id="{9749E76B-C07A-416F-B52E-3126E3BC16E5}"/>
            </a:ext>
          </a:extLst>
        </xdr:cNvPr>
        <xdr:cNvPicPr>
          <a:picLocks noChangeAspect="1"/>
        </xdr:cNvPicPr>
      </xdr:nvPicPr>
      <xdr:blipFill>
        <a:blip xmlns:r="http://schemas.openxmlformats.org/officeDocument/2006/relationships" r:embed="rId14"/>
        <a:srcRect/>
        <a:stretch>
          <a:fillRect/>
        </a:stretch>
      </xdr:blipFill>
      <xdr:spPr>
        <a:xfrm>
          <a:off x="619125" y="10601325"/>
          <a:ext cx="876300" cy="857250"/>
        </a:xfrm>
        <a:prstGeom prst="rect">
          <a:avLst/>
        </a:prstGeom>
      </xdr:spPr>
    </xdr:pic>
    <xdr:clientData/>
  </xdr:twoCellAnchor>
  <xdr:twoCellAnchor>
    <xdr:from>
      <xdr:col>1</xdr:col>
      <xdr:colOff>9525</xdr:colOff>
      <xdr:row>21</xdr:row>
      <xdr:rowOff>9525</xdr:rowOff>
    </xdr:from>
    <xdr:to>
      <xdr:col>1</xdr:col>
      <xdr:colOff>1724025</xdr:colOff>
      <xdr:row>21</xdr:row>
      <xdr:rowOff>1724025</xdr:rowOff>
    </xdr:to>
    <xdr:pic>
      <xdr:nvPicPr>
        <xdr:cNvPr id="16" name="Picture 14">
          <a:extLst>
            <a:ext uri="{FF2B5EF4-FFF2-40B4-BE49-F238E27FC236}">
              <a16:creationId xmlns:a16="http://schemas.microsoft.com/office/drawing/2014/main" id="{9F5189E3-B061-4716-A03C-0A00F91AEFF4}"/>
            </a:ext>
          </a:extLst>
        </xdr:cNvPr>
        <xdr:cNvPicPr>
          <a:picLocks noChangeAspect="1"/>
        </xdr:cNvPicPr>
      </xdr:nvPicPr>
      <xdr:blipFill>
        <a:blip xmlns:r="http://schemas.openxmlformats.org/officeDocument/2006/relationships" r:embed="rId15"/>
        <a:srcRect/>
        <a:stretch>
          <a:fillRect/>
        </a:stretch>
      </xdr:blipFill>
      <xdr:spPr>
        <a:xfrm>
          <a:off x="619125" y="11468100"/>
          <a:ext cx="876300" cy="857250"/>
        </a:xfrm>
        <a:prstGeom prst="rect">
          <a:avLst/>
        </a:prstGeom>
      </xdr:spPr>
    </xdr:pic>
    <xdr:clientData/>
  </xdr:twoCellAnchor>
  <xdr:twoCellAnchor>
    <xdr:from>
      <xdr:col>1</xdr:col>
      <xdr:colOff>9525</xdr:colOff>
      <xdr:row>22</xdr:row>
      <xdr:rowOff>9525</xdr:rowOff>
    </xdr:from>
    <xdr:to>
      <xdr:col>1</xdr:col>
      <xdr:colOff>1724025</xdr:colOff>
      <xdr:row>22</xdr:row>
      <xdr:rowOff>1724025</xdr:rowOff>
    </xdr:to>
    <xdr:pic>
      <xdr:nvPicPr>
        <xdr:cNvPr id="17" name="Picture 15">
          <a:extLst>
            <a:ext uri="{FF2B5EF4-FFF2-40B4-BE49-F238E27FC236}">
              <a16:creationId xmlns:a16="http://schemas.microsoft.com/office/drawing/2014/main" id="{227B446C-6F84-4926-851D-37DD61B5AEFD}"/>
            </a:ext>
          </a:extLst>
        </xdr:cNvPr>
        <xdr:cNvPicPr>
          <a:picLocks noChangeAspect="1"/>
        </xdr:cNvPicPr>
      </xdr:nvPicPr>
      <xdr:blipFill>
        <a:blip xmlns:r="http://schemas.openxmlformats.org/officeDocument/2006/relationships" r:embed="rId16"/>
        <a:srcRect/>
        <a:stretch>
          <a:fillRect/>
        </a:stretch>
      </xdr:blipFill>
      <xdr:spPr>
        <a:xfrm>
          <a:off x="619125" y="12334875"/>
          <a:ext cx="876300" cy="857250"/>
        </a:xfrm>
        <a:prstGeom prst="rect">
          <a:avLst/>
        </a:prstGeom>
      </xdr:spPr>
    </xdr:pic>
    <xdr:clientData/>
  </xdr:twoCellAnchor>
  <xdr:twoCellAnchor>
    <xdr:from>
      <xdr:col>1</xdr:col>
      <xdr:colOff>9525</xdr:colOff>
      <xdr:row>23</xdr:row>
      <xdr:rowOff>9525</xdr:rowOff>
    </xdr:from>
    <xdr:to>
      <xdr:col>1</xdr:col>
      <xdr:colOff>1724025</xdr:colOff>
      <xdr:row>23</xdr:row>
      <xdr:rowOff>1724025</xdr:rowOff>
    </xdr:to>
    <xdr:pic>
      <xdr:nvPicPr>
        <xdr:cNvPr id="18" name="Picture 16">
          <a:extLst>
            <a:ext uri="{FF2B5EF4-FFF2-40B4-BE49-F238E27FC236}">
              <a16:creationId xmlns:a16="http://schemas.microsoft.com/office/drawing/2014/main" id="{0C051AF1-CC77-4B70-B50B-C463864F560F}"/>
            </a:ext>
          </a:extLst>
        </xdr:cNvPr>
        <xdr:cNvPicPr>
          <a:picLocks noChangeAspect="1"/>
        </xdr:cNvPicPr>
      </xdr:nvPicPr>
      <xdr:blipFill>
        <a:blip xmlns:r="http://schemas.openxmlformats.org/officeDocument/2006/relationships" r:embed="rId17"/>
        <a:srcRect/>
        <a:stretch>
          <a:fillRect/>
        </a:stretch>
      </xdr:blipFill>
      <xdr:spPr>
        <a:xfrm>
          <a:off x="619125" y="13201650"/>
          <a:ext cx="876300" cy="857250"/>
        </a:xfrm>
        <a:prstGeom prst="rect">
          <a:avLst/>
        </a:prstGeom>
      </xdr:spPr>
    </xdr:pic>
    <xdr:clientData/>
  </xdr:twoCellAnchor>
  <xdr:twoCellAnchor>
    <xdr:from>
      <xdr:col>1</xdr:col>
      <xdr:colOff>9525</xdr:colOff>
      <xdr:row>24</xdr:row>
      <xdr:rowOff>9525</xdr:rowOff>
    </xdr:from>
    <xdr:to>
      <xdr:col>1</xdr:col>
      <xdr:colOff>1724025</xdr:colOff>
      <xdr:row>24</xdr:row>
      <xdr:rowOff>1724025</xdr:rowOff>
    </xdr:to>
    <xdr:pic>
      <xdr:nvPicPr>
        <xdr:cNvPr id="19" name="Picture 17">
          <a:extLst>
            <a:ext uri="{FF2B5EF4-FFF2-40B4-BE49-F238E27FC236}">
              <a16:creationId xmlns:a16="http://schemas.microsoft.com/office/drawing/2014/main" id="{22041AEA-0A80-4A57-86D5-A98C5982CF3E}"/>
            </a:ext>
          </a:extLst>
        </xdr:cNvPr>
        <xdr:cNvPicPr>
          <a:picLocks noChangeAspect="1"/>
        </xdr:cNvPicPr>
      </xdr:nvPicPr>
      <xdr:blipFill>
        <a:blip xmlns:r="http://schemas.openxmlformats.org/officeDocument/2006/relationships" r:embed="rId18"/>
        <a:srcRect/>
        <a:stretch>
          <a:fillRect/>
        </a:stretch>
      </xdr:blipFill>
      <xdr:spPr>
        <a:xfrm>
          <a:off x="619125" y="14068425"/>
          <a:ext cx="876300" cy="857250"/>
        </a:xfrm>
        <a:prstGeom prst="rect">
          <a:avLst/>
        </a:prstGeom>
      </xdr:spPr>
    </xdr:pic>
    <xdr:clientData/>
  </xdr:twoCellAnchor>
  <xdr:twoCellAnchor>
    <xdr:from>
      <xdr:col>1</xdr:col>
      <xdr:colOff>9525</xdr:colOff>
      <xdr:row>25</xdr:row>
      <xdr:rowOff>9525</xdr:rowOff>
    </xdr:from>
    <xdr:to>
      <xdr:col>1</xdr:col>
      <xdr:colOff>1724025</xdr:colOff>
      <xdr:row>25</xdr:row>
      <xdr:rowOff>1724025</xdr:rowOff>
    </xdr:to>
    <xdr:pic>
      <xdr:nvPicPr>
        <xdr:cNvPr id="20" name="Picture 18">
          <a:extLst>
            <a:ext uri="{FF2B5EF4-FFF2-40B4-BE49-F238E27FC236}">
              <a16:creationId xmlns:a16="http://schemas.microsoft.com/office/drawing/2014/main" id="{80CA3670-6BD0-4679-B606-92AF37CDC2A4}"/>
            </a:ext>
          </a:extLst>
        </xdr:cNvPr>
        <xdr:cNvPicPr>
          <a:picLocks noChangeAspect="1"/>
        </xdr:cNvPicPr>
      </xdr:nvPicPr>
      <xdr:blipFill>
        <a:blip xmlns:r="http://schemas.openxmlformats.org/officeDocument/2006/relationships" r:embed="rId19"/>
        <a:srcRect/>
        <a:stretch>
          <a:fillRect/>
        </a:stretch>
      </xdr:blipFill>
      <xdr:spPr>
        <a:xfrm>
          <a:off x="619125" y="14935200"/>
          <a:ext cx="876300" cy="857250"/>
        </a:xfrm>
        <a:prstGeom prst="rect">
          <a:avLst/>
        </a:prstGeom>
      </xdr:spPr>
    </xdr:pic>
    <xdr:clientData/>
  </xdr:twoCellAnchor>
  <xdr:twoCellAnchor>
    <xdr:from>
      <xdr:col>1</xdr:col>
      <xdr:colOff>9525</xdr:colOff>
      <xdr:row>26</xdr:row>
      <xdr:rowOff>9525</xdr:rowOff>
    </xdr:from>
    <xdr:to>
      <xdr:col>1</xdr:col>
      <xdr:colOff>1724025</xdr:colOff>
      <xdr:row>26</xdr:row>
      <xdr:rowOff>1724025</xdr:rowOff>
    </xdr:to>
    <xdr:pic>
      <xdr:nvPicPr>
        <xdr:cNvPr id="21" name="Picture 19">
          <a:extLst>
            <a:ext uri="{FF2B5EF4-FFF2-40B4-BE49-F238E27FC236}">
              <a16:creationId xmlns:a16="http://schemas.microsoft.com/office/drawing/2014/main" id="{F096C627-1F04-45CE-9049-F27B2C734B62}"/>
            </a:ext>
          </a:extLst>
        </xdr:cNvPr>
        <xdr:cNvPicPr>
          <a:picLocks noChangeAspect="1"/>
        </xdr:cNvPicPr>
      </xdr:nvPicPr>
      <xdr:blipFill>
        <a:blip xmlns:r="http://schemas.openxmlformats.org/officeDocument/2006/relationships" r:embed="rId20"/>
        <a:srcRect/>
        <a:stretch>
          <a:fillRect/>
        </a:stretch>
      </xdr:blipFill>
      <xdr:spPr>
        <a:xfrm>
          <a:off x="619125" y="15801975"/>
          <a:ext cx="876300" cy="857250"/>
        </a:xfrm>
        <a:prstGeom prst="rect">
          <a:avLst/>
        </a:prstGeom>
      </xdr:spPr>
    </xdr:pic>
    <xdr:clientData/>
  </xdr:twoCellAnchor>
  <xdr:twoCellAnchor>
    <xdr:from>
      <xdr:col>1</xdr:col>
      <xdr:colOff>9525</xdr:colOff>
      <xdr:row>27</xdr:row>
      <xdr:rowOff>9525</xdr:rowOff>
    </xdr:from>
    <xdr:to>
      <xdr:col>1</xdr:col>
      <xdr:colOff>1724025</xdr:colOff>
      <xdr:row>27</xdr:row>
      <xdr:rowOff>1724025</xdr:rowOff>
    </xdr:to>
    <xdr:pic>
      <xdr:nvPicPr>
        <xdr:cNvPr id="22" name="Picture 20">
          <a:extLst>
            <a:ext uri="{FF2B5EF4-FFF2-40B4-BE49-F238E27FC236}">
              <a16:creationId xmlns:a16="http://schemas.microsoft.com/office/drawing/2014/main" id="{C4CC4BE9-9710-4950-AE5E-C93A07639E12}"/>
            </a:ext>
          </a:extLst>
        </xdr:cNvPr>
        <xdr:cNvPicPr>
          <a:picLocks noChangeAspect="1"/>
        </xdr:cNvPicPr>
      </xdr:nvPicPr>
      <xdr:blipFill>
        <a:blip xmlns:r="http://schemas.openxmlformats.org/officeDocument/2006/relationships" r:embed="rId21"/>
        <a:srcRect/>
        <a:stretch>
          <a:fillRect/>
        </a:stretch>
      </xdr:blipFill>
      <xdr:spPr>
        <a:xfrm>
          <a:off x="619125" y="16668750"/>
          <a:ext cx="876300" cy="857250"/>
        </a:xfrm>
        <a:prstGeom prst="rect">
          <a:avLst/>
        </a:prstGeom>
      </xdr:spPr>
    </xdr:pic>
    <xdr:clientData/>
  </xdr:twoCellAnchor>
  <xdr:twoCellAnchor>
    <xdr:from>
      <xdr:col>1</xdr:col>
      <xdr:colOff>9525</xdr:colOff>
      <xdr:row>28</xdr:row>
      <xdr:rowOff>9525</xdr:rowOff>
    </xdr:from>
    <xdr:to>
      <xdr:col>1</xdr:col>
      <xdr:colOff>1724025</xdr:colOff>
      <xdr:row>28</xdr:row>
      <xdr:rowOff>1724025</xdr:rowOff>
    </xdr:to>
    <xdr:pic>
      <xdr:nvPicPr>
        <xdr:cNvPr id="23" name="Picture 21">
          <a:extLst>
            <a:ext uri="{FF2B5EF4-FFF2-40B4-BE49-F238E27FC236}">
              <a16:creationId xmlns:a16="http://schemas.microsoft.com/office/drawing/2014/main" id="{24F5B7E1-6CAE-45CC-98C1-E6EA36DD996C}"/>
            </a:ext>
          </a:extLst>
        </xdr:cNvPr>
        <xdr:cNvPicPr>
          <a:picLocks noChangeAspect="1"/>
        </xdr:cNvPicPr>
      </xdr:nvPicPr>
      <xdr:blipFill>
        <a:blip xmlns:r="http://schemas.openxmlformats.org/officeDocument/2006/relationships" r:embed="rId22"/>
        <a:srcRect/>
        <a:stretch>
          <a:fillRect/>
        </a:stretch>
      </xdr:blipFill>
      <xdr:spPr>
        <a:xfrm>
          <a:off x="619125" y="17535525"/>
          <a:ext cx="876300" cy="857250"/>
        </a:xfrm>
        <a:prstGeom prst="rect">
          <a:avLst/>
        </a:prstGeom>
      </xdr:spPr>
    </xdr:pic>
    <xdr:clientData/>
  </xdr:twoCellAnchor>
  <xdr:twoCellAnchor>
    <xdr:from>
      <xdr:col>1</xdr:col>
      <xdr:colOff>9525</xdr:colOff>
      <xdr:row>29</xdr:row>
      <xdr:rowOff>9525</xdr:rowOff>
    </xdr:from>
    <xdr:to>
      <xdr:col>1</xdr:col>
      <xdr:colOff>1724025</xdr:colOff>
      <xdr:row>29</xdr:row>
      <xdr:rowOff>1724025</xdr:rowOff>
    </xdr:to>
    <xdr:pic>
      <xdr:nvPicPr>
        <xdr:cNvPr id="24" name="Picture 22">
          <a:extLst>
            <a:ext uri="{FF2B5EF4-FFF2-40B4-BE49-F238E27FC236}">
              <a16:creationId xmlns:a16="http://schemas.microsoft.com/office/drawing/2014/main" id="{F2B0806E-EEFF-4C15-B35E-D6B568158DD2}"/>
            </a:ext>
          </a:extLst>
        </xdr:cNvPr>
        <xdr:cNvPicPr>
          <a:picLocks noChangeAspect="1"/>
        </xdr:cNvPicPr>
      </xdr:nvPicPr>
      <xdr:blipFill>
        <a:blip xmlns:r="http://schemas.openxmlformats.org/officeDocument/2006/relationships" r:embed="rId23"/>
        <a:srcRect/>
        <a:stretch>
          <a:fillRect/>
        </a:stretch>
      </xdr:blipFill>
      <xdr:spPr>
        <a:xfrm>
          <a:off x="619125" y="18402300"/>
          <a:ext cx="876300" cy="857250"/>
        </a:xfrm>
        <a:prstGeom prst="rect">
          <a:avLst/>
        </a:prstGeom>
      </xdr:spPr>
    </xdr:pic>
    <xdr:clientData/>
  </xdr:twoCellAnchor>
  <xdr:twoCellAnchor>
    <xdr:from>
      <xdr:col>1</xdr:col>
      <xdr:colOff>9525</xdr:colOff>
      <xdr:row>30</xdr:row>
      <xdr:rowOff>9525</xdr:rowOff>
    </xdr:from>
    <xdr:to>
      <xdr:col>1</xdr:col>
      <xdr:colOff>1724025</xdr:colOff>
      <xdr:row>30</xdr:row>
      <xdr:rowOff>1724025</xdr:rowOff>
    </xdr:to>
    <xdr:pic>
      <xdr:nvPicPr>
        <xdr:cNvPr id="25" name="Picture 23">
          <a:extLst>
            <a:ext uri="{FF2B5EF4-FFF2-40B4-BE49-F238E27FC236}">
              <a16:creationId xmlns:a16="http://schemas.microsoft.com/office/drawing/2014/main" id="{6754FE66-309A-4F12-BD51-0DE67EFE2DD6}"/>
            </a:ext>
          </a:extLst>
        </xdr:cNvPr>
        <xdr:cNvPicPr>
          <a:picLocks noChangeAspect="1"/>
        </xdr:cNvPicPr>
      </xdr:nvPicPr>
      <xdr:blipFill>
        <a:blip xmlns:r="http://schemas.openxmlformats.org/officeDocument/2006/relationships" r:embed="rId24"/>
        <a:srcRect/>
        <a:stretch>
          <a:fillRect/>
        </a:stretch>
      </xdr:blipFill>
      <xdr:spPr>
        <a:xfrm>
          <a:off x="619125" y="19269075"/>
          <a:ext cx="876300" cy="857250"/>
        </a:xfrm>
        <a:prstGeom prst="rect">
          <a:avLst/>
        </a:prstGeom>
      </xdr:spPr>
    </xdr:pic>
    <xdr:clientData/>
  </xdr:twoCellAnchor>
  <xdr:twoCellAnchor>
    <xdr:from>
      <xdr:col>1</xdr:col>
      <xdr:colOff>9525</xdr:colOff>
      <xdr:row>31</xdr:row>
      <xdr:rowOff>9525</xdr:rowOff>
    </xdr:from>
    <xdr:to>
      <xdr:col>1</xdr:col>
      <xdr:colOff>1724025</xdr:colOff>
      <xdr:row>31</xdr:row>
      <xdr:rowOff>1724025</xdr:rowOff>
    </xdr:to>
    <xdr:pic>
      <xdr:nvPicPr>
        <xdr:cNvPr id="26" name="Picture 24">
          <a:extLst>
            <a:ext uri="{FF2B5EF4-FFF2-40B4-BE49-F238E27FC236}">
              <a16:creationId xmlns:a16="http://schemas.microsoft.com/office/drawing/2014/main" id="{2D49BAB9-5BEE-4CB0-B529-68DEFD14E478}"/>
            </a:ext>
          </a:extLst>
        </xdr:cNvPr>
        <xdr:cNvPicPr>
          <a:picLocks noChangeAspect="1"/>
        </xdr:cNvPicPr>
      </xdr:nvPicPr>
      <xdr:blipFill>
        <a:blip xmlns:r="http://schemas.openxmlformats.org/officeDocument/2006/relationships" r:embed="rId25"/>
        <a:srcRect/>
        <a:stretch>
          <a:fillRect/>
        </a:stretch>
      </xdr:blipFill>
      <xdr:spPr>
        <a:xfrm>
          <a:off x="619125" y="20135850"/>
          <a:ext cx="876300" cy="857250"/>
        </a:xfrm>
        <a:prstGeom prst="rect">
          <a:avLst/>
        </a:prstGeom>
      </xdr:spPr>
    </xdr:pic>
    <xdr:clientData/>
  </xdr:twoCellAnchor>
  <xdr:twoCellAnchor>
    <xdr:from>
      <xdr:col>1</xdr:col>
      <xdr:colOff>9525</xdr:colOff>
      <xdr:row>32</xdr:row>
      <xdr:rowOff>9525</xdr:rowOff>
    </xdr:from>
    <xdr:to>
      <xdr:col>1</xdr:col>
      <xdr:colOff>1724025</xdr:colOff>
      <xdr:row>32</xdr:row>
      <xdr:rowOff>1724025</xdr:rowOff>
    </xdr:to>
    <xdr:pic>
      <xdr:nvPicPr>
        <xdr:cNvPr id="27" name="Picture 25">
          <a:extLst>
            <a:ext uri="{FF2B5EF4-FFF2-40B4-BE49-F238E27FC236}">
              <a16:creationId xmlns:a16="http://schemas.microsoft.com/office/drawing/2014/main" id="{41D93CC7-5A69-4AFD-8DF6-40B5A36CE1B0}"/>
            </a:ext>
          </a:extLst>
        </xdr:cNvPr>
        <xdr:cNvPicPr>
          <a:picLocks noChangeAspect="1"/>
        </xdr:cNvPicPr>
      </xdr:nvPicPr>
      <xdr:blipFill>
        <a:blip xmlns:r="http://schemas.openxmlformats.org/officeDocument/2006/relationships" r:embed="rId26"/>
        <a:srcRect/>
        <a:stretch>
          <a:fillRect/>
        </a:stretch>
      </xdr:blipFill>
      <xdr:spPr>
        <a:xfrm>
          <a:off x="619125" y="21002625"/>
          <a:ext cx="876300" cy="857250"/>
        </a:xfrm>
        <a:prstGeom prst="rect">
          <a:avLst/>
        </a:prstGeom>
      </xdr:spPr>
    </xdr:pic>
    <xdr:clientData/>
  </xdr:twoCellAnchor>
  <xdr:twoCellAnchor>
    <xdr:from>
      <xdr:col>1</xdr:col>
      <xdr:colOff>9525</xdr:colOff>
      <xdr:row>33</xdr:row>
      <xdr:rowOff>9525</xdr:rowOff>
    </xdr:from>
    <xdr:to>
      <xdr:col>1</xdr:col>
      <xdr:colOff>1724025</xdr:colOff>
      <xdr:row>33</xdr:row>
      <xdr:rowOff>1724025</xdr:rowOff>
    </xdr:to>
    <xdr:pic>
      <xdr:nvPicPr>
        <xdr:cNvPr id="28" name="Picture 26">
          <a:extLst>
            <a:ext uri="{FF2B5EF4-FFF2-40B4-BE49-F238E27FC236}">
              <a16:creationId xmlns:a16="http://schemas.microsoft.com/office/drawing/2014/main" id="{EAFC070F-95C7-412B-BF11-82A443AF53E3}"/>
            </a:ext>
          </a:extLst>
        </xdr:cNvPr>
        <xdr:cNvPicPr>
          <a:picLocks noChangeAspect="1"/>
        </xdr:cNvPicPr>
      </xdr:nvPicPr>
      <xdr:blipFill>
        <a:blip xmlns:r="http://schemas.openxmlformats.org/officeDocument/2006/relationships" r:embed="rId27"/>
        <a:srcRect/>
        <a:stretch>
          <a:fillRect/>
        </a:stretch>
      </xdr:blipFill>
      <xdr:spPr>
        <a:xfrm>
          <a:off x="619125" y="21869400"/>
          <a:ext cx="876300" cy="857250"/>
        </a:xfrm>
        <a:prstGeom prst="rect">
          <a:avLst/>
        </a:prstGeom>
      </xdr:spPr>
    </xdr:pic>
    <xdr:clientData/>
  </xdr:twoCellAnchor>
  <xdr:twoCellAnchor>
    <xdr:from>
      <xdr:col>1</xdr:col>
      <xdr:colOff>9525</xdr:colOff>
      <xdr:row>34</xdr:row>
      <xdr:rowOff>9525</xdr:rowOff>
    </xdr:from>
    <xdr:to>
      <xdr:col>1</xdr:col>
      <xdr:colOff>1724025</xdr:colOff>
      <xdr:row>34</xdr:row>
      <xdr:rowOff>1724025</xdr:rowOff>
    </xdr:to>
    <xdr:pic>
      <xdr:nvPicPr>
        <xdr:cNvPr id="29" name="Picture 27">
          <a:extLst>
            <a:ext uri="{FF2B5EF4-FFF2-40B4-BE49-F238E27FC236}">
              <a16:creationId xmlns:a16="http://schemas.microsoft.com/office/drawing/2014/main" id="{09692096-427C-4646-9AAC-A6484C64C808}"/>
            </a:ext>
          </a:extLst>
        </xdr:cNvPr>
        <xdr:cNvPicPr>
          <a:picLocks noChangeAspect="1"/>
        </xdr:cNvPicPr>
      </xdr:nvPicPr>
      <xdr:blipFill>
        <a:blip xmlns:r="http://schemas.openxmlformats.org/officeDocument/2006/relationships" r:embed="rId28"/>
        <a:srcRect/>
        <a:stretch>
          <a:fillRect/>
        </a:stretch>
      </xdr:blipFill>
      <xdr:spPr>
        <a:xfrm>
          <a:off x="619125" y="22736175"/>
          <a:ext cx="876300" cy="857250"/>
        </a:xfrm>
        <a:prstGeom prst="rect">
          <a:avLst/>
        </a:prstGeom>
      </xdr:spPr>
    </xdr:pic>
    <xdr:clientData/>
  </xdr:twoCellAnchor>
  <xdr:twoCellAnchor>
    <xdr:from>
      <xdr:col>1</xdr:col>
      <xdr:colOff>9525</xdr:colOff>
      <xdr:row>35</xdr:row>
      <xdr:rowOff>9525</xdr:rowOff>
    </xdr:from>
    <xdr:to>
      <xdr:col>1</xdr:col>
      <xdr:colOff>1724025</xdr:colOff>
      <xdr:row>35</xdr:row>
      <xdr:rowOff>1724025</xdr:rowOff>
    </xdr:to>
    <xdr:pic>
      <xdr:nvPicPr>
        <xdr:cNvPr id="30" name="Picture 28">
          <a:extLst>
            <a:ext uri="{FF2B5EF4-FFF2-40B4-BE49-F238E27FC236}">
              <a16:creationId xmlns:a16="http://schemas.microsoft.com/office/drawing/2014/main" id="{B8DF9AAF-4A43-4022-AA1C-6E3A40E8F125}"/>
            </a:ext>
          </a:extLst>
        </xdr:cNvPr>
        <xdr:cNvPicPr>
          <a:picLocks noChangeAspect="1"/>
        </xdr:cNvPicPr>
      </xdr:nvPicPr>
      <xdr:blipFill>
        <a:blip xmlns:r="http://schemas.openxmlformats.org/officeDocument/2006/relationships" r:embed="rId29"/>
        <a:srcRect/>
        <a:stretch>
          <a:fillRect/>
        </a:stretch>
      </xdr:blipFill>
      <xdr:spPr>
        <a:xfrm>
          <a:off x="619125" y="23602950"/>
          <a:ext cx="876300" cy="857250"/>
        </a:xfrm>
        <a:prstGeom prst="rect">
          <a:avLst/>
        </a:prstGeom>
      </xdr:spPr>
    </xdr:pic>
    <xdr:clientData/>
  </xdr:twoCellAnchor>
  <xdr:twoCellAnchor>
    <xdr:from>
      <xdr:col>1</xdr:col>
      <xdr:colOff>9525</xdr:colOff>
      <xdr:row>36</xdr:row>
      <xdr:rowOff>9525</xdr:rowOff>
    </xdr:from>
    <xdr:to>
      <xdr:col>1</xdr:col>
      <xdr:colOff>1724025</xdr:colOff>
      <xdr:row>36</xdr:row>
      <xdr:rowOff>1724025</xdr:rowOff>
    </xdr:to>
    <xdr:pic>
      <xdr:nvPicPr>
        <xdr:cNvPr id="31" name="Picture 29">
          <a:extLst>
            <a:ext uri="{FF2B5EF4-FFF2-40B4-BE49-F238E27FC236}">
              <a16:creationId xmlns:a16="http://schemas.microsoft.com/office/drawing/2014/main" id="{F9C031BD-A110-4C82-AB70-7CC38BFEB698}"/>
            </a:ext>
          </a:extLst>
        </xdr:cNvPr>
        <xdr:cNvPicPr>
          <a:picLocks noChangeAspect="1"/>
        </xdr:cNvPicPr>
      </xdr:nvPicPr>
      <xdr:blipFill>
        <a:blip xmlns:r="http://schemas.openxmlformats.org/officeDocument/2006/relationships" r:embed="rId30"/>
        <a:srcRect/>
        <a:stretch>
          <a:fillRect/>
        </a:stretch>
      </xdr:blipFill>
      <xdr:spPr>
        <a:xfrm>
          <a:off x="619125" y="24469725"/>
          <a:ext cx="876300" cy="857250"/>
        </a:xfrm>
        <a:prstGeom prst="rect">
          <a:avLst/>
        </a:prstGeom>
      </xdr:spPr>
    </xdr:pic>
    <xdr:clientData/>
  </xdr:twoCellAnchor>
  <xdr:twoCellAnchor>
    <xdr:from>
      <xdr:col>1</xdr:col>
      <xdr:colOff>9525</xdr:colOff>
      <xdr:row>37</xdr:row>
      <xdr:rowOff>9525</xdr:rowOff>
    </xdr:from>
    <xdr:to>
      <xdr:col>1</xdr:col>
      <xdr:colOff>1724025</xdr:colOff>
      <xdr:row>37</xdr:row>
      <xdr:rowOff>1724025</xdr:rowOff>
    </xdr:to>
    <xdr:pic>
      <xdr:nvPicPr>
        <xdr:cNvPr id="32" name="Picture 30">
          <a:extLst>
            <a:ext uri="{FF2B5EF4-FFF2-40B4-BE49-F238E27FC236}">
              <a16:creationId xmlns:a16="http://schemas.microsoft.com/office/drawing/2014/main" id="{932A6F0A-E3C4-4011-A8EB-70726767B404}"/>
            </a:ext>
          </a:extLst>
        </xdr:cNvPr>
        <xdr:cNvPicPr>
          <a:picLocks noChangeAspect="1"/>
        </xdr:cNvPicPr>
      </xdr:nvPicPr>
      <xdr:blipFill>
        <a:blip xmlns:r="http://schemas.openxmlformats.org/officeDocument/2006/relationships" r:embed="rId31"/>
        <a:srcRect/>
        <a:stretch>
          <a:fillRect/>
        </a:stretch>
      </xdr:blipFill>
      <xdr:spPr>
        <a:xfrm>
          <a:off x="619125" y="25336500"/>
          <a:ext cx="876300" cy="857250"/>
        </a:xfrm>
        <a:prstGeom prst="rect">
          <a:avLst/>
        </a:prstGeom>
      </xdr:spPr>
    </xdr:pic>
    <xdr:clientData/>
  </xdr:twoCellAnchor>
  <xdr:twoCellAnchor>
    <xdr:from>
      <xdr:col>1</xdr:col>
      <xdr:colOff>9525</xdr:colOff>
      <xdr:row>38</xdr:row>
      <xdr:rowOff>9525</xdr:rowOff>
    </xdr:from>
    <xdr:to>
      <xdr:col>1</xdr:col>
      <xdr:colOff>1724025</xdr:colOff>
      <xdr:row>38</xdr:row>
      <xdr:rowOff>1724025</xdr:rowOff>
    </xdr:to>
    <xdr:pic>
      <xdr:nvPicPr>
        <xdr:cNvPr id="33" name="Picture 31">
          <a:extLst>
            <a:ext uri="{FF2B5EF4-FFF2-40B4-BE49-F238E27FC236}">
              <a16:creationId xmlns:a16="http://schemas.microsoft.com/office/drawing/2014/main" id="{713747F6-9AD9-4F3E-A9F1-729E9FFF834A}"/>
            </a:ext>
          </a:extLst>
        </xdr:cNvPr>
        <xdr:cNvPicPr>
          <a:picLocks noChangeAspect="1"/>
        </xdr:cNvPicPr>
      </xdr:nvPicPr>
      <xdr:blipFill>
        <a:blip xmlns:r="http://schemas.openxmlformats.org/officeDocument/2006/relationships" r:embed="rId32"/>
        <a:srcRect/>
        <a:stretch>
          <a:fillRect/>
        </a:stretch>
      </xdr:blipFill>
      <xdr:spPr>
        <a:xfrm>
          <a:off x="619125" y="26203275"/>
          <a:ext cx="876300" cy="857250"/>
        </a:xfrm>
        <a:prstGeom prst="rect">
          <a:avLst/>
        </a:prstGeom>
      </xdr:spPr>
    </xdr:pic>
    <xdr:clientData/>
  </xdr:twoCellAnchor>
  <xdr:twoCellAnchor>
    <xdr:from>
      <xdr:col>1</xdr:col>
      <xdr:colOff>9525</xdr:colOff>
      <xdr:row>39</xdr:row>
      <xdr:rowOff>9525</xdr:rowOff>
    </xdr:from>
    <xdr:to>
      <xdr:col>1</xdr:col>
      <xdr:colOff>1724025</xdr:colOff>
      <xdr:row>39</xdr:row>
      <xdr:rowOff>1724025</xdr:rowOff>
    </xdr:to>
    <xdr:pic>
      <xdr:nvPicPr>
        <xdr:cNvPr id="34" name="Picture 32">
          <a:extLst>
            <a:ext uri="{FF2B5EF4-FFF2-40B4-BE49-F238E27FC236}">
              <a16:creationId xmlns:a16="http://schemas.microsoft.com/office/drawing/2014/main" id="{34B27015-9BDD-4BA2-B36A-7D31F8AE054C}"/>
            </a:ext>
          </a:extLst>
        </xdr:cNvPr>
        <xdr:cNvPicPr>
          <a:picLocks noChangeAspect="1"/>
        </xdr:cNvPicPr>
      </xdr:nvPicPr>
      <xdr:blipFill>
        <a:blip xmlns:r="http://schemas.openxmlformats.org/officeDocument/2006/relationships" r:embed="rId33"/>
        <a:srcRect/>
        <a:stretch>
          <a:fillRect/>
        </a:stretch>
      </xdr:blipFill>
      <xdr:spPr>
        <a:xfrm>
          <a:off x="619125" y="27070050"/>
          <a:ext cx="876300" cy="857250"/>
        </a:xfrm>
        <a:prstGeom prst="rect">
          <a:avLst/>
        </a:prstGeom>
      </xdr:spPr>
    </xdr:pic>
    <xdr:clientData/>
  </xdr:twoCellAnchor>
  <xdr:twoCellAnchor>
    <xdr:from>
      <xdr:col>1</xdr:col>
      <xdr:colOff>9525</xdr:colOff>
      <xdr:row>40</xdr:row>
      <xdr:rowOff>9525</xdr:rowOff>
    </xdr:from>
    <xdr:to>
      <xdr:col>1</xdr:col>
      <xdr:colOff>1724025</xdr:colOff>
      <xdr:row>40</xdr:row>
      <xdr:rowOff>1724025</xdr:rowOff>
    </xdr:to>
    <xdr:pic>
      <xdr:nvPicPr>
        <xdr:cNvPr id="35" name="Picture 33">
          <a:extLst>
            <a:ext uri="{FF2B5EF4-FFF2-40B4-BE49-F238E27FC236}">
              <a16:creationId xmlns:a16="http://schemas.microsoft.com/office/drawing/2014/main" id="{26103F71-5323-49F2-8591-4702E74CCD85}"/>
            </a:ext>
          </a:extLst>
        </xdr:cNvPr>
        <xdr:cNvPicPr>
          <a:picLocks noChangeAspect="1"/>
        </xdr:cNvPicPr>
      </xdr:nvPicPr>
      <xdr:blipFill>
        <a:blip xmlns:r="http://schemas.openxmlformats.org/officeDocument/2006/relationships" r:embed="rId34"/>
        <a:srcRect/>
        <a:stretch>
          <a:fillRect/>
        </a:stretch>
      </xdr:blipFill>
      <xdr:spPr>
        <a:xfrm>
          <a:off x="619125" y="27936825"/>
          <a:ext cx="876300" cy="857250"/>
        </a:xfrm>
        <a:prstGeom prst="rect">
          <a:avLst/>
        </a:prstGeom>
      </xdr:spPr>
    </xdr:pic>
    <xdr:clientData/>
  </xdr:twoCellAnchor>
  <xdr:twoCellAnchor>
    <xdr:from>
      <xdr:col>1</xdr:col>
      <xdr:colOff>9525</xdr:colOff>
      <xdr:row>41</xdr:row>
      <xdr:rowOff>9525</xdr:rowOff>
    </xdr:from>
    <xdr:to>
      <xdr:col>1</xdr:col>
      <xdr:colOff>1724025</xdr:colOff>
      <xdr:row>41</xdr:row>
      <xdr:rowOff>1724025</xdr:rowOff>
    </xdr:to>
    <xdr:pic>
      <xdr:nvPicPr>
        <xdr:cNvPr id="36" name="Picture 34">
          <a:extLst>
            <a:ext uri="{FF2B5EF4-FFF2-40B4-BE49-F238E27FC236}">
              <a16:creationId xmlns:a16="http://schemas.microsoft.com/office/drawing/2014/main" id="{4E19A64F-19F6-4290-9E10-10A668B52CFD}"/>
            </a:ext>
          </a:extLst>
        </xdr:cNvPr>
        <xdr:cNvPicPr>
          <a:picLocks noChangeAspect="1"/>
        </xdr:cNvPicPr>
      </xdr:nvPicPr>
      <xdr:blipFill>
        <a:blip xmlns:r="http://schemas.openxmlformats.org/officeDocument/2006/relationships" r:embed="rId35"/>
        <a:srcRect/>
        <a:stretch>
          <a:fillRect/>
        </a:stretch>
      </xdr:blipFill>
      <xdr:spPr>
        <a:xfrm>
          <a:off x="619125" y="28803600"/>
          <a:ext cx="876300" cy="857250"/>
        </a:xfrm>
        <a:prstGeom prst="rect">
          <a:avLst/>
        </a:prstGeom>
      </xdr:spPr>
    </xdr:pic>
    <xdr:clientData/>
  </xdr:twoCellAnchor>
  <xdr:twoCellAnchor>
    <xdr:from>
      <xdr:col>1</xdr:col>
      <xdr:colOff>9525</xdr:colOff>
      <xdr:row>42</xdr:row>
      <xdr:rowOff>9525</xdr:rowOff>
    </xdr:from>
    <xdr:to>
      <xdr:col>1</xdr:col>
      <xdr:colOff>1724025</xdr:colOff>
      <xdr:row>42</xdr:row>
      <xdr:rowOff>1724025</xdr:rowOff>
    </xdr:to>
    <xdr:pic>
      <xdr:nvPicPr>
        <xdr:cNvPr id="37" name="Picture 35">
          <a:extLst>
            <a:ext uri="{FF2B5EF4-FFF2-40B4-BE49-F238E27FC236}">
              <a16:creationId xmlns:a16="http://schemas.microsoft.com/office/drawing/2014/main" id="{529D04CE-569B-4E25-A88F-91849E58C264}"/>
            </a:ext>
          </a:extLst>
        </xdr:cNvPr>
        <xdr:cNvPicPr>
          <a:picLocks noChangeAspect="1"/>
        </xdr:cNvPicPr>
      </xdr:nvPicPr>
      <xdr:blipFill>
        <a:blip xmlns:r="http://schemas.openxmlformats.org/officeDocument/2006/relationships" r:embed="rId36"/>
        <a:srcRect/>
        <a:stretch>
          <a:fillRect/>
        </a:stretch>
      </xdr:blipFill>
      <xdr:spPr>
        <a:xfrm>
          <a:off x="619125" y="29670375"/>
          <a:ext cx="876300" cy="857250"/>
        </a:xfrm>
        <a:prstGeom prst="rect">
          <a:avLst/>
        </a:prstGeom>
      </xdr:spPr>
    </xdr:pic>
    <xdr:clientData/>
  </xdr:twoCellAnchor>
  <xdr:twoCellAnchor>
    <xdr:from>
      <xdr:col>1</xdr:col>
      <xdr:colOff>9525</xdr:colOff>
      <xdr:row>43</xdr:row>
      <xdr:rowOff>9525</xdr:rowOff>
    </xdr:from>
    <xdr:to>
      <xdr:col>1</xdr:col>
      <xdr:colOff>1724025</xdr:colOff>
      <xdr:row>43</xdr:row>
      <xdr:rowOff>1724025</xdr:rowOff>
    </xdr:to>
    <xdr:pic>
      <xdr:nvPicPr>
        <xdr:cNvPr id="38" name="Picture 36">
          <a:extLst>
            <a:ext uri="{FF2B5EF4-FFF2-40B4-BE49-F238E27FC236}">
              <a16:creationId xmlns:a16="http://schemas.microsoft.com/office/drawing/2014/main" id="{A677205E-D41C-4442-B00C-0B8F3DB96A80}"/>
            </a:ext>
          </a:extLst>
        </xdr:cNvPr>
        <xdr:cNvPicPr>
          <a:picLocks noChangeAspect="1"/>
        </xdr:cNvPicPr>
      </xdr:nvPicPr>
      <xdr:blipFill>
        <a:blip xmlns:r="http://schemas.openxmlformats.org/officeDocument/2006/relationships" r:embed="rId37"/>
        <a:srcRect/>
        <a:stretch>
          <a:fillRect/>
        </a:stretch>
      </xdr:blipFill>
      <xdr:spPr>
        <a:xfrm>
          <a:off x="619125" y="30537150"/>
          <a:ext cx="876300" cy="857250"/>
        </a:xfrm>
        <a:prstGeom prst="rect">
          <a:avLst/>
        </a:prstGeom>
      </xdr:spPr>
    </xdr:pic>
    <xdr:clientData/>
  </xdr:twoCellAnchor>
  <xdr:twoCellAnchor>
    <xdr:from>
      <xdr:col>1</xdr:col>
      <xdr:colOff>9525</xdr:colOff>
      <xdr:row>44</xdr:row>
      <xdr:rowOff>9525</xdr:rowOff>
    </xdr:from>
    <xdr:to>
      <xdr:col>1</xdr:col>
      <xdr:colOff>1724025</xdr:colOff>
      <xdr:row>44</xdr:row>
      <xdr:rowOff>1724025</xdr:rowOff>
    </xdr:to>
    <xdr:pic>
      <xdr:nvPicPr>
        <xdr:cNvPr id="39" name="Picture 37">
          <a:extLst>
            <a:ext uri="{FF2B5EF4-FFF2-40B4-BE49-F238E27FC236}">
              <a16:creationId xmlns:a16="http://schemas.microsoft.com/office/drawing/2014/main" id="{2A7A0269-4407-4D9B-B1F2-4CA066E3DCC6}"/>
            </a:ext>
          </a:extLst>
        </xdr:cNvPr>
        <xdr:cNvPicPr>
          <a:picLocks noChangeAspect="1"/>
        </xdr:cNvPicPr>
      </xdr:nvPicPr>
      <xdr:blipFill>
        <a:blip xmlns:r="http://schemas.openxmlformats.org/officeDocument/2006/relationships" r:embed="rId38"/>
        <a:srcRect/>
        <a:stretch>
          <a:fillRect/>
        </a:stretch>
      </xdr:blipFill>
      <xdr:spPr>
        <a:xfrm>
          <a:off x="619125" y="31403925"/>
          <a:ext cx="876300" cy="857250"/>
        </a:xfrm>
        <a:prstGeom prst="rect">
          <a:avLst/>
        </a:prstGeom>
      </xdr:spPr>
    </xdr:pic>
    <xdr:clientData/>
  </xdr:twoCellAnchor>
  <xdr:twoCellAnchor>
    <xdr:from>
      <xdr:col>1</xdr:col>
      <xdr:colOff>9525</xdr:colOff>
      <xdr:row>45</xdr:row>
      <xdr:rowOff>9525</xdr:rowOff>
    </xdr:from>
    <xdr:to>
      <xdr:col>1</xdr:col>
      <xdr:colOff>1724025</xdr:colOff>
      <xdr:row>45</xdr:row>
      <xdr:rowOff>1724025</xdr:rowOff>
    </xdr:to>
    <xdr:pic>
      <xdr:nvPicPr>
        <xdr:cNvPr id="40" name="Picture 38">
          <a:extLst>
            <a:ext uri="{FF2B5EF4-FFF2-40B4-BE49-F238E27FC236}">
              <a16:creationId xmlns:a16="http://schemas.microsoft.com/office/drawing/2014/main" id="{FECF43D7-18A8-4234-AA3A-DFB374B7A1C0}"/>
            </a:ext>
          </a:extLst>
        </xdr:cNvPr>
        <xdr:cNvPicPr>
          <a:picLocks noChangeAspect="1"/>
        </xdr:cNvPicPr>
      </xdr:nvPicPr>
      <xdr:blipFill>
        <a:blip xmlns:r="http://schemas.openxmlformats.org/officeDocument/2006/relationships" r:embed="rId39"/>
        <a:srcRect/>
        <a:stretch>
          <a:fillRect/>
        </a:stretch>
      </xdr:blipFill>
      <xdr:spPr>
        <a:xfrm>
          <a:off x="619125" y="32270700"/>
          <a:ext cx="876300" cy="857250"/>
        </a:xfrm>
        <a:prstGeom prst="rect">
          <a:avLst/>
        </a:prstGeom>
      </xdr:spPr>
    </xdr:pic>
    <xdr:clientData/>
  </xdr:twoCellAnchor>
  <xdr:twoCellAnchor>
    <xdr:from>
      <xdr:col>1</xdr:col>
      <xdr:colOff>9525</xdr:colOff>
      <xdr:row>46</xdr:row>
      <xdr:rowOff>9525</xdr:rowOff>
    </xdr:from>
    <xdr:to>
      <xdr:col>1</xdr:col>
      <xdr:colOff>1724025</xdr:colOff>
      <xdr:row>46</xdr:row>
      <xdr:rowOff>1724025</xdr:rowOff>
    </xdr:to>
    <xdr:pic>
      <xdr:nvPicPr>
        <xdr:cNvPr id="41" name="Picture 39">
          <a:extLst>
            <a:ext uri="{FF2B5EF4-FFF2-40B4-BE49-F238E27FC236}">
              <a16:creationId xmlns:a16="http://schemas.microsoft.com/office/drawing/2014/main" id="{63F1583F-1A00-4E5E-AD8D-250A7E2764F3}"/>
            </a:ext>
          </a:extLst>
        </xdr:cNvPr>
        <xdr:cNvPicPr>
          <a:picLocks noChangeAspect="1"/>
        </xdr:cNvPicPr>
      </xdr:nvPicPr>
      <xdr:blipFill>
        <a:blip xmlns:r="http://schemas.openxmlformats.org/officeDocument/2006/relationships" r:embed="rId40"/>
        <a:srcRect/>
        <a:stretch>
          <a:fillRect/>
        </a:stretch>
      </xdr:blipFill>
      <xdr:spPr>
        <a:xfrm>
          <a:off x="619125" y="33137475"/>
          <a:ext cx="876300" cy="857250"/>
        </a:xfrm>
        <a:prstGeom prst="rect">
          <a:avLst/>
        </a:prstGeom>
      </xdr:spPr>
    </xdr:pic>
    <xdr:clientData/>
  </xdr:twoCellAnchor>
  <xdr:twoCellAnchor>
    <xdr:from>
      <xdr:col>1</xdr:col>
      <xdr:colOff>9525</xdr:colOff>
      <xdr:row>47</xdr:row>
      <xdr:rowOff>9525</xdr:rowOff>
    </xdr:from>
    <xdr:to>
      <xdr:col>1</xdr:col>
      <xdr:colOff>1724025</xdr:colOff>
      <xdr:row>47</xdr:row>
      <xdr:rowOff>1724025</xdr:rowOff>
    </xdr:to>
    <xdr:pic>
      <xdr:nvPicPr>
        <xdr:cNvPr id="42" name="Picture 40">
          <a:extLst>
            <a:ext uri="{FF2B5EF4-FFF2-40B4-BE49-F238E27FC236}">
              <a16:creationId xmlns:a16="http://schemas.microsoft.com/office/drawing/2014/main" id="{0158907A-BF03-4A76-8517-11050629D612}"/>
            </a:ext>
          </a:extLst>
        </xdr:cNvPr>
        <xdr:cNvPicPr>
          <a:picLocks noChangeAspect="1"/>
        </xdr:cNvPicPr>
      </xdr:nvPicPr>
      <xdr:blipFill>
        <a:blip xmlns:r="http://schemas.openxmlformats.org/officeDocument/2006/relationships" r:embed="rId28"/>
        <a:srcRect/>
        <a:stretch>
          <a:fillRect/>
        </a:stretch>
      </xdr:blipFill>
      <xdr:spPr>
        <a:xfrm>
          <a:off x="619125" y="34004250"/>
          <a:ext cx="876300" cy="857250"/>
        </a:xfrm>
        <a:prstGeom prst="rect">
          <a:avLst/>
        </a:prstGeom>
      </xdr:spPr>
    </xdr:pic>
    <xdr:clientData/>
  </xdr:twoCellAnchor>
  <xdr:twoCellAnchor>
    <xdr:from>
      <xdr:col>1</xdr:col>
      <xdr:colOff>9525</xdr:colOff>
      <xdr:row>48</xdr:row>
      <xdr:rowOff>9525</xdr:rowOff>
    </xdr:from>
    <xdr:to>
      <xdr:col>1</xdr:col>
      <xdr:colOff>1724025</xdr:colOff>
      <xdr:row>48</xdr:row>
      <xdr:rowOff>1724025</xdr:rowOff>
    </xdr:to>
    <xdr:pic>
      <xdr:nvPicPr>
        <xdr:cNvPr id="43" name="Picture 41">
          <a:extLst>
            <a:ext uri="{FF2B5EF4-FFF2-40B4-BE49-F238E27FC236}">
              <a16:creationId xmlns:a16="http://schemas.microsoft.com/office/drawing/2014/main" id="{179DFC81-2D26-423D-8E98-00C5CF16EE61}"/>
            </a:ext>
          </a:extLst>
        </xdr:cNvPr>
        <xdr:cNvPicPr>
          <a:picLocks noChangeAspect="1"/>
        </xdr:cNvPicPr>
      </xdr:nvPicPr>
      <xdr:blipFill>
        <a:blip xmlns:r="http://schemas.openxmlformats.org/officeDocument/2006/relationships" r:embed="rId41"/>
        <a:srcRect/>
        <a:stretch>
          <a:fillRect/>
        </a:stretch>
      </xdr:blipFill>
      <xdr:spPr>
        <a:xfrm>
          <a:off x="619125" y="34871025"/>
          <a:ext cx="876300" cy="857250"/>
        </a:xfrm>
        <a:prstGeom prst="rect">
          <a:avLst/>
        </a:prstGeom>
      </xdr:spPr>
    </xdr:pic>
    <xdr:clientData/>
  </xdr:twoCellAnchor>
  <xdr:twoCellAnchor>
    <xdr:from>
      <xdr:col>1</xdr:col>
      <xdr:colOff>9525</xdr:colOff>
      <xdr:row>49</xdr:row>
      <xdr:rowOff>9525</xdr:rowOff>
    </xdr:from>
    <xdr:to>
      <xdr:col>1</xdr:col>
      <xdr:colOff>1724025</xdr:colOff>
      <xdr:row>49</xdr:row>
      <xdr:rowOff>1724025</xdr:rowOff>
    </xdr:to>
    <xdr:pic>
      <xdr:nvPicPr>
        <xdr:cNvPr id="44" name="Picture 42">
          <a:extLst>
            <a:ext uri="{FF2B5EF4-FFF2-40B4-BE49-F238E27FC236}">
              <a16:creationId xmlns:a16="http://schemas.microsoft.com/office/drawing/2014/main" id="{D6BC9C17-6291-45EF-B59F-AC82297371CE}"/>
            </a:ext>
          </a:extLst>
        </xdr:cNvPr>
        <xdr:cNvPicPr>
          <a:picLocks noChangeAspect="1"/>
        </xdr:cNvPicPr>
      </xdr:nvPicPr>
      <xdr:blipFill>
        <a:blip xmlns:r="http://schemas.openxmlformats.org/officeDocument/2006/relationships" r:embed="rId42"/>
        <a:srcRect/>
        <a:stretch>
          <a:fillRect/>
        </a:stretch>
      </xdr:blipFill>
      <xdr:spPr>
        <a:xfrm>
          <a:off x="619125" y="35737800"/>
          <a:ext cx="876300" cy="857250"/>
        </a:xfrm>
        <a:prstGeom prst="rect">
          <a:avLst/>
        </a:prstGeom>
      </xdr:spPr>
    </xdr:pic>
    <xdr:clientData/>
  </xdr:twoCellAnchor>
  <xdr:twoCellAnchor>
    <xdr:from>
      <xdr:col>1</xdr:col>
      <xdr:colOff>9525</xdr:colOff>
      <xdr:row>50</xdr:row>
      <xdr:rowOff>9525</xdr:rowOff>
    </xdr:from>
    <xdr:to>
      <xdr:col>1</xdr:col>
      <xdr:colOff>1724025</xdr:colOff>
      <xdr:row>50</xdr:row>
      <xdr:rowOff>1724025</xdr:rowOff>
    </xdr:to>
    <xdr:pic>
      <xdr:nvPicPr>
        <xdr:cNvPr id="45" name="Picture 43">
          <a:extLst>
            <a:ext uri="{FF2B5EF4-FFF2-40B4-BE49-F238E27FC236}">
              <a16:creationId xmlns:a16="http://schemas.microsoft.com/office/drawing/2014/main" id="{2D9D8A59-8FFD-4D0A-AF31-00AB794DA721}"/>
            </a:ext>
          </a:extLst>
        </xdr:cNvPr>
        <xdr:cNvPicPr>
          <a:picLocks noChangeAspect="1"/>
        </xdr:cNvPicPr>
      </xdr:nvPicPr>
      <xdr:blipFill>
        <a:blip xmlns:r="http://schemas.openxmlformats.org/officeDocument/2006/relationships" r:embed="rId43"/>
        <a:srcRect/>
        <a:stretch>
          <a:fillRect/>
        </a:stretch>
      </xdr:blipFill>
      <xdr:spPr>
        <a:xfrm>
          <a:off x="619125" y="36604575"/>
          <a:ext cx="876300" cy="857250"/>
        </a:xfrm>
        <a:prstGeom prst="rect">
          <a:avLst/>
        </a:prstGeom>
      </xdr:spPr>
    </xdr:pic>
    <xdr:clientData/>
  </xdr:twoCellAnchor>
  <xdr:twoCellAnchor>
    <xdr:from>
      <xdr:col>1</xdr:col>
      <xdr:colOff>9525</xdr:colOff>
      <xdr:row>51</xdr:row>
      <xdr:rowOff>9525</xdr:rowOff>
    </xdr:from>
    <xdr:to>
      <xdr:col>1</xdr:col>
      <xdr:colOff>1724025</xdr:colOff>
      <xdr:row>51</xdr:row>
      <xdr:rowOff>1724025</xdr:rowOff>
    </xdr:to>
    <xdr:pic>
      <xdr:nvPicPr>
        <xdr:cNvPr id="46" name="Picture 44">
          <a:extLst>
            <a:ext uri="{FF2B5EF4-FFF2-40B4-BE49-F238E27FC236}">
              <a16:creationId xmlns:a16="http://schemas.microsoft.com/office/drawing/2014/main" id="{F6F23879-EF29-4AFF-919C-4242D9966244}"/>
            </a:ext>
          </a:extLst>
        </xdr:cNvPr>
        <xdr:cNvPicPr>
          <a:picLocks noChangeAspect="1"/>
        </xdr:cNvPicPr>
      </xdr:nvPicPr>
      <xdr:blipFill>
        <a:blip xmlns:r="http://schemas.openxmlformats.org/officeDocument/2006/relationships" r:embed="rId44"/>
        <a:srcRect/>
        <a:stretch>
          <a:fillRect/>
        </a:stretch>
      </xdr:blipFill>
      <xdr:spPr>
        <a:xfrm>
          <a:off x="619125" y="37471350"/>
          <a:ext cx="876300" cy="857250"/>
        </a:xfrm>
        <a:prstGeom prst="rect">
          <a:avLst/>
        </a:prstGeom>
      </xdr:spPr>
    </xdr:pic>
    <xdr:clientData/>
  </xdr:twoCellAnchor>
  <xdr:twoCellAnchor>
    <xdr:from>
      <xdr:col>1</xdr:col>
      <xdr:colOff>9525</xdr:colOff>
      <xdr:row>52</xdr:row>
      <xdr:rowOff>9525</xdr:rowOff>
    </xdr:from>
    <xdr:to>
      <xdr:col>1</xdr:col>
      <xdr:colOff>1724025</xdr:colOff>
      <xdr:row>52</xdr:row>
      <xdr:rowOff>1724025</xdr:rowOff>
    </xdr:to>
    <xdr:pic>
      <xdr:nvPicPr>
        <xdr:cNvPr id="47" name="Picture 45">
          <a:extLst>
            <a:ext uri="{FF2B5EF4-FFF2-40B4-BE49-F238E27FC236}">
              <a16:creationId xmlns:a16="http://schemas.microsoft.com/office/drawing/2014/main" id="{1F5ACC43-1DB2-4380-AE8C-70ACFCB60E18}"/>
            </a:ext>
          </a:extLst>
        </xdr:cNvPr>
        <xdr:cNvPicPr>
          <a:picLocks noChangeAspect="1"/>
        </xdr:cNvPicPr>
      </xdr:nvPicPr>
      <xdr:blipFill>
        <a:blip xmlns:r="http://schemas.openxmlformats.org/officeDocument/2006/relationships" r:embed="rId45"/>
        <a:srcRect/>
        <a:stretch>
          <a:fillRect/>
        </a:stretch>
      </xdr:blipFill>
      <xdr:spPr>
        <a:xfrm>
          <a:off x="619125" y="38338125"/>
          <a:ext cx="876300" cy="857250"/>
        </a:xfrm>
        <a:prstGeom prst="rect">
          <a:avLst/>
        </a:prstGeom>
      </xdr:spPr>
    </xdr:pic>
    <xdr:clientData/>
  </xdr:twoCellAnchor>
  <xdr:twoCellAnchor>
    <xdr:from>
      <xdr:col>1</xdr:col>
      <xdr:colOff>9525</xdr:colOff>
      <xdr:row>53</xdr:row>
      <xdr:rowOff>9525</xdr:rowOff>
    </xdr:from>
    <xdr:to>
      <xdr:col>1</xdr:col>
      <xdr:colOff>1724025</xdr:colOff>
      <xdr:row>53</xdr:row>
      <xdr:rowOff>1724025</xdr:rowOff>
    </xdr:to>
    <xdr:pic>
      <xdr:nvPicPr>
        <xdr:cNvPr id="48" name="Picture 46">
          <a:extLst>
            <a:ext uri="{FF2B5EF4-FFF2-40B4-BE49-F238E27FC236}">
              <a16:creationId xmlns:a16="http://schemas.microsoft.com/office/drawing/2014/main" id="{C0EFF384-AFA5-4DFD-9DC2-28177C555571}"/>
            </a:ext>
          </a:extLst>
        </xdr:cNvPr>
        <xdr:cNvPicPr>
          <a:picLocks noChangeAspect="1"/>
        </xdr:cNvPicPr>
      </xdr:nvPicPr>
      <xdr:blipFill>
        <a:blip xmlns:r="http://schemas.openxmlformats.org/officeDocument/2006/relationships" r:embed="rId46"/>
        <a:srcRect/>
        <a:stretch>
          <a:fillRect/>
        </a:stretch>
      </xdr:blipFill>
      <xdr:spPr>
        <a:xfrm>
          <a:off x="619125" y="39204900"/>
          <a:ext cx="876300" cy="857250"/>
        </a:xfrm>
        <a:prstGeom prst="rect">
          <a:avLst/>
        </a:prstGeom>
      </xdr:spPr>
    </xdr:pic>
    <xdr:clientData/>
  </xdr:twoCellAnchor>
  <xdr:twoCellAnchor>
    <xdr:from>
      <xdr:col>1</xdr:col>
      <xdr:colOff>9525</xdr:colOff>
      <xdr:row>54</xdr:row>
      <xdr:rowOff>9525</xdr:rowOff>
    </xdr:from>
    <xdr:to>
      <xdr:col>1</xdr:col>
      <xdr:colOff>1724025</xdr:colOff>
      <xdr:row>54</xdr:row>
      <xdr:rowOff>1724025</xdr:rowOff>
    </xdr:to>
    <xdr:pic>
      <xdr:nvPicPr>
        <xdr:cNvPr id="49" name="Picture 47">
          <a:extLst>
            <a:ext uri="{FF2B5EF4-FFF2-40B4-BE49-F238E27FC236}">
              <a16:creationId xmlns:a16="http://schemas.microsoft.com/office/drawing/2014/main" id="{98081DFA-9B2B-406F-AD14-BBD30006423F}"/>
            </a:ext>
          </a:extLst>
        </xdr:cNvPr>
        <xdr:cNvPicPr>
          <a:picLocks noChangeAspect="1"/>
        </xdr:cNvPicPr>
      </xdr:nvPicPr>
      <xdr:blipFill>
        <a:blip xmlns:r="http://schemas.openxmlformats.org/officeDocument/2006/relationships" r:embed="rId35"/>
        <a:srcRect/>
        <a:stretch>
          <a:fillRect/>
        </a:stretch>
      </xdr:blipFill>
      <xdr:spPr>
        <a:xfrm>
          <a:off x="619125" y="40071675"/>
          <a:ext cx="876300" cy="857250"/>
        </a:xfrm>
        <a:prstGeom prst="rect">
          <a:avLst/>
        </a:prstGeom>
      </xdr:spPr>
    </xdr:pic>
    <xdr:clientData/>
  </xdr:twoCellAnchor>
  <xdr:twoCellAnchor>
    <xdr:from>
      <xdr:col>1</xdr:col>
      <xdr:colOff>9525</xdr:colOff>
      <xdr:row>55</xdr:row>
      <xdr:rowOff>9525</xdr:rowOff>
    </xdr:from>
    <xdr:to>
      <xdr:col>1</xdr:col>
      <xdr:colOff>1724025</xdr:colOff>
      <xdr:row>55</xdr:row>
      <xdr:rowOff>1724025</xdr:rowOff>
    </xdr:to>
    <xdr:pic>
      <xdr:nvPicPr>
        <xdr:cNvPr id="50" name="Picture 48">
          <a:extLst>
            <a:ext uri="{FF2B5EF4-FFF2-40B4-BE49-F238E27FC236}">
              <a16:creationId xmlns:a16="http://schemas.microsoft.com/office/drawing/2014/main" id="{EE6A23E1-EC09-444B-A7CA-DF90BA0AC918}"/>
            </a:ext>
          </a:extLst>
        </xdr:cNvPr>
        <xdr:cNvPicPr>
          <a:picLocks noChangeAspect="1"/>
        </xdr:cNvPicPr>
      </xdr:nvPicPr>
      <xdr:blipFill>
        <a:blip xmlns:r="http://schemas.openxmlformats.org/officeDocument/2006/relationships" r:embed="rId36"/>
        <a:srcRect/>
        <a:stretch>
          <a:fillRect/>
        </a:stretch>
      </xdr:blipFill>
      <xdr:spPr>
        <a:xfrm>
          <a:off x="619125" y="40938450"/>
          <a:ext cx="876300" cy="857250"/>
        </a:xfrm>
        <a:prstGeom prst="rect">
          <a:avLst/>
        </a:prstGeom>
      </xdr:spPr>
    </xdr:pic>
    <xdr:clientData/>
  </xdr:twoCellAnchor>
  <xdr:twoCellAnchor>
    <xdr:from>
      <xdr:col>1</xdr:col>
      <xdr:colOff>9525</xdr:colOff>
      <xdr:row>56</xdr:row>
      <xdr:rowOff>9525</xdr:rowOff>
    </xdr:from>
    <xdr:to>
      <xdr:col>1</xdr:col>
      <xdr:colOff>1724025</xdr:colOff>
      <xdr:row>56</xdr:row>
      <xdr:rowOff>1724025</xdr:rowOff>
    </xdr:to>
    <xdr:pic>
      <xdr:nvPicPr>
        <xdr:cNvPr id="51" name="Picture 49">
          <a:extLst>
            <a:ext uri="{FF2B5EF4-FFF2-40B4-BE49-F238E27FC236}">
              <a16:creationId xmlns:a16="http://schemas.microsoft.com/office/drawing/2014/main" id="{8C7DF82F-96E9-49F9-923E-6DC94FB0CB4A}"/>
            </a:ext>
          </a:extLst>
        </xdr:cNvPr>
        <xdr:cNvPicPr>
          <a:picLocks noChangeAspect="1"/>
        </xdr:cNvPicPr>
      </xdr:nvPicPr>
      <xdr:blipFill>
        <a:blip xmlns:r="http://schemas.openxmlformats.org/officeDocument/2006/relationships" r:embed="rId37"/>
        <a:srcRect/>
        <a:stretch>
          <a:fillRect/>
        </a:stretch>
      </xdr:blipFill>
      <xdr:spPr>
        <a:xfrm>
          <a:off x="619125" y="41805225"/>
          <a:ext cx="876300" cy="857250"/>
        </a:xfrm>
        <a:prstGeom prst="rect">
          <a:avLst/>
        </a:prstGeom>
      </xdr:spPr>
    </xdr:pic>
    <xdr:clientData/>
  </xdr:twoCellAnchor>
  <xdr:twoCellAnchor>
    <xdr:from>
      <xdr:col>1</xdr:col>
      <xdr:colOff>9525</xdr:colOff>
      <xdr:row>57</xdr:row>
      <xdr:rowOff>9525</xdr:rowOff>
    </xdr:from>
    <xdr:to>
      <xdr:col>1</xdr:col>
      <xdr:colOff>1724025</xdr:colOff>
      <xdr:row>57</xdr:row>
      <xdr:rowOff>1724025</xdr:rowOff>
    </xdr:to>
    <xdr:pic>
      <xdr:nvPicPr>
        <xdr:cNvPr id="52" name="Picture 50">
          <a:extLst>
            <a:ext uri="{FF2B5EF4-FFF2-40B4-BE49-F238E27FC236}">
              <a16:creationId xmlns:a16="http://schemas.microsoft.com/office/drawing/2014/main" id="{E78059A3-F6EC-47EF-B4B6-5C17ED291644}"/>
            </a:ext>
          </a:extLst>
        </xdr:cNvPr>
        <xdr:cNvPicPr>
          <a:picLocks noChangeAspect="1"/>
        </xdr:cNvPicPr>
      </xdr:nvPicPr>
      <xdr:blipFill>
        <a:blip xmlns:r="http://schemas.openxmlformats.org/officeDocument/2006/relationships" r:embed="rId37"/>
        <a:srcRect/>
        <a:stretch>
          <a:fillRect/>
        </a:stretch>
      </xdr:blipFill>
      <xdr:spPr>
        <a:xfrm>
          <a:off x="619125" y="42672000"/>
          <a:ext cx="876300" cy="857250"/>
        </a:xfrm>
        <a:prstGeom prst="rect">
          <a:avLst/>
        </a:prstGeom>
      </xdr:spPr>
    </xdr:pic>
    <xdr:clientData/>
  </xdr:twoCellAnchor>
  <xdr:twoCellAnchor>
    <xdr:from>
      <xdr:col>1</xdr:col>
      <xdr:colOff>9525</xdr:colOff>
      <xdr:row>58</xdr:row>
      <xdr:rowOff>9525</xdr:rowOff>
    </xdr:from>
    <xdr:to>
      <xdr:col>1</xdr:col>
      <xdr:colOff>1724025</xdr:colOff>
      <xdr:row>58</xdr:row>
      <xdr:rowOff>1724025</xdr:rowOff>
    </xdr:to>
    <xdr:pic>
      <xdr:nvPicPr>
        <xdr:cNvPr id="53" name="Picture 51">
          <a:extLst>
            <a:ext uri="{FF2B5EF4-FFF2-40B4-BE49-F238E27FC236}">
              <a16:creationId xmlns:a16="http://schemas.microsoft.com/office/drawing/2014/main" id="{A3D65A8F-E29A-4351-B722-EF657D90397D}"/>
            </a:ext>
          </a:extLst>
        </xdr:cNvPr>
        <xdr:cNvPicPr>
          <a:picLocks noChangeAspect="1"/>
        </xdr:cNvPicPr>
      </xdr:nvPicPr>
      <xdr:blipFill>
        <a:blip xmlns:r="http://schemas.openxmlformats.org/officeDocument/2006/relationships" r:embed="rId35"/>
        <a:srcRect/>
        <a:stretch>
          <a:fillRect/>
        </a:stretch>
      </xdr:blipFill>
      <xdr:spPr>
        <a:xfrm>
          <a:off x="619125" y="43538775"/>
          <a:ext cx="876300" cy="857250"/>
        </a:xfrm>
        <a:prstGeom prst="rect">
          <a:avLst/>
        </a:prstGeom>
      </xdr:spPr>
    </xdr:pic>
    <xdr:clientData/>
  </xdr:twoCellAnchor>
  <xdr:twoCellAnchor>
    <xdr:from>
      <xdr:col>1</xdr:col>
      <xdr:colOff>9525</xdr:colOff>
      <xdr:row>59</xdr:row>
      <xdr:rowOff>9525</xdr:rowOff>
    </xdr:from>
    <xdr:to>
      <xdr:col>1</xdr:col>
      <xdr:colOff>1724025</xdr:colOff>
      <xdr:row>59</xdr:row>
      <xdr:rowOff>1724025</xdr:rowOff>
    </xdr:to>
    <xdr:pic>
      <xdr:nvPicPr>
        <xdr:cNvPr id="54" name="Picture 52">
          <a:extLst>
            <a:ext uri="{FF2B5EF4-FFF2-40B4-BE49-F238E27FC236}">
              <a16:creationId xmlns:a16="http://schemas.microsoft.com/office/drawing/2014/main" id="{A0584503-48D1-4478-8685-0AFDA476A2CC}"/>
            </a:ext>
          </a:extLst>
        </xdr:cNvPr>
        <xdr:cNvPicPr>
          <a:picLocks noChangeAspect="1"/>
        </xdr:cNvPicPr>
      </xdr:nvPicPr>
      <xdr:blipFill>
        <a:blip xmlns:r="http://schemas.openxmlformats.org/officeDocument/2006/relationships" r:embed="rId47"/>
        <a:srcRect/>
        <a:stretch>
          <a:fillRect/>
        </a:stretch>
      </xdr:blipFill>
      <xdr:spPr>
        <a:xfrm>
          <a:off x="619125" y="44405550"/>
          <a:ext cx="876300" cy="857250"/>
        </a:xfrm>
        <a:prstGeom prst="rect">
          <a:avLst/>
        </a:prstGeom>
      </xdr:spPr>
    </xdr:pic>
    <xdr:clientData/>
  </xdr:twoCellAnchor>
  <xdr:twoCellAnchor>
    <xdr:from>
      <xdr:col>1</xdr:col>
      <xdr:colOff>9525</xdr:colOff>
      <xdr:row>60</xdr:row>
      <xdr:rowOff>9525</xdr:rowOff>
    </xdr:from>
    <xdr:to>
      <xdr:col>1</xdr:col>
      <xdr:colOff>1724025</xdr:colOff>
      <xdr:row>60</xdr:row>
      <xdr:rowOff>1724025</xdr:rowOff>
    </xdr:to>
    <xdr:pic>
      <xdr:nvPicPr>
        <xdr:cNvPr id="55" name="Picture 53">
          <a:extLst>
            <a:ext uri="{FF2B5EF4-FFF2-40B4-BE49-F238E27FC236}">
              <a16:creationId xmlns:a16="http://schemas.microsoft.com/office/drawing/2014/main" id="{CF00D0CE-419B-4822-AA64-0990AE03B91A}"/>
            </a:ext>
          </a:extLst>
        </xdr:cNvPr>
        <xdr:cNvPicPr>
          <a:picLocks noChangeAspect="1"/>
        </xdr:cNvPicPr>
      </xdr:nvPicPr>
      <xdr:blipFill>
        <a:blip xmlns:r="http://schemas.openxmlformats.org/officeDocument/2006/relationships" r:embed="rId48"/>
        <a:srcRect/>
        <a:stretch>
          <a:fillRect/>
        </a:stretch>
      </xdr:blipFill>
      <xdr:spPr>
        <a:xfrm>
          <a:off x="619125" y="45272325"/>
          <a:ext cx="876300" cy="857250"/>
        </a:xfrm>
        <a:prstGeom prst="rect">
          <a:avLst/>
        </a:prstGeom>
      </xdr:spPr>
    </xdr:pic>
    <xdr:clientData/>
  </xdr:twoCellAnchor>
  <xdr:twoCellAnchor>
    <xdr:from>
      <xdr:col>1</xdr:col>
      <xdr:colOff>9525</xdr:colOff>
      <xdr:row>61</xdr:row>
      <xdr:rowOff>9525</xdr:rowOff>
    </xdr:from>
    <xdr:to>
      <xdr:col>1</xdr:col>
      <xdr:colOff>1724025</xdr:colOff>
      <xdr:row>61</xdr:row>
      <xdr:rowOff>1724025</xdr:rowOff>
    </xdr:to>
    <xdr:pic>
      <xdr:nvPicPr>
        <xdr:cNvPr id="56" name="Picture 54">
          <a:extLst>
            <a:ext uri="{FF2B5EF4-FFF2-40B4-BE49-F238E27FC236}">
              <a16:creationId xmlns:a16="http://schemas.microsoft.com/office/drawing/2014/main" id="{C58DBD0B-72E7-4316-9C98-3FEE0C4F8EE5}"/>
            </a:ext>
          </a:extLst>
        </xdr:cNvPr>
        <xdr:cNvPicPr>
          <a:picLocks noChangeAspect="1"/>
        </xdr:cNvPicPr>
      </xdr:nvPicPr>
      <xdr:blipFill>
        <a:blip xmlns:r="http://schemas.openxmlformats.org/officeDocument/2006/relationships" r:embed="rId49"/>
        <a:srcRect/>
        <a:stretch>
          <a:fillRect/>
        </a:stretch>
      </xdr:blipFill>
      <xdr:spPr>
        <a:xfrm>
          <a:off x="619125" y="46139100"/>
          <a:ext cx="876300" cy="857250"/>
        </a:xfrm>
        <a:prstGeom prst="rect">
          <a:avLst/>
        </a:prstGeom>
      </xdr:spPr>
    </xdr:pic>
    <xdr:clientData/>
  </xdr:twoCellAnchor>
  <xdr:twoCellAnchor>
    <xdr:from>
      <xdr:col>1</xdr:col>
      <xdr:colOff>9525</xdr:colOff>
      <xdr:row>62</xdr:row>
      <xdr:rowOff>9525</xdr:rowOff>
    </xdr:from>
    <xdr:to>
      <xdr:col>1</xdr:col>
      <xdr:colOff>1724025</xdr:colOff>
      <xdr:row>62</xdr:row>
      <xdr:rowOff>1724025</xdr:rowOff>
    </xdr:to>
    <xdr:pic>
      <xdr:nvPicPr>
        <xdr:cNvPr id="57" name="Picture 55">
          <a:extLst>
            <a:ext uri="{FF2B5EF4-FFF2-40B4-BE49-F238E27FC236}">
              <a16:creationId xmlns:a16="http://schemas.microsoft.com/office/drawing/2014/main" id="{32C47580-57C4-42C2-9811-2717A12BEE8B}"/>
            </a:ext>
          </a:extLst>
        </xdr:cNvPr>
        <xdr:cNvPicPr>
          <a:picLocks noChangeAspect="1"/>
        </xdr:cNvPicPr>
      </xdr:nvPicPr>
      <xdr:blipFill>
        <a:blip xmlns:r="http://schemas.openxmlformats.org/officeDocument/2006/relationships" r:embed="rId50"/>
        <a:srcRect/>
        <a:stretch>
          <a:fillRect/>
        </a:stretch>
      </xdr:blipFill>
      <xdr:spPr>
        <a:xfrm>
          <a:off x="619125" y="47005875"/>
          <a:ext cx="876300" cy="857250"/>
        </a:xfrm>
        <a:prstGeom prst="rect">
          <a:avLst/>
        </a:prstGeom>
      </xdr:spPr>
    </xdr:pic>
    <xdr:clientData/>
  </xdr:twoCellAnchor>
  <xdr:twoCellAnchor>
    <xdr:from>
      <xdr:col>1</xdr:col>
      <xdr:colOff>9525</xdr:colOff>
      <xdr:row>63</xdr:row>
      <xdr:rowOff>9525</xdr:rowOff>
    </xdr:from>
    <xdr:to>
      <xdr:col>1</xdr:col>
      <xdr:colOff>1724025</xdr:colOff>
      <xdr:row>63</xdr:row>
      <xdr:rowOff>1724025</xdr:rowOff>
    </xdr:to>
    <xdr:pic>
      <xdr:nvPicPr>
        <xdr:cNvPr id="58" name="Picture 56">
          <a:extLst>
            <a:ext uri="{FF2B5EF4-FFF2-40B4-BE49-F238E27FC236}">
              <a16:creationId xmlns:a16="http://schemas.microsoft.com/office/drawing/2014/main" id="{4DAB955C-547B-45FC-836D-0D2B390D8370}"/>
            </a:ext>
          </a:extLst>
        </xdr:cNvPr>
        <xdr:cNvPicPr>
          <a:picLocks noChangeAspect="1"/>
        </xdr:cNvPicPr>
      </xdr:nvPicPr>
      <xdr:blipFill>
        <a:blip xmlns:r="http://schemas.openxmlformats.org/officeDocument/2006/relationships" r:embed="rId51"/>
        <a:srcRect/>
        <a:stretch>
          <a:fillRect/>
        </a:stretch>
      </xdr:blipFill>
      <xdr:spPr>
        <a:xfrm>
          <a:off x="619125" y="47872650"/>
          <a:ext cx="876300" cy="857250"/>
        </a:xfrm>
        <a:prstGeom prst="rect">
          <a:avLst/>
        </a:prstGeom>
      </xdr:spPr>
    </xdr:pic>
    <xdr:clientData/>
  </xdr:twoCellAnchor>
  <xdr:twoCellAnchor>
    <xdr:from>
      <xdr:col>1</xdr:col>
      <xdr:colOff>9525</xdr:colOff>
      <xdr:row>64</xdr:row>
      <xdr:rowOff>9525</xdr:rowOff>
    </xdr:from>
    <xdr:to>
      <xdr:col>1</xdr:col>
      <xdr:colOff>1724025</xdr:colOff>
      <xdr:row>64</xdr:row>
      <xdr:rowOff>1724025</xdr:rowOff>
    </xdr:to>
    <xdr:pic>
      <xdr:nvPicPr>
        <xdr:cNvPr id="59" name="Picture 57">
          <a:extLst>
            <a:ext uri="{FF2B5EF4-FFF2-40B4-BE49-F238E27FC236}">
              <a16:creationId xmlns:a16="http://schemas.microsoft.com/office/drawing/2014/main" id="{65C3CBA2-436D-425E-B505-B05FB5414D7E}"/>
            </a:ext>
          </a:extLst>
        </xdr:cNvPr>
        <xdr:cNvPicPr>
          <a:picLocks noChangeAspect="1"/>
        </xdr:cNvPicPr>
      </xdr:nvPicPr>
      <xdr:blipFill>
        <a:blip xmlns:r="http://schemas.openxmlformats.org/officeDocument/2006/relationships" r:embed="rId37"/>
        <a:srcRect/>
        <a:stretch>
          <a:fillRect/>
        </a:stretch>
      </xdr:blipFill>
      <xdr:spPr>
        <a:xfrm>
          <a:off x="619125" y="48739425"/>
          <a:ext cx="876300" cy="857250"/>
        </a:xfrm>
        <a:prstGeom prst="rect">
          <a:avLst/>
        </a:prstGeom>
      </xdr:spPr>
    </xdr:pic>
    <xdr:clientData/>
  </xdr:twoCellAnchor>
  <xdr:twoCellAnchor>
    <xdr:from>
      <xdr:col>1</xdr:col>
      <xdr:colOff>9525</xdr:colOff>
      <xdr:row>65</xdr:row>
      <xdr:rowOff>9525</xdr:rowOff>
    </xdr:from>
    <xdr:to>
      <xdr:col>1</xdr:col>
      <xdr:colOff>1724025</xdr:colOff>
      <xdr:row>65</xdr:row>
      <xdr:rowOff>1724025</xdr:rowOff>
    </xdr:to>
    <xdr:pic>
      <xdr:nvPicPr>
        <xdr:cNvPr id="60" name="Picture 58">
          <a:extLst>
            <a:ext uri="{FF2B5EF4-FFF2-40B4-BE49-F238E27FC236}">
              <a16:creationId xmlns:a16="http://schemas.microsoft.com/office/drawing/2014/main" id="{6B3DDE47-D129-41B0-8E56-8DE45FAACB9F}"/>
            </a:ext>
          </a:extLst>
        </xdr:cNvPr>
        <xdr:cNvPicPr>
          <a:picLocks noChangeAspect="1"/>
        </xdr:cNvPicPr>
      </xdr:nvPicPr>
      <xdr:blipFill>
        <a:blip xmlns:r="http://schemas.openxmlformats.org/officeDocument/2006/relationships" r:embed="rId52"/>
        <a:srcRect/>
        <a:stretch>
          <a:fillRect/>
        </a:stretch>
      </xdr:blipFill>
      <xdr:spPr>
        <a:xfrm>
          <a:off x="619125" y="49606200"/>
          <a:ext cx="876300" cy="857250"/>
        </a:xfrm>
        <a:prstGeom prst="rect">
          <a:avLst/>
        </a:prstGeom>
      </xdr:spPr>
    </xdr:pic>
    <xdr:clientData/>
  </xdr:twoCellAnchor>
  <xdr:twoCellAnchor>
    <xdr:from>
      <xdr:col>1</xdr:col>
      <xdr:colOff>9525</xdr:colOff>
      <xdr:row>66</xdr:row>
      <xdr:rowOff>9525</xdr:rowOff>
    </xdr:from>
    <xdr:to>
      <xdr:col>1</xdr:col>
      <xdr:colOff>1724025</xdr:colOff>
      <xdr:row>66</xdr:row>
      <xdr:rowOff>1724025</xdr:rowOff>
    </xdr:to>
    <xdr:pic>
      <xdr:nvPicPr>
        <xdr:cNvPr id="61" name="Picture 59">
          <a:extLst>
            <a:ext uri="{FF2B5EF4-FFF2-40B4-BE49-F238E27FC236}">
              <a16:creationId xmlns:a16="http://schemas.microsoft.com/office/drawing/2014/main" id="{811035A8-7FE4-4F0E-A15D-860B4DC166E3}"/>
            </a:ext>
          </a:extLst>
        </xdr:cNvPr>
        <xdr:cNvPicPr>
          <a:picLocks noChangeAspect="1"/>
        </xdr:cNvPicPr>
      </xdr:nvPicPr>
      <xdr:blipFill>
        <a:blip xmlns:r="http://schemas.openxmlformats.org/officeDocument/2006/relationships" r:embed="rId37"/>
        <a:srcRect/>
        <a:stretch>
          <a:fillRect/>
        </a:stretch>
      </xdr:blipFill>
      <xdr:spPr>
        <a:xfrm>
          <a:off x="619125" y="50472975"/>
          <a:ext cx="876300" cy="857250"/>
        </a:xfrm>
        <a:prstGeom prst="rect">
          <a:avLst/>
        </a:prstGeom>
      </xdr:spPr>
    </xdr:pic>
    <xdr:clientData/>
  </xdr:twoCellAnchor>
  <xdr:twoCellAnchor>
    <xdr:from>
      <xdr:col>1</xdr:col>
      <xdr:colOff>9525</xdr:colOff>
      <xdr:row>67</xdr:row>
      <xdr:rowOff>9525</xdr:rowOff>
    </xdr:from>
    <xdr:to>
      <xdr:col>1</xdr:col>
      <xdr:colOff>1724025</xdr:colOff>
      <xdr:row>67</xdr:row>
      <xdr:rowOff>1724025</xdr:rowOff>
    </xdr:to>
    <xdr:pic>
      <xdr:nvPicPr>
        <xdr:cNvPr id="62" name="Picture 60">
          <a:extLst>
            <a:ext uri="{FF2B5EF4-FFF2-40B4-BE49-F238E27FC236}">
              <a16:creationId xmlns:a16="http://schemas.microsoft.com/office/drawing/2014/main" id="{0222D63E-668E-48E2-B12C-7C4619C61EE1}"/>
            </a:ext>
          </a:extLst>
        </xdr:cNvPr>
        <xdr:cNvPicPr>
          <a:picLocks noChangeAspect="1"/>
        </xdr:cNvPicPr>
      </xdr:nvPicPr>
      <xdr:blipFill>
        <a:blip xmlns:r="http://schemas.openxmlformats.org/officeDocument/2006/relationships" r:embed="rId52"/>
        <a:srcRect/>
        <a:stretch>
          <a:fillRect/>
        </a:stretch>
      </xdr:blipFill>
      <xdr:spPr>
        <a:xfrm>
          <a:off x="619125" y="51339750"/>
          <a:ext cx="876300" cy="857250"/>
        </a:xfrm>
        <a:prstGeom prst="rect">
          <a:avLst/>
        </a:prstGeom>
      </xdr:spPr>
    </xdr:pic>
    <xdr:clientData/>
  </xdr:twoCellAnchor>
  <xdr:twoCellAnchor>
    <xdr:from>
      <xdr:col>1</xdr:col>
      <xdr:colOff>9525</xdr:colOff>
      <xdr:row>68</xdr:row>
      <xdr:rowOff>9525</xdr:rowOff>
    </xdr:from>
    <xdr:to>
      <xdr:col>1</xdr:col>
      <xdr:colOff>1724025</xdr:colOff>
      <xdr:row>68</xdr:row>
      <xdr:rowOff>1724025</xdr:rowOff>
    </xdr:to>
    <xdr:pic>
      <xdr:nvPicPr>
        <xdr:cNvPr id="63" name="Picture 61">
          <a:extLst>
            <a:ext uri="{FF2B5EF4-FFF2-40B4-BE49-F238E27FC236}">
              <a16:creationId xmlns:a16="http://schemas.microsoft.com/office/drawing/2014/main" id="{B1C71FF6-38D8-4174-951B-0D09F117B9B6}"/>
            </a:ext>
          </a:extLst>
        </xdr:cNvPr>
        <xdr:cNvPicPr>
          <a:picLocks noChangeAspect="1"/>
        </xdr:cNvPicPr>
      </xdr:nvPicPr>
      <xdr:blipFill>
        <a:blip xmlns:r="http://schemas.openxmlformats.org/officeDocument/2006/relationships" r:embed="rId53"/>
        <a:srcRect/>
        <a:stretch>
          <a:fillRect/>
        </a:stretch>
      </xdr:blipFill>
      <xdr:spPr>
        <a:xfrm>
          <a:off x="619125" y="52206525"/>
          <a:ext cx="876300" cy="857250"/>
        </a:xfrm>
        <a:prstGeom prst="rect">
          <a:avLst/>
        </a:prstGeom>
      </xdr:spPr>
    </xdr:pic>
    <xdr:clientData/>
  </xdr:twoCellAnchor>
  <xdr:twoCellAnchor>
    <xdr:from>
      <xdr:col>1</xdr:col>
      <xdr:colOff>9525</xdr:colOff>
      <xdr:row>69</xdr:row>
      <xdr:rowOff>9525</xdr:rowOff>
    </xdr:from>
    <xdr:to>
      <xdr:col>1</xdr:col>
      <xdr:colOff>1724025</xdr:colOff>
      <xdr:row>69</xdr:row>
      <xdr:rowOff>1724025</xdr:rowOff>
    </xdr:to>
    <xdr:pic>
      <xdr:nvPicPr>
        <xdr:cNvPr id="2048" name="Picture 62">
          <a:extLst>
            <a:ext uri="{FF2B5EF4-FFF2-40B4-BE49-F238E27FC236}">
              <a16:creationId xmlns:a16="http://schemas.microsoft.com/office/drawing/2014/main" id="{80669373-6BCD-48F6-9B47-44D1A74DD307}"/>
            </a:ext>
          </a:extLst>
        </xdr:cNvPr>
        <xdr:cNvPicPr>
          <a:picLocks noChangeAspect="1"/>
        </xdr:cNvPicPr>
      </xdr:nvPicPr>
      <xdr:blipFill>
        <a:blip xmlns:r="http://schemas.openxmlformats.org/officeDocument/2006/relationships" r:embed="rId54"/>
        <a:srcRect/>
        <a:stretch>
          <a:fillRect/>
        </a:stretch>
      </xdr:blipFill>
      <xdr:spPr>
        <a:xfrm>
          <a:off x="619125" y="53073300"/>
          <a:ext cx="876300" cy="857250"/>
        </a:xfrm>
        <a:prstGeom prst="rect">
          <a:avLst/>
        </a:prstGeom>
      </xdr:spPr>
    </xdr:pic>
    <xdr:clientData/>
  </xdr:twoCellAnchor>
  <xdr:twoCellAnchor>
    <xdr:from>
      <xdr:col>1</xdr:col>
      <xdr:colOff>9525</xdr:colOff>
      <xdr:row>70</xdr:row>
      <xdr:rowOff>9525</xdr:rowOff>
    </xdr:from>
    <xdr:to>
      <xdr:col>1</xdr:col>
      <xdr:colOff>1724025</xdr:colOff>
      <xdr:row>70</xdr:row>
      <xdr:rowOff>1724025</xdr:rowOff>
    </xdr:to>
    <xdr:pic>
      <xdr:nvPicPr>
        <xdr:cNvPr id="2050" name="Picture 63">
          <a:extLst>
            <a:ext uri="{FF2B5EF4-FFF2-40B4-BE49-F238E27FC236}">
              <a16:creationId xmlns:a16="http://schemas.microsoft.com/office/drawing/2014/main" id="{FCF163F6-7C92-4818-9B42-5C11FB4C4C0B}"/>
            </a:ext>
          </a:extLst>
        </xdr:cNvPr>
        <xdr:cNvPicPr>
          <a:picLocks noChangeAspect="1"/>
        </xdr:cNvPicPr>
      </xdr:nvPicPr>
      <xdr:blipFill>
        <a:blip xmlns:r="http://schemas.openxmlformats.org/officeDocument/2006/relationships" r:embed="rId55"/>
        <a:srcRect/>
        <a:stretch>
          <a:fillRect/>
        </a:stretch>
      </xdr:blipFill>
      <xdr:spPr>
        <a:xfrm>
          <a:off x="619125" y="53940075"/>
          <a:ext cx="876300" cy="857250"/>
        </a:xfrm>
        <a:prstGeom prst="rect">
          <a:avLst/>
        </a:prstGeom>
      </xdr:spPr>
    </xdr:pic>
    <xdr:clientData/>
  </xdr:twoCellAnchor>
  <xdr:twoCellAnchor>
    <xdr:from>
      <xdr:col>1</xdr:col>
      <xdr:colOff>9525</xdr:colOff>
      <xdr:row>71</xdr:row>
      <xdr:rowOff>9525</xdr:rowOff>
    </xdr:from>
    <xdr:to>
      <xdr:col>1</xdr:col>
      <xdr:colOff>1724025</xdr:colOff>
      <xdr:row>71</xdr:row>
      <xdr:rowOff>1724025</xdr:rowOff>
    </xdr:to>
    <xdr:pic>
      <xdr:nvPicPr>
        <xdr:cNvPr id="2051" name="Picture 64">
          <a:extLst>
            <a:ext uri="{FF2B5EF4-FFF2-40B4-BE49-F238E27FC236}">
              <a16:creationId xmlns:a16="http://schemas.microsoft.com/office/drawing/2014/main" id="{F14B1E04-49FA-46C1-AA21-5512A90F1189}"/>
            </a:ext>
          </a:extLst>
        </xdr:cNvPr>
        <xdr:cNvPicPr>
          <a:picLocks noChangeAspect="1"/>
        </xdr:cNvPicPr>
      </xdr:nvPicPr>
      <xdr:blipFill>
        <a:blip xmlns:r="http://schemas.openxmlformats.org/officeDocument/2006/relationships" r:embed="rId56"/>
        <a:srcRect/>
        <a:stretch>
          <a:fillRect/>
        </a:stretch>
      </xdr:blipFill>
      <xdr:spPr>
        <a:xfrm>
          <a:off x="619125" y="54806850"/>
          <a:ext cx="876300" cy="857250"/>
        </a:xfrm>
        <a:prstGeom prst="rect">
          <a:avLst/>
        </a:prstGeom>
      </xdr:spPr>
    </xdr:pic>
    <xdr:clientData/>
  </xdr:twoCellAnchor>
  <xdr:twoCellAnchor>
    <xdr:from>
      <xdr:col>1</xdr:col>
      <xdr:colOff>9525</xdr:colOff>
      <xdr:row>72</xdr:row>
      <xdr:rowOff>9525</xdr:rowOff>
    </xdr:from>
    <xdr:to>
      <xdr:col>1</xdr:col>
      <xdr:colOff>1724025</xdr:colOff>
      <xdr:row>72</xdr:row>
      <xdr:rowOff>1724025</xdr:rowOff>
    </xdr:to>
    <xdr:pic>
      <xdr:nvPicPr>
        <xdr:cNvPr id="2052" name="Picture 65">
          <a:extLst>
            <a:ext uri="{FF2B5EF4-FFF2-40B4-BE49-F238E27FC236}">
              <a16:creationId xmlns:a16="http://schemas.microsoft.com/office/drawing/2014/main" id="{D970EE35-E9C5-4985-8809-8C21933AF3C8}"/>
            </a:ext>
          </a:extLst>
        </xdr:cNvPr>
        <xdr:cNvPicPr>
          <a:picLocks noChangeAspect="1"/>
        </xdr:cNvPicPr>
      </xdr:nvPicPr>
      <xdr:blipFill>
        <a:blip xmlns:r="http://schemas.openxmlformats.org/officeDocument/2006/relationships" r:embed="rId57"/>
        <a:srcRect/>
        <a:stretch>
          <a:fillRect/>
        </a:stretch>
      </xdr:blipFill>
      <xdr:spPr>
        <a:xfrm>
          <a:off x="619125" y="55673625"/>
          <a:ext cx="876300" cy="857250"/>
        </a:xfrm>
        <a:prstGeom prst="rect">
          <a:avLst/>
        </a:prstGeom>
      </xdr:spPr>
    </xdr:pic>
    <xdr:clientData/>
  </xdr:twoCellAnchor>
  <xdr:twoCellAnchor>
    <xdr:from>
      <xdr:col>1</xdr:col>
      <xdr:colOff>9525</xdr:colOff>
      <xdr:row>73</xdr:row>
      <xdr:rowOff>9525</xdr:rowOff>
    </xdr:from>
    <xdr:to>
      <xdr:col>1</xdr:col>
      <xdr:colOff>1724025</xdr:colOff>
      <xdr:row>73</xdr:row>
      <xdr:rowOff>1724025</xdr:rowOff>
    </xdr:to>
    <xdr:pic>
      <xdr:nvPicPr>
        <xdr:cNvPr id="2053" name="Picture 66">
          <a:extLst>
            <a:ext uri="{FF2B5EF4-FFF2-40B4-BE49-F238E27FC236}">
              <a16:creationId xmlns:a16="http://schemas.microsoft.com/office/drawing/2014/main" id="{8823897C-E352-4163-B647-F6342F4AE177}"/>
            </a:ext>
          </a:extLst>
        </xdr:cNvPr>
        <xdr:cNvPicPr>
          <a:picLocks noChangeAspect="1"/>
        </xdr:cNvPicPr>
      </xdr:nvPicPr>
      <xdr:blipFill>
        <a:blip xmlns:r="http://schemas.openxmlformats.org/officeDocument/2006/relationships" r:embed="rId58"/>
        <a:srcRect/>
        <a:stretch>
          <a:fillRect/>
        </a:stretch>
      </xdr:blipFill>
      <xdr:spPr>
        <a:xfrm>
          <a:off x="619125" y="56540400"/>
          <a:ext cx="876300" cy="857250"/>
        </a:xfrm>
        <a:prstGeom prst="rect">
          <a:avLst/>
        </a:prstGeom>
      </xdr:spPr>
    </xdr:pic>
    <xdr:clientData/>
  </xdr:twoCellAnchor>
  <xdr:twoCellAnchor>
    <xdr:from>
      <xdr:col>1</xdr:col>
      <xdr:colOff>9525</xdr:colOff>
      <xdr:row>74</xdr:row>
      <xdr:rowOff>9525</xdr:rowOff>
    </xdr:from>
    <xdr:to>
      <xdr:col>1</xdr:col>
      <xdr:colOff>1724025</xdr:colOff>
      <xdr:row>74</xdr:row>
      <xdr:rowOff>1724025</xdr:rowOff>
    </xdr:to>
    <xdr:pic>
      <xdr:nvPicPr>
        <xdr:cNvPr id="2054" name="Picture 67">
          <a:extLst>
            <a:ext uri="{FF2B5EF4-FFF2-40B4-BE49-F238E27FC236}">
              <a16:creationId xmlns:a16="http://schemas.microsoft.com/office/drawing/2014/main" id="{7DB31C01-130F-453A-AC27-28D8436EDE5C}"/>
            </a:ext>
          </a:extLst>
        </xdr:cNvPr>
        <xdr:cNvPicPr>
          <a:picLocks noChangeAspect="1"/>
        </xdr:cNvPicPr>
      </xdr:nvPicPr>
      <xdr:blipFill>
        <a:blip xmlns:r="http://schemas.openxmlformats.org/officeDocument/2006/relationships" r:embed="rId59"/>
        <a:srcRect/>
        <a:stretch>
          <a:fillRect/>
        </a:stretch>
      </xdr:blipFill>
      <xdr:spPr>
        <a:xfrm>
          <a:off x="619125" y="57407175"/>
          <a:ext cx="876300" cy="857250"/>
        </a:xfrm>
        <a:prstGeom prst="rect">
          <a:avLst/>
        </a:prstGeom>
      </xdr:spPr>
    </xdr:pic>
    <xdr:clientData/>
  </xdr:twoCellAnchor>
  <xdr:twoCellAnchor>
    <xdr:from>
      <xdr:col>1</xdr:col>
      <xdr:colOff>9525</xdr:colOff>
      <xdr:row>75</xdr:row>
      <xdr:rowOff>9525</xdr:rowOff>
    </xdr:from>
    <xdr:to>
      <xdr:col>1</xdr:col>
      <xdr:colOff>1724025</xdr:colOff>
      <xdr:row>75</xdr:row>
      <xdr:rowOff>1724025</xdr:rowOff>
    </xdr:to>
    <xdr:pic>
      <xdr:nvPicPr>
        <xdr:cNvPr id="2055" name="Picture 68">
          <a:extLst>
            <a:ext uri="{FF2B5EF4-FFF2-40B4-BE49-F238E27FC236}">
              <a16:creationId xmlns:a16="http://schemas.microsoft.com/office/drawing/2014/main" id="{9092A069-1108-48FA-8D04-4C2FB29FC9DC}"/>
            </a:ext>
          </a:extLst>
        </xdr:cNvPr>
        <xdr:cNvPicPr>
          <a:picLocks noChangeAspect="1"/>
        </xdr:cNvPicPr>
      </xdr:nvPicPr>
      <xdr:blipFill>
        <a:blip xmlns:r="http://schemas.openxmlformats.org/officeDocument/2006/relationships" r:embed="rId60"/>
        <a:srcRect/>
        <a:stretch>
          <a:fillRect/>
        </a:stretch>
      </xdr:blipFill>
      <xdr:spPr>
        <a:xfrm>
          <a:off x="619125" y="58273950"/>
          <a:ext cx="876300" cy="857250"/>
        </a:xfrm>
        <a:prstGeom prst="rect">
          <a:avLst/>
        </a:prstGeom>
      </xdr:spPr>
    </xdr:pic>
    <xdr:clientData/>
  </xdr:twoCellAnchor>
  <xdr:twoCellAnchor>
    <xdr:from>
      <xdr:col>1</xdr:col>
      <xdr:colOff>9525</xdr:colOff>
      <xdr:row>76</xdr:row>
      <xdr:rowOff>9525</xdr:rowOff>
    </xdr:from>
    <xdr:to>
      <xdr:col>1</xdr:col>
      <xdr:colOff>1724025</xdr:colOff>
      <xdr:row>76</xdr:row>
      <xdr:rowOff>1724025</xdr:rowOff>
    </xdr:to>
    <xdr:pic>
      <xdr:nvPicPr>
        <xdr:cNvPr id="2056" name="Picture 69">
          <a:extLst>
            <a:ext uri="{FF2B5EF4-FFF2-40B4-BE49-F238E27FC236}">
              <a16:creationId xmlns:a16="http://schemas.microsoft.com/office/drawing/2014/main" id="{8753E292-2500-448A-BC88-86B482ABD255}"/>
            </a:ext>
          </a:extLst>
        </xdr:cNvPr>
        <xdr:cNvPicPr>
          <a:picLocks noChangeAspect="1"/>
        </xdr:cNvPicPr>
      </xdr:nvPicPr>
      <xdr:blipFill>
        <a:blip xmlns:r="http://schemas.openxmlformats.org/officeDocument/2006/relationships" r:embed="rId51"/>
        <a:srcRect/>
        <a:stretch>
          <a:fillRect/>
        </a:stretch>
      </xdr:blipFill>
      <xdr:spPr>
        <a:xfrm>
          <a:off x="619125" y="59140725"/>
          <a:ext cx="876300" cy="857250"/>
        </a:xfrm>
        <a:prstGeom prst="rect">
          <a:avLst/>
        </a:prstGeom>
      </xdr:spPr>
    </xdr:pic>
    <xdr:clientData/>
  </xdr:twoCellAnchor>
  <xdr:twoCellAnchor>
    <xdr:from>
      <xdr:col>1</xdr:col>
      <xdr:colOff>9525</xdr:colOff>
      <xdr:row>77</xdr:row>
      <xdr:rowOff>9525</xdr:rowOff>
    </xdr:from>
    <xdr:to>
      <xdr:col>1</xdr:col>
      <xdr:colOff>1724025</xdr:colOff>
      <xdr:row>77</xdr:row>
      <xdr:rowOff>1724025</xdr:rowOff>
    </xdr:to>
    <xdr:pic>
      <xdr:nvPicPr>
        <xdr:cNvPr id="2057" name="Picture 70">
          <a:extLst>
            <a:ext uri="{FF2B5EF4-FFF2-40B4-BE49-F238E27FC236}">
              <a16:creationId xmlns:a16="http://schemas.microsoft.com/office/drawing/2014/main" id="{B955CE16-1A98-4B33-B58C-34A38CE99ED2}"/>
            </a:ext>
          </a:extLst>
        </xdr:cNvPr>
        <xdr:cNvPicPr>
          <a:picLocks noChangeAspect="1"/>
        </xdr:cNvPicPr>
      </xdr:nvPicPr>
      <xdr:blipFill>
        <a:blip xmlns:r="http://schemas.openxmlformats.org/officeDocument/2006/relationships" r:embed="rId61"/>
        <a:srcRect/>
        <a:stretch>
          <a:fillRect/>
        </a:stretch>
      </xdr:blipFill>
      <xdr:spPr>
        <a:xfrm>
          <a:off x="619125" y="60007500"/>
          <a:ext cx="876300" cy="857250"/>
        </a:xfrm>
        <a:prstGeom prst="rect">
          <a:avLst/>
        </a:prstGeom>
      </xdr:spPr>
    </xdr:pic>
    <xdr:clientData/>
  </xdr:twoCellAnchor>
  <xdr:twoCellAnchor>
    <xdr:from>
      <xdr:col>1</xdr:col>
      <xdr:colOff>9525</xdr:colOff>
      <xdr:row>78</xdr:row>
      <xdr:rowOff>9525</xdr:rowOff>
    </xdr:from>
    <xdr:to>
      <xdr:col>1</xdr:col>
      <xdr:colOff>1724025</xdr:colOff>
      <xdr:row>78</xdr:row>
      <xdr:rowOff>1724025</xdr:rowOff>
    </xdr:to>
    <xdr:pic>
      <xdr:nvPicPr>
        <xdr:cNvPr id="2058" name="Picture 71">
          <a:extLst>
            <a:ext uri="{FF2B5EF4-FFF2-40B4-BE49-F238E27FC236}">
              <a16:creationId xmlns:a16="http://schemas.microsoft.com/office/drawing/2014/main" id="{37A74B1A-6B91-4D2A-A9B3-3C5C9E592095}"/>
            </a:ext>
          </a:extLst>
        </xdr:cNvPr>
        <xdr:cNvPicPr>
          <a:picLocks noChangeAspect="1"/>
        </xdr:cNvPicPr>
      </xdr:nvPicPr>
      <xdr:blipFill>
        <a:blip xmlns:r="http://schemas.openxmlformats.org/officeDocument/2006/relationships" r:embed="rId37"/>
        <a:srcRect/>
        <a:stretch>
          <a:fillRect/>
        </a:stretch>
      </xdr:blipFill>
      <xdr:spPr>
        <a:xfrm>
          <a:off x="619125" y="60874275"/>
          <a:ext cx="876300" cy="857250"/>
        </a:xfrm>
        <a:prstGeom prst="rect">
          <a:avLst/>
        </a:prstGeom>
      </xdr:spPr>
    </xdr:pic>
    <xdr:clientData/>
  </xdr:twoCellAnchor>
  <xdr:twoCellAnchor>
    <xdr:from>
      <xdr:col>1</xdr:col>
      <xdr:colOff>9525</xdr:colOff>
      <xdr:row>79</xdr:row>
      <xdr:rowOff>9525</xdr:rowOff>
    </xdr:from>
    <xdr:to>
      <xdr:col>1</xdr:col>
      <xdr:colOff>1724025</xdr:colOff>
      <xdr:row>79</xdr:row>
      <xdr:rowOff>1724025</xdr:rowOff>
    </xdr:to>
    <xdr:pic>
      <xdr:nvPicPr>
        <xdr:cNvPr id="2059" name="Picture 72">
          <a:extLst>
            <a:ext uri="{FF2B5EF4-FFF2-40B4-BE49-F238E27FC236}">
              <a16:creationId xmlns:a16="http://schemas.microsoft.com/office/drawing/2014/main" id="{4E73DF40-C61C-43DB-9E97-0044E7E7C770}"/>
            </a:ext>
          </a:extLst>
        </xdr:cNvPr>
        <xdr:cNvPicPr>
          <a:picLocks noChangeAspect="1"/>
        </xdr:cNvPicPr>
      </xdr:nvPicPr>
      <xdr:blipFill>
        <a:blip xmlns:r="http://schemas.openxmlformats.org/officeDocument/2006/relationships" r:embed="rId52"/>
        <a:srcRect/>
        <a:stretch>
          <a:fillRect/>
        </a:stretch>
      </xdr:blipFill>
      <xdr:spPr>
        <a:xfrm>
          <a:off x="619125" y="61741050"/>
          <a:ext cx="876300" cy="857250"/>
        </a:xfrm>
        <a:prstGeom prst="rect">
          <a:avLst/>
        </a:prstGeom>
      </xdr:spPr>
    </xdr:pic>
    <xdr:clientData/>
  </xdr:twoCellAnchor>
  <xdr:twoCellAnchor>
    <xdr:from>
      <xdr:col>1</xdr:col>
      <xdr:colOff>9525</xdr:colOff>
      <xdr:row>80</xdr:row>
      <xdr:rowOff>9525</xdr:rowOff>
    </xdr:from>
    <xdr:to>
      <xdr:col>1</xdr:col>
      <xdr:colOff>1724025</xdr:colOff>
      <xdr:row>80</xdr:row>
      <xdr:rowOff>1724025</xdr:rowOff>
    </xdr:to>
    <xdr:pic>
      <xdr:nvPicPr>
        <xdr:cNvPr id="2060" name="Picture 73">
          <a:extLst>
            <a:ext uri="{FF2B5EF4-FFF2-40B4-BE49-F238E27FC236}">
              <a16:creationId xmlns:a16="http://schemas.microsoft.com/office/drawing/2014/main" id="{700EAE34-F51E-418B-941C-E5A8AAD1F8B9}"/>
            </a:ext>
          </a:extLst>
        </xdr:cNvPr>
        <xdr:cNvPicPr>
          <a:picLocks noChangeAspect="1"/>
        </xdr:cNvPicPr>
      </xdr:nvPicPr>
      <xdr:blipFill>
        <a:blip xmlns:r="http://schemas.openxmlformats.org/officeDocument/2006/relationships" r:embed="rId62"/>
        <a:srcRect/>
        <a:stretch>
          <a:fillRect/>
        </a:stretch>
      </xdr:blipFill>
      <xdr:spPr>
        <a:xfrm>
          <a:off x="619125" y="62607825"/>
          <a:ext cx="876300" cy="857250"/>
        </a:xfrm>
        <a:prstGeom prst="rect">
          <a:avLst/>
        </a:prstGeom>
      </xdr:spPr>
    </xdr:pic>
    <xdr:clientData/>
  </xdr:twoCellAnchor>
  <xdr:twoCellAnchor>
    <xdr:from>
      <xdr:col>1</xdr:col>
      <xdr:colOff>9525</xdr:colOff>
      <xdr:row>81</xdr:row>
      <xdr:rowOff>9525</xdr:rowOff>
    </xdr:from>
    <xdr:to>
      <xdr:col>1</xdr:col>
      <xdr:colOff>1724025</xdr:colOff>
      <xdr:row>81</xdr:row>
      <xdr:rowOff>1724025</xdr:rowOff>
    </xdr:to>
    <xdr:pic>
      <xdr:nvPicPr>
        <xdr:cNvPr id="2061" name="Picture 74">
          <a:extLst>
            <a:ext uri="{FF2B5EF4-FFF2-40B4-BE49-F238E27FC236}">
              <a16:creationId xmlns:a16="http://schemas.microsoft.com/office/drawing/2014/main" id="{9DF78A4C-21E3-4A26-B80A-F2D435B90080}"/>
            </a:ext>
          </a:extLst>
        </xdr:cNvPr>
        <xdr:cNvPicPr>
          <a:picLocks noChangeAspect="1"/>
        </xdr:cNvPicPr>
      </xdr:nvPicPr>
      <xdr:blipFill>
        <a:blip xmlns:r="http://schemas.openxmlformats.org/officeDocument/2006/relationships" r:embed="rId63"/>
        <a:srcRect/>
        <a:stretch>
          <a:fillRect/>
        </a:stretch>
      </xdr:blipFill>
      <xdr:spPr>
        <a:xfrm>
          <a:off x="619125" y="63474600"/>
          <a:ext cx="876300" cy="857250"/>
        </a:xfrm>
        <a:prstGeom prst="rect">
          <a:avLst/>
        </a:prstGeom>
      </xdr:spPr>
    </xdr:pic>
    <xdr:clientData/>
  </xdr:twoCellAnchor>
  <xdr:twoCellAnchor>
    <xdr:from>
      <xdr:col>1</xdr:col>
      <xdr:colOff>9525</xdr:colOff>
      <xdr:row>82</xdr:row>
      <xdr:rowOff>9525</xdr:rowOff>
    </xdr:from>
    <xdr:to>
      <xdr:col>1</xdr:col>
      <xdr:colOff>1724025</xdr:colOff>
      <xdr:row>82</xdr:row>
      <xdr:rowOff>1724025</xdr:rowOff>
    </xdr:to>
    <xdr:pic>
      <xdr:nvPicPr>
        <xdr:cNvPr id="2062" name="Picture 75">
          <a:extLst>
            <a:ext uri="{FF2B5EF4-FFF2-40B4-BE49-F238E27FC236}">
              <a16:creationId xmlns:a16="http://schemas.microsoft.com/office/drawing/2014/main" id="{4ED27A0B-A866-4D66-A9BE-8BB1CBCAD92E}"/>
            </a:ext>
          </a:extLst>
        </xdr:cNvPr>
        <xdr:cNvPicPr>
          <a:picLocks noChangeAspect="1"/>
        </xdr:cNvPicPr>
      </xdr:nvPicPr>
      <xdr:blipFill>
        <a:blip xmlns:r="http://schemas.openxmlformats.org/officeDocument/2006/relationships" r:embed="rId64"/>
        <a:srcRect/>
        <a:stretch>
          <a:fillRect/>
        </a:stretch>
      </xdr:blipFill>
      <xdr:spPr>
        <a:xfrm>
          <a:off x="619125" y="64341375"/>
          <a:ext cx="876300" cy="857250"/>
        </a:xfrm>
        <a:prstGeom prst="rect">
          <a:avLst/>
        </a:prstGeom>
      </xdr:spPr>
    </xdr:pic>
    <xdr:clientData/>
  </xdr:twoCellAnchor>
  <xdr:twoCellAnchor>
    <xdr:from>
      <xdr:col>1</xdr:col>
      <xdr:colOff>9525</xdr:colOff>
      <xdr:row>83</xdr:row>
      <xdr:rowOff>9525</xdr:rowOff>
    </xdr:from>
    <xdr:to>
      <xdr:col>1</xdr:col>
      <xdr:colOff>1724025</xdr:colOff>
      <xdr:row>83</xdr:row>
      <xdr:rowOff>1724025</xdr:rowOff>
    </xdr:to>
    <xdr:pic>
      <xdr:nvPicPr>
        <xdr:cNvPr id="2063" name="Picture 76">
          <a:extLst>
            <a:ext uri="{FF2B5EF4-FFF2-40B4-BE49-F238E27FC236}">
              <a16:creationId xmlns:a16="http://schemas.microsoft.com/office/drawing/2014/main" id="{6B815527-E2A6-4615-802F-23B6A0938DC7}"/>
            </a:ext>
          </a:extLst>
        </xdr:cNvPr>
        <xdr:cNvPicPr>
          <a:picLocks noChangeAspect="1"/>
        </xdr:cNvPicPr>
      </xdr:nvPicPr>
      <xdr:blipFill>
        <a:blip xmlns:r="http://schemas.openxmlformats.org/officeDocument/2006/relationships" r:embed="rId65"/>
        <a:srcRect/>
        <a:stretch>
          <a:fillRect/>
        </a:stretch>
      </xdr:blipFill>
      <xdr:spPr>
        <a:xfrm>
          <a:off x="619125" y="65208150"/>
          <a:ext cx="876300" cy="857250"/>
        </a:xfrm>
        <a:prstGeom prst="rect">
          <a:avLst/>
        </a:prstGeom>
      </xdr:spPr>
    </xdr:pic>
    <xdr:clientData/>
  </xdr:twoCellAnchor>
  <xdr:twoCellAnchor>
    <xdr:from>
      <xdr:col>1</xdr:col>
      <xdr:colOff>9525</xdr:colOff>
      <xdr:row>84</xdr:row>
      <xdr:rowOff>9525</xdr:rowOff>
    </xdr:from>
    <xdr:to>
      <xdr:col>1</xdr:col>
      <xdr:colOff>1724025</xdr:colOff>
      <xdr:row>84</xdr:row>
      <xdr:rowOff>1724025</xdr:rowOff>
    </xdr:to>
    <xdr:pic>
      <xdr:nvPicPr>
        <xdr:cNvPr id="2064" name="Picture 77">
          <a:extLst>
            <a:ext uri="{FF2B5EF4-FFF2-40B4-BE49-F238E27FC236}">
              <a16:creationId xmlns:a16="http://schemas.microsoft.com/office/drawing/2014/main" id="{B3EDCE4A-CF6E-4CB5-9B35-992FA20AE2AD}"/>
            </a:ext>
          </a:extLst>
        </xdr:cNvPr>
        <xdr:cNvPicPr>
          <a:picLocks noChangeAspect="1"/>
        </xdr:cNvPicPr>
      </xdr:nvPicPr>
      <xdr:blipFill>
        <a:blip xmlns:r="http://schemas.openxmlformats.org/officeDocument/2006/relationships" r:embed="rId66"/>
        <a:srcRect/>
        <a:stretch>
          <a:fillRect/>
        </a:stretch>
      </xdr:blipFill>
      <xdr:spPr>
        <a:xfrm>
          <a:off x="619125" y="66074925"/>
          <a:ext cx="876300" cy="857250"/>
        </a:xfrm>
        <a:prstGeom prst="rect">
          <a:avLst/>
        </a:prstGeom>
      </xdr:spPr>
    </xdr:pic>
    <xdr:clientData/>
  </xdr:twoCellAnchor>
  <xdr:twoCellAnchor>
    <xdr:from>
      <xdr:col>1</xdr:col>
      <xdr:colOff>9525</xdr:colOff>
      <xdr:row>85</xdr:row>
      <xdr:rowOff>9525</xdr:rowOff>
    </xdr:from>
    <xdr:to>
      <xdr:col>1</xdr:col>
      <xdr:colOff>1724025</xdr:colOff>
      <xdr:row>85</xdr:row>
      <xdr:rowOff>1724025</xdr:rowOff>
    </xdr:to>
    <xdr:pic>
      <xdr:nvPicPr>
        <xdr:cNvPr id="2065" name="Picture 78">
          <a:extLst>
            <a:ext uri="{FF2B5EF4-FFF2-40B4-BE49-F238E27FC236}">
              <a16:creationId xmlns:a16="http://schemas.microsoft.com/office/drawing/2014/main" id="{A4B732FC-9D55-4C40-AFAE-122BC3B886AB}"/>
            </a:ext>
          </a:extLst>
        </xdr:cNvPr>
        <xdr:cNvPicPr>
          <a:picLocks noChangeAspect="1"/>
        </xdr:cNvPicPr>
      </xdr:nvPicPr>
      <xdr:blipFill>
        <a:blip xmlns:r="http://schemas.openxmlformats.org/officeDocument/2006/relationships" r:embed="rId67"/>
        <a:srcRect/>
        <a:stretch>
          <a:fillRect/>
        </a:stretch>
      </xdr:blipFill>
      <xdr:spPr>
        <a:xfrm>
          <a:off x="619125" y="66941700"/>
          <a:ext cx="876300" cy="857250"/>
        </a:xfrm>
        <a:prstGeom prst="rect">
          <a:avLst/>
        </a:prstGeom>
      </xdr:spPr>
    </xdr:pic>
    <xdr:clientData/>
  </xdr:twoCellAnchor>
  <xdr:twoCellAnchor>
    <xdr:from>
      <xdr:col>1</xdr:col>
      <xdr:colOff>9525</xdr:colOff>
      <xdr:row>86</xdr:row>
      <xdr:rowOff>9525</xdr:rowOff>
    </xdr:from>
    <xdr:to>
      <xdr:col>1</xdr:col>
      <xdr:colOff>1724025</xdr:colOff>
      <xdr:row>86</xdr:row>
      <xdr:rowOff>1724025</xdr:rowOff>
    </xdr:to>
    <xdr:pic>
      <xdr:nvPicPr>
        <xdr:cNvPr id="2066" name="Picture 79">
          <a:extLst>
            <a:ext uri="{FF2B5EF4-FFF2-40B4-BE49-F238E27FC236}">
              <a16:creationId xmlns:a16="http://schemas.microsoft.com/office/drawing/2014/main" id="{0FA33D34-65F4-4F93-B371-7F9246E2CE6C}"/>
            </a:ext>
          </a:extLst>
        </xdr:cNvPr>
        <xdr:cNvPicPr>
          <a:picLocks noChangeAspect="1"/>
        </xdr:cNvPicPr>
      </xdr:nvPicPr>
      <xdr:blipFill>
        <a:blip xmlns:r="http://schemas.openxmlformats.org/officeDocument/2006/relationships" r:embed="rId68"/>
        <a:srcRect/>
        <a:stretch>
          <a:fillRect/>
        </a:stretch>
      </xdr:blipFill>
      <xdr:spPr>
        <a:xfrm>
          <a:off x="619125" y="67808475"/>
          <a:ext cx="876300" cy="857250"/>
        </a:xfrm>
        <a:prstGeom prst="rect">
          <a:avLst/>
        </a:prstGeom>
      </xdr:spPr>
    </xdr:pic>
    <xdr:clientData/>
  </xdr:twoCellAnchor>
  <xdr:twoCellAnchor>
    <xdr:from>
      <xdr:col>1</xdr:col>
      <xdr:colOff>9525</xdr:colOff>
      <xdr:row>87</xdr:row>
      <xdr:rowOff>9525</xdr:rowOff>
    </xdr:from>
    <xdr:to>
      <xdr:col>1</xdr:col>
      <xdr:colOff>1724025</xdr:colOff>
      <xdr:row>87</xdr:row>
      <xdr:rowOff>1724025</xdr:rowOff>
    </xdr:to>
    <xdr:pic>
      <xdr:nvPicPr>
        <xdr:cNvPr id="2067" name="Picture 80">
          <a:extLst>
            <a:ext uri="{FF2B5EF4-FFF2-40B4-BE49-F238E27FC236}">
              <a16:creationId xmlns:a16="http://schemas.microsoft.com/office/drawing/2014/main" id="{49598500-1555-46A3-8331-9B0C65B6F0C8}"/>
            </a:ext>
          </a:extLst>
        </xdr:cNvPr>
        <xdr:cNvPicPr>
          <a:picLocks noChangeAspect="1"/>
        </xdr:cNvPicPr>
      </xdr:nvPicPr>
      <xdr:blipFill>
        <a:blip xmlns:r="http://schemas.openxmlformats.org/officeDocument/2006/relationships" r:embed="rId69"/>
        <a:srcRect/>
        <a:stretch>
          <a:fillRect/>
        </a:stretch>
      </xdr:blipFill>
      <xdr:spPr>
        <a:xfrm>
          <a:off x="619125" y="68675250"/>
          <a:ext cx="876300" cy="857250"/>
        </a:xfrm>
        <a:prstGeom prst="rect">
          <a:avLst/>
        </a:prstGeom>
      </xdr:spPr>
    </xdr:pic>
    <xdr:clientData/>
  </xdr:twoCellAnchor>
  <xdr:twoCellAnchor>
    <xdr:from>
      <xdr:col>1</xdr:col>
      <xdr:colOff>9525</xdr:colOff>
      <xdr:row>88</xdr:row>
      <xdr:rowOff>9525</xdr:rowOff>
    </xdr:from>
    <xdr:to>
      <xdr:col>1</xdr:col>
      <xdr:colOff>1724025</xdr:colOff>
      <xdr:row>88</xdr:row>
      <xdr:rowOff>1724025</xdr:rowOff>
    </xdr:to>
    <xdr:pic>
      <xdr:nvPicPr>
        <xdr:cNvPr id="2068" name="Picture 81">
          <a:extLst>
            <a:ext uri="{FF2B5EF4-FFF2-40B4-BE49-F238E27FC236}">
              <a16:creationId xmlns:a16="http://schemas.microsoft.com/office/drawing/2014/main" id="{EF18F460-FD8E-4513-9A4F-BF3CE33789BD}"/>
            </a:ext>
          </a:extLst>
        </xdr:cNvPr>
        <xdr:cNvPicPr>
          <a:picLocks noChangeAspect="1"/>
        </xdr:cNvPicPr>
      </xdr:nvPicPr>
      <xdr:blipFill>
        <a:blip xmlns:r="http://schemas.openxmlformats.org/officeDocument/2006/relationships" r:embed="rId70"/>
        <a:srcRect/>
        <a:stretch>
          <a:fillRect/>
        </a:stretch>
      </xdr:blipFill>
      <xdr:spPr>
        <a:xfrm>
          <a:off x="619125" y="69542025"/>
          <a:ext cx="876300" cy="857250"/>
        </a:xfrm>
        <a:prstGeom prst="rect">
          <a:avLst/>
        </a:prstGeom>
      </xdr:spPr>
    </xdr:pic>
    <xdr:clientData/>
  </xdr:twoCellAnchor>
  <xdr:twoCellAnchor>
    <xdr:from>
      <xdr:col>1</xdr:col>
      <xdr:colOff>9525</xdr:colOff>
      <xdr:row>89</xdr:row>
      <xdr:rowOff>9525</xdr:rowOff>
    </xdr:from>
    <xdr:to>
      <xdr:col>1</xdr:col>
      <xdr:colOff>1724025</xdr:colOff>
      <xdr:row>89</xdr:row>
      <xdr:rowOff>1724025</xdr:rowOff>
    </xdr:to>
    <xdr:pic>
      <xdr:nvPicPr>
        <xdr:cNvPr id="2069" name="Picture 82">
          <a:extLst>
            <a:ext uri="{FF2B5EF4-FFF2-40B4-BE49-F238E27FC236}">
              <a16:creationId xmlns:a16="http://schemas.microsoft.com/office/drawing/2014/main" id="{F93F0BD0-3931-4F9C-8284-55FF672602BF}"/>
            </a:ext>
          </a:extLst>
        </xdr:cNvPr>
        <xdr:cNvPicPr>
          <a:picLocks noChangeAspect="1"/>
        </xdr:cNvPicPr>
      </xdr:nvPicPr>
      <xdr:blipFill>
        <a:blip xmlns:r="http://schemas.openxmlformats.org/officeDocument/2006/relationships" r:embed="rId71"/>
        <a:srcRect/>
        <a:stretch>
          <a:fillRect/>
        </a:stretch>
      </xdr:blipFill>
      <xdr:spPr>
        <a:xfrm>
          <a:off x="619125" y="70408800"/>
          <a:ext cx="876300" cy="857250"/>
        </a:xfrm>
        <a:prstGeom prst="rect">
          <a:avLst/>
        </a:prstGeom>
      </xdr:spPr>
    </xdr:pic>
    <xdr:clientData/>
  </xdr:twoCellAnchor>
  <xdr:twoCellAnchor>
    <xdr:from>
      <xdr:col>1</xdr:col>
      <xdr:colOff>9525</xdr:colOff>
      <xdr:row>90</xdr:row>
      <xdr:rowOff>9525</xdr:rowOff>
    </xdr:from>
    <xdr:to>
      <xdr:col>1</xdr:col>
      <xdr:colOff>1724025</xdr:colOff>
      <xdr:row>90</xdr:row>
      <xdr:rowOff>1724025</xdr:rowOff>
    </xdr:to>
    <xdr:pic>
      <xdr:nvPicPr>
        <xdr:cNvPr id="2070" name="Picture 83">
          <a:extLst>
            <a:ext uri="{FF2B5EF4-FFF2-40B4-BE49-F238E27FC236}">
              <a16:creationId xmlns:a16="http://schemas.microsoft.com/office/drawing/2014/main" id="{99C89093-683C-4973-936D-C6E274B1DF55}"/>
            </a:ext>
          </a:extLst>
        </xdr:cNvPr>
        <xdr:cNvPicPr>
          <a:picLocks noChangeAspect="1"/>
        </xdr:cNvPicPr>
      </xdr:nvPicPr>
      <xdr:blipFill>
        <a:blip xmlns:r="http://schemas.openxmlformats.org/officeDocument/2006/relationships" r:embed="rId72"/>
        <a:srcRect/>
        <a:stretch>
          <a:fillRect/>
        </a:stretch>
      </xdr:blipFill>
      <xdr:spPr>
        <a:xfrm>
          <a:off x="619125" y="71275575"/>
          <a:ext cx="876300" cy="857250"/>
        </a:xfrm>
        <a:prstGeom prst="rect">
          <a:avLst/>
        </a:prstGeom>
      </xdr:spPr>
    </xdr:pic>
    <xdr:clientData/>
  </xdr:twoCellAnchor>
  <xdr:twoCellAnchor>
    <xdr:from>
      <xdr:col>1</xdr:col>
      <xdr:colOff>9525</xdr:colOff>
      <xdr:row>91</xdr:row>
      <xdr:rowOff>9525</xdr:rowOff>
    </xdr:from>
    <xdr:to>
      <xdr:col>1</xdr:col>
      <xdr:colOff>1724025</xdr:colOff>
      <xdr:row>91</xdr:row>
      <xdr:rowOff>1724025</xdr:rowOff>
    </xdr:to>
    <xdr:pic>
      <xdr:nvPicPr>
        <xdr:cNvPr id="2071" name="Picture 84">
          <a:extLst>
            <a:ext uri="{FF2B5EF4-FFF2-40B4-BE49-F238E27FC236}">
              <a16:creationId xmlns:a16="http://schemas.microsoft.com/office/drawing/2014/main" id="{6B26E505-8C95-46CA-A449-B1C464D37D37}"/>
            </a:ext>
          </a:extLst>
        </xdr:cNvPr>
        <xdr:cNvPicPr>
          <a:picLocks noChangeAspect="1"/>
        </xdr:cNvPicPr>
      </xdr:nvPicPr>
      <xdr:blipFill>
        <a:blip xmlns:r="http://schemas.openxmlformats.org/officeDocument/2006/relationships" r:embed="rId73"/>
        <a:srcRect/>
        <a:stretch>
          <a:fillRect/>
        </a:stretch>
      </xdr:blipFill>
      <xdr:spPr>
        <a:xfrm>
          <a:off x="619125" y="72142350"/>
          <a:ext cx="876300" cy="857250"/>
        </a:xfrm>
        <a:prstGeom prst="rect">
          <a:avLst/>
        </a:prstGeom>
      </xdr:spPr>
    </xdr:pic>
    <xdr:clientData/>
  </xdr:twoCellAnchor>
  <xdr:twoCellAnchor>
    <xdr:from>
      <xdr:col>1</xdr:col>
      <xdr:colOff>9525</xdr:colOff>
      <xdr:row>92</xdr:row>
      <xdr:rowOff>9525</xdr:rowOff>
    </xdr:from>
    <xdr:to>
      <xdr:col>1</xdr:col>
      <xdr:colOff>1724025</xdr:colOff>
      <xdr:row>92</xdr:row>
      <xdr:rowOff>1724025</xdr:rowOff>
    </xdr:to>
    <xdr:pic>
      <xdr:nvPicPr>
        <xdr:cNvPr id="2072" name="Picture 85">
          <a:extLst>
            <a:ext uri="{FF2B5EF4-FFF2-40B4-BE49-F238E27FC236}">
              <a16:creationId xmlns:a16="http://schemas.microsoft.com/office/drawing/2014/main" id="{D417EF0C-A944-4658-812D-F2B3F791FB6D}"/>
            </a:ext>
          </a:extLst>
        </xdr:cNvPr>
        <xdr:cNvPicPr>
          <a:picLocks noChangeAspect="1"/>
        </xdr:cNvPicPr>
      </xdr:nvPicPr>
      <xdr:blipFill>
        <a:blip xmlns:r="http://schemas.openxmlformats.org/officeDocument/2006/relationships" r:embed="rId74"/>
        <a:srcRect/>
        <a:stretch>
          <a:fillRect/>
        </a:stretch>
      </xdr:blipFill>
      <xdr:spPr>
        <a:xfrm>
          <a:off x="619125" y="73009125"/>
          <a:ext cx="876300" cy="857250"/>
        </a:xfrm>
        <a:prstGeom prst="rect">
          <a:avLst/>
        </a:prstGeom>
      </xdr:spPr>
    </xdr:pic>
    <xdr:clientData/>
  </xdr:twoCellAnchor>
  <xdr:twoCellAnchor>
    <xdr:from>
      <xdr:col>1</xdr:col>
      <xdr:colOff>9525</xdr:colOff>
      <xdr:row>93</xdr:row>
      <xdr:rowOff>9525</xdr:rowOff>
    </xdr:from>
    <xdr:to>
      <xdr:col>1</xdr:col>
      <xdr:colOff>1724025</xdr:colOff>
      <xdr:row>93</xdr:row>
      <xdr:rowOff>1724025</xdr:rowOff>
    </xdr:to>
    <xdr:pic>
      <xdr:nvPicPr>
        <xdr:cNvPr id="2073" name="Picture 86">
          <a:extLst>
            <a:ext uri="{FF2B5EF4-FFF2-40B4-BE49-F238E27FC236}">
              <a16:creationId xmlns:a16="http://schemas.microsoft.com/office/drawing/2014/main" id="{E779CE73-24CC-4330-A092-96A6309F95FA}"/>
            </a:ext>
          </a:extLst>
        </xdr:cNvPr>
        <xdr:cNvPicPr>
          <a:picLocks noChangeAspect="1"/>
        </xdr:cNvPicPr>
      </xdr:nvPicPr>
      <xdr:blipFill>
        <a:blip xmlns:r="http://schemas.openxmlformats.org/officeDocument/2006/relationships" r:embed="rId75"/>
        <a:srcRect/>
        <a:stretch>
          <a:fillRect/>
        </a:stretch>
      </xdr:blipFill>
      <xdr:spPr>
        <a:xfrm>
          <a:off x="619125" y="73875900"/>
          <a:ext cx="876300" cy="857250"/>
        </a:xfrm>
        <a:prstGeom prst="rect">
          <a:avLst/>
        </a:prstGeom>
      </xdr:spPr>
    </xdr:pic>
    <xdr:clientData/>
  </xdr:twoCellAnchor>
  <xdr:twoCellAnchor>
    <xdr:from>
      <xdr:col>1</xdr:col>
      <xdr:colOff>9525</xdr:colOff>
      <xdr:row>94</xdr:row>
      <xdr:rowOff>9525</xdr:rowOff>
    </xdr:from>
    <xdr:to>
      <xdr:col>1</xdr:col>
      <xdr:colOff>1724025</xdr:colOff>
      <xdr:row>94</xdr:row>
      <xdr:rowOff>1724025</xdr:rowOff>
    </xdr:to>
    <xdr:pic>
      <xdr:nvPicPr>
        <xdr:cNvPr id="2074" name="Picture 87">
          <a:extLst>
            <a:ext uri="{FF2B5EF4-FFF2-40B4-BE49-F238E27FC236}">
              <a16:creationId xmlns:a16="http://schemas.microsoft.com/office/drawing/2014/main" id="{CECF339E-B644-4AD6-9D9D-E2BECC2EE6FC}"/>
            </a:ext>
          </a:extLst>
        </xdr:cNvPr>
        <xdr:cNvPicPr>
          <a:picLocks noChangeAspect="1"/>
        </xdr:cNvPicPr>
      </xdr:nvPicPr>
      <xdr:blipFill>
        <a:blip xmlns:r="http://schemas.openxmlformats.org/officeDocument/2006/relationships" r:embed="rId76"/>
        <a:srcRect/>
        <a:stretch>
          <a:fillRect/>
        </a:stretch>
      </xdr:blipFill>
      <xdr:spPr>
        <a:xfrm>
          <a:off x="619125" y="74742675"/>
          <a:ext cx="876300" cy="857250"/>
        </a:xfrm>
        <a:prstGeom prst="rect">
          <a:avLst/>
        </a:prstGeom>
      </xdr:spPr>
    </xdr:pic>
    <xdr:clientData/>
  </xdr:twoCellAnchor>
  <xdr:twoCellAnchor>
    <xdr:from>
      <xdr:col>1</xdr:col>
      <xdr:colOff>9525</xdr:colOff>
      <xdr:row>95</xdr:row>
      <xdr:rowOff>9525</xdr:rowOff>
    </xdr:from>
    <xdr:to>
      <xdr:col>1</xdr:col>
      <xdr:colOff>1724025</xdr:colOff>
      <xdr:row>95</xdr:row>
      <xdr:rowOff>1724025</xdr:rowOff>
    </xdr:to>
    <xdr:pic>
      <xdr:nvPicPr>
        <xdr:cNvPr id="2075" name="Picture 88">
          <a:extLst>
            <a:ext uri="{FF2B5EF4-FFF2-40B4-BE49-F238E27FC236}">
              <a16:creationId xmlns:a16="http://schemas.microsoft.com/office/drawing/2014/main" id="{7634B58A-4A2F-436A-A492-53AD1938BEEF}"/>
            </a:ext>
          </a:extLst>
        </xdr:cNvPr>
        <xdr:cNvPicPr>
          <a:picLocks noChangeAspect="1"/>
        </xdr:cNvPicPr>
      </xdr:nvPicPr>
      <xdr:blipFill>
        <a:blip xmlns:r="http://schemas.openxmlformats.org/officeDocument/2006/relationships" r:embed="rId77"/>
        <a:srcRect/>
        <a:stretch>
          <a:fillRect/>
        </a:stretch>
      </xdr:blipFill>
      <xdr:spPr>
        <a:xfrm>
          <a:off x="619125" y="75609450"/>
          <a:ext cx="876300" cy="857250"/>
        </a:xfrm>
        <a:prstGeom prst="rect">
          <a:avLst/>
        </a:prstGeom>
      </xdr:spPr>
    </xdr:pic>
    <xdr:clientData/>
  </xdr:twoCellAnchor>
  <xdr:twoCellAnchor>
    <xdr:from>
      <xdr:col>1</xdr:col>
      <xdr:colOff>9525</xdr:colOff>
      <xdr:row>96</xdr:row>
      <xdr:rowOff>9525</xdr:rowOff>
    </xdr:from>
    <xdr:to>
      <xdr:col>1</xdr:col>
      <xdr:colOff>1724025</xdr:colOff>
      <xdr:row>96</xdr:row>
      <xdr:rowOff>1724025</xdr:rowOff>
    </xdr:to>
    <xdr:pic>
      <xdr:nvPicPr>
        <xdr:cNvPr id="2076" name="Picture 89">
          <a:extLst>
            <a:ext uri="{FF2B5EF4-FFF2-40B4-BE49-F238E27FC236}">
              <a16:creationId xmlns:a16="http://schemas.microsoft.com/office/drawing/2014/main" id="{B959C021-96B3-4629-BF9A-BF31A1F890D6}"/>
            </a:ext>
          </a:extLst>
        </xdr:cNvPr>
        <xdr:cNvPicPr>
          <a:picLocks noChangeAspect="1"/>
        </xdr:cNvPicPr>
      </xdr:nvPicPr>
      <xdr:blipFill>
        <a:blip xmlns:r="http://schemas.openxmlformats.org/officeDocument/2006/relationships" r:embed="rId78"/>
        <a:srcRect/>
        <a:stretch>
          <a:fillRect/>
        </a:stretch>
      </xdr:blipFill>
      <xdr:spPr>
        <a:xfrm>
          <a:off x="619125" y="76476225"/>
          <a:ext cx="876300" cy="857250"/>
        </a:xfrm>
        <a:prstGeom prst="rect">
          <a:avLst/>
        </a:prstGeom>
      </xdr:spPr>
    </xdr:pic>
    <xdr:clientData/>
  </xdr:twoCellAnchor>
  <xdr:twoCellAnchor>
    <xdr:from>
      <xdr:col>1</xdr:col>
      <xdr:colOff>9525</xdr:colOff>
      <xdr:row>97</xdr:row>
      <xdr:rowOff>9525</xdr:rowOff>
    </xdr:from>
    <xdr:to>
      <xdr:col>1</xdr:col>
      <xdr:colOff>1724025</xdr:colOff>
      <xdr:row>97</xdr:row>
      <xdr:rowOff>1724025</xdr:rowOff>
    </xdr:to>
    <xdr:pic>
      <xdr:nvPicPr>
        <xdr:cNvPr id="2077" name="Picture 90">
          <a:extLst>
            <a:ext uri="{FF2B5EF4-FFF2-40B4-BE49-F238E27FC236}">
              <a16:creationId xmlns:a16="http://schemas.microsoft.com/office/drawing/2014/main" id="{6B8207C9-6BBA-47AA-AC24-0F3197CD23EA}"/>
            </a:ext>
          </a:extLst>
        </xdr:cNvPr>
        <xdr:cNvPicPr>
          <a:picLocks noChangeAspect="1"/>
        </xdr:cNvPicPr>
      </xdr:nvPicPr>
      <xdr:blipFill>
        <a:blip xmlns:r="http://schemas.openxmlformats.org/officeDocument/2006/relationships" r:embed="rId66"/>
        <a:srcRect/>
        <a:stretch>
          <a:fillRect/>
        </a:stretch>
      </xdr:blipFill>
      <xdr:spPr>
        <a:xfrm>
          <a:off x="619125" y="77343000"/>
          <a:ext cx="876300" cy="857250"/>
        </a:xfrm>
        <a:prstGeom prst="rect">
          <a:avLst/>
        </a:prstGeom>
      </xdr:spPr>
    </xdr:pic>
    <xdr:clientData/>
  </xdr:twoCellAnchor>
  <xdr:twoCellAnchor>
    <xdr:from>
      <xdr:col>1</xdr:col>
      <xdr:colOff>9525</xdr:colOff>
      <xdr:row>98</xdr:row>
      <xdr:rowOff>9525</xdr:rowOff>
    </xdr:from>
    <xdr:to>
      <xdr:col>1</xdr:col>
      <xdr:colOff>1724025</xdr:colOff>
      <xdr:row>98</xdr:row>
      <xdr:rowOff>1724025</xdr:rowOff>
    </xdr:to>
    <xdr:pic>
      <xdr:nvPicPr>
        <xdr:cNvPr id="2078" name="Picture 91">
          <a:extLst>
            <a:ext uri="{FF2B5EF4-FFF2-40B4-BE49-F238E27FC236}">
              <a16:creationId xmlns:a16="http://schemas.microsoft.com/office/drawing/2014/main" id="{B0B939A6-A327-48D1-BF29-7187BC51E68D}"/>
            </a:ext>
          </a:extLst>
        </xdr:cNvPr>
        <xdr:cNvPicPr>
          <a:picLocks noChangeAspect="1"/>
        </xdr:cNvPicPr>
      </xdr:nvPicPr>
      <xdr:blipFill>
        <a:blip xmlns:r="http://schemas.openxmlformats.org/officeDocument/2006/relationships" r:embed="rId67"/>
        <a:srcRect/>
        <a:stretch>
          <a:fillRect/>
        </a:stretch>
      </xdr:blipFill>
      <xdr:spPr>
        <a:xfrm>
          <a:off x="619125" y="78209775"/>
          <a:ext cx="876300" cy="857250"/>
        </a:xfrm>
        <a:prstGeom prst="rect">
          <a:avLst/>
        </a:prstGeom>
      </xdr:spPr>
    </xdr:pic>
    <xdr:clientData/>
  </xdr:twoCellAnchor>
  <xdr:twoCellAnchor>
    <xdr:from>
      <xdr:col>1</xdr:col>
      <xdr:colOff>9525</xdr:colOff>
      <xdr:row>99</xdr:row>
      <xdr:rowOff>9525</xdr:rowOff>
    </xdr:from>
    <xdr:to>
      <xdr:col>1</xdr:col>
      <xdr:colOff>1724025</xdr:colOff>
      <xdr:row>99</xdr:row>
      <xdr:rowOff>1724025</xdr:rowOff>
    </xdr:to>
    <xdr:pic>
      <xdr:nvPicPr>
        <xdr:cNvPr id="2079" name="Picture 92">
          <a:extLst>
            <a:ext uri="{FF2B5EF4-FFF2-40B4-BE49-F238E27FC236}">
              <a16:creationId xmlns:a16="http://schemas.microsoft.com/office/drawing/2014/main" id="{8E0FD100-8CA2-439A-A275-F9C9488CE080}"/>
            </a:ext>
          </a:extLst>
        </xdr:cNvPr>
        <xdr:cNvPicPr>
          <a:picLocks noChangeAspect="1"/>
        </xdr:cNvPicPr>
      </xdr:nvPicPr>
      <xdr:blipFill>
        <a:blip xmlns:r="http://schemas.openxmlformats.org/officeDocument/2006/relationships" r:embed="rId79"/>
        <a:srcRect/>
        <a:stretch>
          <a:fillRect/>
        </a:stretch>
      </xdr:blipFill>
      <xdr:spPr>
        <a:xfrm>
          <a:off x="619125" y="79076550"/>
          <a:ext cx="876300" cy="857250"/>
        </a:xfrm>
        <a:prstGeom prst="rect">
          <a:avLst/>
        </a:prstGeom>
      </xdr:spPr>
    </xdr:pic>
    <xdr:clientData/>
  </xdr:twoCellAnchor>
  <xdr:twoCellAnchor>
    <xdr:from>
      <xdr:col>1</xdr:col>
      <xdr:colOff>9525</xdr:colOff>
      <xdr:row>100</xdr:row>
      <xdr:rowOff>9525</xdr:rowOff>
    </xdr:from>
    <xdr:to>
      <xdr:col>1</xdr:col>
      <xdr:colOff>1724025</xdr:colOff>
      <xdr:row>100</xdr:row>
      <xdr:rowOff>1724025</xdr:rowOff>
    </xdr:to>
    <xdr:pic>
      <xdr:nvPicPr>
        <xdr:cNvPr id="2080" name="Picture 93">
          <a:extLst>
            <a:ext uri="{FF2B5EF4-FFF2-40B4-BE49-F238E27FC236}">
              <a16:creationId xmlns:a16="http://schemas.microsoft.com/office/drawing/2014/main" id="{31BDCFDC-F76F-45E2-B5B8-69ACF94D39E2}"/>
            </a:ext>
          </a:extLst>
        </xdr:cNvPr>
        <xdr:cNvPicPr>
          <a:picLocks noChangeAspect="1"/>
        </xdr:cNvPicPr>
      </xdr:nvPicPr>
      <xdr:blipFill>
        <a:blip xmlns:r="http://schemas.openxmlformats.org/officeDocument/2006/relationships" r:embed="rId80"/>
        <a:srcRect/>
        <a:stretch>
          <a:fillRect/>
        </a:stretch>
      </xdr:blipFill>
      <xdr:spPr>
        <a:xfrm>
          <a:off x="619125" y="79943325"/>
          <a:ext cx="876300" cy="857250"/>
        </a:xfrm>
        <a:prstGeom prst="rect">
          <a:avLst/>
        </a:prstGeom>
      </xdr:spPr>
    </xdr:pic>
    <xdr:clientData/>
  </xdr:twoCellAnchor>
  <xdr:twoCellAnchor>
    <xdr:from>
      <xdr:col>1</xdr:col>
      <xdr:colOff>9525</xdr:colOff>
      <xdr:row>101</xdr:row>
      <xdr:rowOff>9525</xdr:rowOff>
    </xdr:from>
    <xdr:to>
      <xdr:col>1</xdr:col>
      <xdr:colOff>1724025</xdr:colOff>
      <xdr:row>101</xdr:row>
      <xdr:rowOff>1724025</xdr:rowOff>
    </xdr:to>
    <xdr:pic>
      <xdr:nvPicPr>
        <xdr:cNvPr id="2081" name="Picture 94">
          <a:extLst>
            <a:ext uri="{FF2B5EF4-FFF2-40B4-BE49-F238E27FC236}">
              <a16:creationId xmlns:a16="http://schemas.microsoft.com/office/drawing/2014/main" id="{921DE9AC-923F-4B95-B0CA-6C0A563B4618}"/>
            </a:ext>
          </a:extLst>
        </xdr:cNvPr>
        <xdr:cNvPicPr>
          <a:picLocks noChangeAspect="1"/>
        </xdr:cNvPicPr>
      </xdr:nvPicPr>
      <xdr:blipFill>
        <a:blip xmlns:r="http://schemas.openxmlformats.org/officeDocument/2006/relationships" r:embed="rId81"/>
        <a:srcRect/>
        <a:stretch>
          <a:fillRect/>
        </a:stretch>
      </xdr:blipFill>
      <xdr:spPr>
        <a:xfrm>
          <a:off x="619125" y="80810100"/>
          <a:ext cx="876300" cy="857250"/>
        </a:xfrm>
        <a:prstGeom prst="rect">
          <a:avLst/>
        </a:prstGeom>
      </xdr:spPr>
    </xdr:pic>
    <xdr:clientData/>
  </xdr:twoCellAnchor>
  <xdr:twoCellAnchor>
    <xdr:from>
      <xdr:col>1</xdr:col>
      <xdr:colOff>9525</xdr:colOff>
      <xdr:row>102</xdr:row>
      <xdr:rowOff>9525</xdr:rowOff>
    </xdr:from>
    <xdr:to>
      <xdr:col>1</xdr:col>
      <xdr:colOff>1724025</xdr:colOff>
      <xdr:row>102</xdr:row>
      <xdr:rowOff>1724025</xdr:rowOff>
    </xdr:to>
    <xdr:pic>
      <xdr:nvPicPr>
        <xdr:cNvPr id="2082" name="Picture 95">
          <a:extLst>
            <a:ext uri="{FF2B5EF4-FFF2-40B4-BE49-F238E27FC236}">
              <a16:creationId xmlns:a16="http://schemas.microsoft.com/office/drawing/2014/main" id="{CC47E0DE-64C9-4116-8CCD-F4F2030AFF43}"/>
            </a:ext>
          </a:extLst>
        </xdr:cNvPr>
        <xdr:cNvPicPr>
          <a:picLocks noChangeAspect="1"/>
        </xdr:cNvPicPr>
      </xdr:nvPicPr>
      <xdr:blipFill>
        <a:blip xmlns:r="http://schemas.openxmlformats.org/officeDocument/2006/relationships" r:embed="rId82"/>
        <a:srcRect/>
        <a:stretch>
          <a:fillRect/>
        </a:stretch>
      </xdr:blipFill>
      <xdr:spPr>
        <a:xfrm>
          <a:off x="619125" y="81676875"/>
          <a:ext cx="876300" cy="857250"/>
        </a:xfrm>
        <a:prstGeom prst="rect">
          <a:avLst/>
        </a:prstGeom>
      </xdr:spPr>
    </xdr:pic>
    <xdr:clientData/>
  </xdr:twoCellAnchor>
  <xdr:twoCellAnchor>
    <xdr:from>
      <xdr:col>1</xdr:col>
      <xdr:colOff>9525</xdr:colOff>
      <xdr:row>103</xdr:row>
      <xdr:rowOff>9525</xdr:rowOff>
    </xdr:from>
    <xdr:to>
      <xdr:col>1</xdr:col>
      <xdr:colOff>1724025</xdr:colOff>
      <xdr:row>103</xdr:row>
      <xdr:rowOff>1724025</xdr:rowOff>
    </xdr:to>
    <xdr:pic>
      <xdr:nvPicPr>
        <xdr:cNvPr id="2083" name="Picture 96">
          <a:extLst>
            <a:ext uri="{FF2B5EF4-FFF2-40B4-BE49-F238E27FC236}">
              <a16:creationId xmlns:a16="http://schemas.microsoft.com/office/drawing/2014/main" id="{33412A47-7F1E-43C7-A8B9-1F173C4CB20B}"/>
            </a:ext>
          </a:extLst>
        </xdr:cNvPr>
        <xdr:cNvPicPr>
          <a:picLocks noChangeAspect="1"/>
        </xdr:cNvPicPr>
      </xdr:nvPicPr>
      <xdr:blipFill>
        <a:blip xmlns:r="http://schemas.openxmlformats.org/officeDocument/2006/relationships" r:embed="rId83"/>
        <a:srcRect/>
        <a:stretch>
          <a:fillRect/>
        </a:stretch>
      </xdr:blipFill>
      <xdr:spPr>
        <a:xfrm>
          <a:off x="619125" y="82543650"/>
          <a:ext cx="876300" cy="857250"/>
        </a:xfrm>
        <a:prstGeom prst="rect">
          <a:avLst/>
        </a:prstGeom>
      </xdr:spPr>
    </xdr:pic>
    <xdr:clientData/>
  </xdr:twoCellAnchor>
  <xdr:twoCellAnchor>
    <xdr:from>
      <xdr:col>1</xdr:col>
      <xdr:colOff>9525</xdr:colOff>
      <xdr:row>104</xdr:row>
      <xdr:rowOff>9525</xdr:rowOff>
    </xdr:from>
    <xdr:to>
      <xdr:col>1</xdr:col>
      <xdr:colOff>1724025</xdr:colOff>
      <xdr:row>104</xdr:row>
      <xdr:rowOff>1724025</xdr:rowOff>
    </xdr:to>
    <xdr:pic>
      <xdr:nvPicPr>
        <xdr:cNvPr id="2084" name="Picture 97">
          <a:extLst>
            <a:ext uri="{FF2B5EF4-FFF2-40B4-BE49-F238E27FC236}">
              <a16:creationId xmlns:a16="http://schemas.microsoft.com/office/drawing/2014/main" id="{D5155916-7E98-48A1-A176-06A63F0D5310}"/>
            </a:ext>
          </a:extLst>
        </xdr:cNvPr>
        <xdr:cNvPicPr>
          <a:picLocks noChangeAspect="1"/>
        </xdr:cNvPicPr>
      </xdr:nvPicPr>
      <xdr:blipFill>
        <a:blip xmlns:r="http://schemas.openxmlformats.org/officeDocument/2006/relationships" r:embed="rId84"/>
        <a:srcRect/>
        <a:stretch>
          <a:fillRect/>
        </a:stretch>
      </xdr:blipFill>
      <xdr:spPr>
        <a:xfrm>
          <a:off x="619125" y="83410425"/>
          <a:ext cx="876300" cy="857250"/>
        </a:xfrm>
        <a:prstGeom prst="rect">
          <a:avLst/>
        </a:prstGeom>
      </xdr:spPr>
    </xdr:pic>
    <xdr:clientData/>
  </xdr:twoCellAnchor>
  <xdr:twoCellAnchor>
    <xdr:from>
      <xdr:col>1</xdr:col>
      <xdr:colOff>9525</xdr:colOff>
      <xdr:row>105</xdr:row>
      <xdr:rowOff>9525</xdr:rowOff>
    </xdr:from>
    <xdr:to>
      <xdr:col>1</xdr:col>
      <xdr:colOff>1724025</xdr:colOff>
      <xdr:row>105</xdr:row>
      <xdr:rowOff>1724025</xdr:rowOff>
    </xdr:to>
    <xdr:pic>
      <xdr:nvPicPr>
        <xdr:cNvPr id="2085" name="Picture 98">
          <a:extLst>
            <a:ext uri="{FF2B5EF4-FFF2-40B4-BE49-F238E27FC236}">
              <a16:creationId xmlns:a16="http://schemas.microsoft.com/office/drawing/2014/main" id="{880122CC-6C4B-4FAB-9F23-CAB3C4173205}"/>
            </a:ext>
          </a:extLst>
        </xdr:cNvPr>
        <xdr:cNvPicPr>
          <a:picLocks noChangeAspect="1"/>
        </xdr:cNvPicPr>
      </xdr:nvPicPr>
      <xdr:blipFill>
        <a:blip xmlns:r="http://schemas.openxmlformats.org/officeDocument/2006/relationships" r:embed="rId85"/>
        <a:srcRect/>
        <a:stretch>
          <a:fillRect/>
        </a:stretch>
      </xdr:blipFill>
      <xdr:spPr>
        <a:xfrm>
          <a:off x="619125" y="84277200"/>
          <a:ext cx="876300" cy="857250"/>
        </a:xfrm>
        <a:prstGeom prst="rect">
          <a:avLst/>
        </a:prstGeom>
      </xdr:spPr>
    </xdr:pic>
    <xdr:clientData/>
  </xdr:twoCellAnchor>
  <xdr:twoCellAnchor>
    <xdr:from>
      <xdr:col>1</xdr:col>
      <xdr:colOff>9525</xdr:colOff>
      <xdr:row>106</xdr:row>
      <xdr:rowOff>9525</xdr:rowOff>
    </xdr:from>
    <xdr:to>
      <xdr:col>1</xdr:col>
      <xdr:colOff>1724025</xdr:colOff>
      <xdr:row>106</xdr:row>
      <xdr:rowOff>1724025</xdr:rowOff>
    </xdr:to>
    <xdr:pic>
      <xdr:nvPicPr>
        <xdr:cNvPr id="2086" name="Picture 99">
          <a:extLst>
            <a:ext uri="{FF2B5EF4-FFF2-40B4-BE49-F238E27FC236}">
              <a16:creationId xmlns:a16="http://schemas.microsoft.com/office/drawing/2014/main" id="{35BDC8C5-4E6D-4545-A105-839899E88F02}"/>
            </a:ext>
          </a:extLst>
        </xdr:cNvPr>
        <xdr:cNvPicPr>
          <a:picLocks noChangeAspect="1"/>
        </xdr:cNvPicPr>
      </xdr:nvPicPr>
      <xdr:blipFill>
        <a:blip xmlns:r="http://schemas.openxmlformats.org/officeDocument/2006/relationships" r:embed="rId86"/>
        <a:srcRect/>
        <a:stretch>
          <a:fillRect/>
        </a:stretch>
      </xdr:blipFill>
      <xdr:spPr>
        <a:xfrm>
          <a:off x="619125" y="85143975"/>
          <a:ext cx="876300" cy="857250"/>
        </a:xfrm>
        <a:prstGeom prst="rect">
          <a:avLst/>
        </a:prstGeom>
      </xdr:spPr>
    </xdr:pic>
    <xdr:clientData/>
  </xdr:twoCellAnchor>
  <xdr:twoCellAnchor>
    <xdr:from>
      <xdr:col>1</xdr:col>
      <xdr:colOff>9525</xdr:colOff>
      <xdr:row>107</xdr:row>
      <xdr:rowOff>9525</xdr:rowOff>
    </xdr:from>
    <xdr:to>
      <xdr:col>1</xdr:col>
      <xdr:colOff>1724025</xdr:colOff>
      <xdr:row>107</xdr:row>
      <xdr:rowOff>1724025</xdr:rowOff>
    </xdr:to>
    <xdr:pic>
      <xdr:nvPicPr>
        <xdr:cNvPr id="2087" name="Picture 100">
          <a:extLst>
            <a:ext uri="{FF2B5EF4-FFF2-40B4-BE49-F238E27FC236}">
              <a16:creationId xmlns:a16="http://schemas.microsoft.com/office/drawing/2014/main" id="{3D725680-6729-4F37-8C2C-46CCDA5B9BFE}"/>
            </a:ext>
          </a:extLst>
        </xdr:cNvPr>
        <xdr:cNvPicPr>
          <a:picLocks noChangeAspect="1"/>
        </xdr:cNvPicPr>
      </xdr:nvPicPr>
      <xdr:blipFill>
        <a:blip xmlns:r="http://schemas.openxmlformats.org/officeDocument/2006/relationships" r:embed="rId87"/>
        <a:srcRect/>
        <a:stretch>
          <a:fillRect/>
        </a:stretch>
      </xdr:blipFill>
      <xdr:spPr>
        <a:xfrm>
          <a:off x="619125" y="86010750"/>
          <a:ext cx="876300" cy="857250"/>
        </a:xfrm>
        <a:prstGeom prst="rect">
          <a:avLst/>
        </a:prstGeom>
      </xdr:spPr>
    </xdr:pic>
    <xdr:clientData/>
  </xdr:twoCellAnchor>
  <xdr:twoCellAnchor>
    <xdr:from>
      <xdr:col>1</xdr:col>
      <xdr:colOff>9525</xdr:colOff>
      <xdr:row>108</xdr:row>
      <xdr:rowOff>9525</xdr:rowOff>
    </xdr:from>
    <xdr:to>
      <xdr:col>1</xdr:col>
      <xdr:colOff>1724025</xdr:colOff>
      <xdr:row>108</xdr:row>
      <xdr:rowOff>1724025</xdr:rowOff>
    </xdr:to>
    <xdr:pic>
      <xdr:nvPicPr>
        <xdr:cNvPr id="2088" name="Picture 101">
          <a:extLst>
            <a:ext uri="{FF2B5EF4-FFF2-40B4-BE49-F238E27FC236}">
              <a16:creationId xmlns:a16="http://schemas.microsoft.com/office/drawing/2014/main" id="{5D4E89AE-B8BC-4FF4-B6EA-01F30775A13F}"/>
            </a:ext>
          </a:extLst>
        </xdr:cNvPr>
        <xdr:cNvPicPr>
          <a:picLocks noChangeAspect="1"/>
        </xdr:cNvPicPr>
      </xdr:nvPicPr>
      <xdr:blipFill>
        <a:blip xmlns:r="http://schemas.openxmlformats.org/officeDocument/2006/relationships" r:embed="rId88"/>
        <a:srcRect/>
        <a:stretch>
          <a:fillRect/>
        </a:stretch>
      </xdr:blipFill>
      <xdr:spPr>
        <a:xfrm>
          <a:off x="619125" y="86877525"/>
          <a:ext cx="876300" cy="857250"/>
        </a:xfrm>
        <a:prstGeom prst="rect">
          <a:avLst/>
        </a:prstGeom>
      </xdr:spPr>
    </xdr:pic>
    <xdr:clientData/>
  </xdr:twoCellAnchor>
  <xdr:twoCellAnchor>
    <xdr:from>
      <xdr:col>1</xdr:col>
      <xdr:colOff>9525</xdr:colOff>
      <xdr:row>109</xdr:row>
      <xdr:rowOff>9525</xdr:rowOff>
    </xdr:from>
    <xdr:to>
      <xdr:col>1</xdr:col>
      <xdr:colOff>1724025</xdr:colOff>
      <xdr:row>109</xdr:row>
      <xdr:rowOff>1724025</xdr:rowOff>
    </xdr:to>
    <xdr:pic>
      <xdr:nvPicPr>
        <xdr:cNvPr id="2089" name="Picture 102">
          <a:extLst>
            <a:ext uri="{FF2B5EF4-FFF2-40B4-BE49-F238E27FC236}">
              <a16:creationId xmlns:a16="http://schemas.microsoft.com/office/drawing/2014/main" id="{9AE7F7EB-C263-4732-A933-AD5E4ED14519}"/>
            </a:ext>
          </a:extLst>
        </xdr:cNvPr>
        <xdr:cNvPicPr>
          <a:picLocks noChangeAspect="1"/>
        </xdr:cNvPicPr>
      </xdr:nvPicPr>
      <xdr:blipFill>
        <a:blip xmlns:r="http://schemas.openxmlformats.org/officeDocument/2006/relationships" r:embed="rId89"/>
        <a:srcRect/>
        <a:stretch>
          <a:fillRect/>
        </a:stretch>
      </xdr:blipFill>
      <xdr:spPr>
        <a:xfrm>
          <a:off x="619125" y="87744300"/>
          <a:ext cx="876300" cy="857250"/>
        </a:xfrm>
        <a:prstGeom prst="rect">
          <a:avLst/>
        </a:prstGeom>
      </xdr:spPr>
    </xdr:pic>
    <xdr:clientData/>
  </xdr:twoCellAnchor>
  <xdr:twoCellAnchor>
    <xdr:from>
      <xdr:col>1</xdr:col>
      <xdr:colOff>9525</xdr:colOff>
      <xdr:row>110</xdr:row>
      <xdr:rowOff>9525</xdr:rowOff>
    </xdr:from>
    <xdr:to>
      <xdr:col>1</xdr:col>
      <xdr:colOff>1724025</xdr:colOff>
      <xdr:row>110</xdr:row>
      <xdr:rowOff>1724025</xdr:rowOff>
    </xdr:to>
    <xdr:pic>
      <xdr:nvPicPr>
        <xdr:cNvPr id="2090" name="Picture 103">
          <a:extLst>
            <a:ext uri="{FF2B5EF4-FFF2-40B4-BE49-F238E27FC236}">
              <a16:creationId xmlns:a16="http://schemas.microsoft.com/office/drawing/2014/main" id="{8D49FAF0-85DB-4F8D-87C9-78427BFDA35D}"/>
            </a:ext>
          </a:extLst>
        </xdr:cNvPr>
        <xdr:cNvPicPr>
          <a:picLocks noChangeAspect="1"/>
        </xdr:cNvPicPr>
      </xdr:nvPicPr>
      <xdr:blipFill>
        <a:blip xmlns:r="http://schemas.openxmlformats.org/officeDocument/2006/relationships" r:embed="rId90"/>
        <a:srcRect/>
        <a:stretch>
          <a:fillRect/>
        </a:stretch>
      </xdr:blipFill>
      <xdr:spPr>
        <a:xfrm>
          <a:off x="619125" y="88611075"/>
          <a:ext cx="876300" cy="857250"/>
        </a:xfrm>
        <a:prstGeom prst="rect">
          <a:avLst/>
        </a:prstGeom>
      </xdr:spPr>
    </xdr:pic>
    <xdr:clientData/>
  </xdr:twoCellAnchor>
  <xdr:twoCellAnchor>
    <xdr:from>
      <xdr:col>1</xdr:col>
      <xdr:colOff>9525</xdr:colOff>
      <xdr:row>111</xdr:row>
      <xdr:rowOff>9525</xdr:rowOff>
    </xdr:from>
    <xdr:to>
      <xdr:col>1</xdr:col>
      <xdr:colOff>1724025</xdr:colOff>
      <xdr:row>111</xdr:row>
      <xdr:rowOff>1724025</xdr:rowOff>
    </xdr:to>
    <xdr:pic>
      <xdr:nvPicPr>
        <xdr:cNvPr id="2091" name="Picture 104">
          <a:extLst>
            <a:ext uri="{FF2B5EF4-FFF2-40B4-BE49-F238E27FC236}">
              <a16:creationId xmlns:a16="http://schemas.microsoft.com/office/drawing/2014/main" id="{4A4A86E3-EF21-4B71-AA98-562EF6B77C59}"/>
            </a:ext>
          </a:extLst>
        </xdr:cNvPr>
        <xdr:cNvPicPr>
          <a:picLocks noChangeAspect="1"/>
        </xdr:cNvPicPr>
      </xdr:nvPicPr>
      <xdr:blipFill>
        <a:blip xmlns:r="http://schemas.openxmlformats.org/officeDocument/2006/relationships" r:embed="rId91"/>
        <a:srcRect/>
        <a:stretch>
          <a:fillRect/>
        </a:stretch>
      </xdr:blipFill>
      <xdr:spPr>
        <a:xfrm>
          <a:off x="619125" y="89477850"/>
          <a:ext cx="876300" cy="857250"/>
        </a:xfrm>
        <a:prstGeom prst="rect">
          <a:avLst/>
        </a:prstGeom>
      </xdr:spPr>
    </xdr:pic>
    <xdr:clientData/>
  </xdr:twoCellAnchor>
  <xdr:twoCellAnchor>
    <xdr:from>
      <xdr:col>1</xdr:col>
      <xdr:colOff>9525</xdr:colOff>
      <xdr:row>112</xdr:row>
      <xdr:rowOff>9525</xdr:rowOff>
    </xdr:from>
    <xdr:to>
      <xdr:col>1</xdr:col>
      <xdr:colOff>1724025</xdr:colOff>
      <xdr:row>112</xdr:row>
      <xdr:rowOff>1724025</xdr:rowOff>
    </xdr:to>
    <xdr:pic>
      <xdr:nvPicPr>
        <xdr:cNvPr id="2092" name="Picture 105">
          <a:extLst>
            <a:ext uri="{FF2B5EF4-FFF2-40B4-BE49-F238E27FC236}">
              <a16:creationId xmlns:a16="http://schemas.microsoft.com/office/drawing/2014/main" id="{BFFEDDD5-8F55-4A68-A8EC-64563184B89E}"/>
            </a:ext>
          </a:extLst>
        </xdr:cNvPr>
        <xdr:cNvPicPr>
          <a:picLocks noChangeAspect="1"/>
        </xdr:cNvPicPr>
      </xdr:nvPicPr>
      <xdr:blipFill>
        <a:blip xmlns:r="http://schemas.openxmlformats.org/officeDocument/2006/relationships" r:embed="rId92"/>
        <a:srcRect/>
        <a:stretch>
          <a:fillRect/>
        </a:stretch>
      </xdr:blipFill>
      <xdr:spPr>
        <a:xfrm>
          <a:off x="619125" y="90344625"/>
          <a:ext cx="876300" cy="857250"/>
        </a:xfrm>
        <a:prstGeom prst="rect">
          <a:avLst/>
        </a:prstGeom>
      </xdr:spPr>
    </xdr:pic>
    <xdr:clientData/>
  </xdr:twoCellAnchor>
  <xdr:twoCellAnchor>
    <xdr:from>
      <xdr:col>1</xdr:col>
      <xdr:colOff>9525</xdr:colOff>
      <xdr:row>113</xdr:row>
      <xdr:rowOff>9525</xdr:rowOff>
    </xdr:from>
    <xdr:to>
      <xdr:col>1</xdr:col>
      <xdr:colOff>1724025</xdr:colOff>
      <xdr:row>113</xdr:row>
      <xdr:rowOff>1724025</xdr:rowOff>
    </xdr:to>
    <xdr:pic>
      <xdr:nvPicPr>
        <xdr:cNvPr id="2093" name="Picture 106">
          <a:extLst>
            <a:ext uri="{FF2B5EF4-FFF2-40B4-BE49-F238E27FC236}">
              <a16:creationId xmlns:a16="http://schemas.microsoft.com/office/drawing/2014/main" id="{2B4776B4-A524-4436-9593-897FBC6C7335}"/>
            </a:ext>
          </a:extLst>
        </xdr:cNvPr>
        <xdr:cNvPicPr>
          <a:picLocks noChangeAspect="1"/>
        </xdr:cNvPicPr>
      </xdr:nvPicPr>
      <xdr:blipFill>
        <a:blip xmlns:r="http://schemas.openxmlformats.org/officeDocument/2006/relationships" r:embed="rId78"/>
        <a:srcRect/>
        <a:stretch>
          <a:fillRect/>
        </a:stretch>
      </xdr:blipFill>
      <xdr:spPr>
        <a:xfrm>
          <a:off x="619125" y="91211400"/>
          <a:ext cx="876300" cy="857250"/>
        </a:xfrm>
        <a:prstGeom prst="rect">
          <a:avLst/>
        </a:prstGeom>
      </xdr:spPr>
    </xdr:pic>
    <xdr:clientData/>
  </xdr:twoCellAnchor>
  <xdr:twoCellAnchor>
    <xdr:from>
      <xdr:col>1</xdr:col>
      <xdr:colOff>9525</xdr:colOff>
      <xdr:row>114</xdr:row>
      <xdr:rowOff>9525</xdr:rowOff>
    </xdr:from>
    <xdr:to>
      <xdr:col>1</xdr:col>
      <xdr:colOff>1724025</xdr:colOff>
      <xdr:row>114</xdr:row>
      <xdr:rowOff>1724025</xdr:rowOff>
    </xdr:to>
    <xdr:pic>
      <xdr:nvPicPr>
        <xdr:cNvPr id="2094" name="Picture 107">
          <a:extLst>
            <a:ext uri="{FF2B5EF4-FFF2-40B4-BE49-F238E27FC236}">
              <a16:creationId xmlns:a16="http://schemas.microsoft.com/office/drawing/2014/main" id="{451337B6-125D-4B32-84E8-5B44DFFF0D9D}"/>
            </a:ext>
          </a:extLst>
        </xdr:cNvPr>
        <xdr:cNvPicPr>
          <a:picLocks noChangeAspect="1"/>
        </xdr:cNvPicPr>
      </xdr:nvPicPr>
      <xdr:blipFill>
        <a:blip xmlns:r="http://schemas.openxmlformats.org/officeDocument/2006/relationships" r:embed="rId93"/>
        <a:srcRect/>
        <a:stretch>
          <a:fillRect/>
        </a:stretch>
      </xdr:blipFill>
      <xdr:spPr>
        <a:xfrm>
          <a:off x="619125" y="92078175"/>
          <a:ext cx="876300" cy="857250"/>
        </a:xfrm>
        <a:prstGeom prst="rect">
          <a:avLst/>
        </a:prstGeom>
      </xdr:spPr>
    </xdr:pic>
    <xdr:clientData/>
  </xdr:twoCellAnchor>
  <xdr:twoCellAnchor>
    <xdr:from>
      <xdr:col>1</xdr:col>
      <xdr:colOff>9525</xdr:colOff>
      <xdr:row>115</xdr:row>
      <xdr:rowOff>9525</xdr:rowOff>
    </xdr:from>
    <xdr:to>
      <xdr:col>1</xdr:col>
      <xdr:colOff>1724025</xdr:colOff>
      <xdr:row>115</xdr:row>
      <xdr:rowOff>1724025</xdr:rowOff>
    </xdr:to>
    <xdr:pic>
      <xdr:nvPicPr>
        <xdr:cNvPr id="2095" name="Picture 108">
          <a:extLst>
            <a:ext uri="{FF2B5EF4-FFF2-40B4-BE49-F238E27FC236}">
              <a16:creationId xmlns:a16="http://schemas.microsoft.com/office/drawing/2014/main" id="{16145FA2-923E-47B8-9054-C0FF5089E3F1}"/>
            </a:ext>
          </a:extLst>
        </xdr:cNvPr>
        <xdr:cNvPicPr>
          <a:picLocks noChangeAspect="1"/>
        </xdr:cNvPicPr>
      </xdr:nvPicPr>
      <xdr:blipFill>
        <a:blip xmlns:r="http://schemas.openxmlformats.org/officeDocument/2006/relationships" r:embed="rId94"/>
        <a:srcRect/>
        <a:stretch>
          <a:fillRect/>
        </a:stretch>
      </xdr:blipFill>
      <xdr:spPr>
        <a:xfrm>
          <a:off x="619125" y="92944950"/>
          <a:ext cx="876300" cy="857250"/>
        </a:xfrm>
        <a:prstGeom prst="rect">
          <a:avLst/>
        </a:prstGeom>
      </xdr:spPr>
    </xdr:pic>
    <xdr:clientData/>
  </xdr:twoCellAnchor>
  <xdr:twoCellAnchor>
    <xdr:from>
      <xdr:col>1</xdr:col>
      <xdr:colOff>9525</xdr:colOff>
      <xdr:row>116</xdr:row>
      <xdr:rowOff>9525</xdr:rowOff>
    </xdr:from>
    <xdr:to>
      <xdr:col>1</xdr:col>
      <xdr:colOff>1724025</xdr:colOff>
      <xdr:row>116</xdr:row>
      <xdr:rowOff>1724025</xdr:rowOff>
    </xdr:to>
    <xdr:pic>
      <xdr:nvPicPr>
        <xdr:cNvPr id="2096" name="Picture 109">
          <a:extLst>
            <a:ext uri="{FF2B5EF4-FFF2-40B4-BE49-F238E27FC236}">
              <a16:creationId xmlns:a16="http://schemas.microsoft.com/office/drawing/2014/main" id="{D40FF774-6549-4699-828F-013EC40A9ED7}"/>
            </a:ext>
          </a:extLst>
        </xdr:cNvPr>
        <xdr:cNvPicPr>
          <a:picLocks noChangeAspect="1"/>
        </xdr:cNvPicPr>
      </xdr:nvPicPr>
      <xdr:blipFill>
        <a:blip xmlns:r="http://schemas.openxmlformats.org/officeDocument/2006/relationships" r:embed="rId95"/>
        <a:srcRect/>
        <a:stretch>
          <a:fillRect/>
        </a:stretch>
      </xdr:blipFill>
      <xdr:spPr>
        <a:xfrm>
          <a:off x="619125" y="93811725"/>
          <a:ext cx="876300" cy="857250"/>
        </a:xfrm>
        <a:prstGeom prst="rect">
          <a:avLst/>
        </a:prstGeom>
      </xdr:spPr>
    </xdr:pic>
    <xdr:clientData/>
  </xdr:twoCellAnchor>
  <xdr:twoCellAnchor>
    <xdr:from>
      <xdr:col>1</xdr:col>
      <xdr:colOff>9525</xdr:colOff>
      <xdr:row>117</xdr:row>
      <xdr:rowOff>9525</xdr:rowOff>
    </xdr:from>
    <xdr:to>
      <xdr:col>1</xdr:col>
      <xdr:colOff>1724025</xdr:colOff>
      <xdr:row>117</xdr:row>
      <xdr:rowOff>1724025</xdr:rowOff>
    </xdr:to>
    <xdr:pic>
      <xdr:nvPicPr>
        <xdr:cNvPr id="2097" name="Picture 110">
          <a:extLst>
            <a:ext uri="{FF2B5EF4-FFF2-40B4-BE49-F238E27FC236}">
              <a16:creationId xmlns:a16="http://schemas.microsoft.com/office/drawing/2014/main" id="{52B71A8A-A4CF-4EF9-9859-0A1B690B4977}"/>
            </a:ext>
          </a:extLst>
        </xdr:cNvPr>
        <xdr:cNvPicPr>
          <a:picLocks noChangeAspect="1"/>
        </xdr:cNvPicPr>
      </xdr:nvPicPr>
      <xdr:blipFill>
        <a:blip xmlns:r="http://schemas.openxmlformats.org/officeDocument/2006/relationships" r:embed="rId96"/>
        <a:srcRect/>
        <a:stretch>
          <a:fillRect/>
        </a:stretch>
      </xdr:blipFill>
      <xdr:spPr>
        <a:xfrm>
          <a:off x="619125" y="94678500"/>
          <a:ext cx="876300" cy="857250"/>
        </a:xfrm>
        <a:prstGeom prst="rect">
          <a:avLst/>
        </a:prstGeom>
      </xdr:spPr>
    </xdr:pic>
    <xdr:clientData/>
  </xdr:twoCellAnchor>
  <xdr:twoCellAnchor>
    <xdr:from>
      <xdr:col>1</xdr:col>
      <xdr:colOff>9525</xdr:colOff>
      <xdr:row>118</xdr:row>
      <xdr:rowOff>9525</xdr:rowOff>
    </xdr:from>
    <xdr:to>
      <xdr:col>1</xdr:col>
      <xdr:colOff>1724025</xdr:colOff>
      <xdr:row>118</xdr:row>
      <xdr:rowOff>1724025</xdr:rowOff>
    </xdr:to>
    <xdr:pic>
      <xdr:nvPicPr>
        <xdr:cNvPr id="2098" name="Picture 111">
          <a:extLst>
            <a:ext uri="{FF2B5EF4-FFF2-40B4-BE49-F238E27FC236}">
              <a16:creationId xmlns:a16="http://schemas.microsoft.com/office/drawing/2014/main" id="{39FD7787-8B47-43A5-8DEC-F8B137A63DFD}"/>
            </a:ext>
          </a:extLst>
        </xdr:cNvPr>
        <xdr:cNvPicPr>
          <a:picLocks noChangeAspect="1"/>
        </xdr:cNvPicPr>
      </xdr:nvPicPr>
      <xdr:blipFill>
        <a:blip xmlns:r="http://schemas.openxmlformats.org/officeDocument/2006/relationships" r:embed="rId35"/>
        <a:srcRect/>
        <a:stretch>
          <a:fillRect/>
        </a:stretch>
      </xdr:blipFill>
      <xdr:spPr>
        <a:xfrm>
          <a:off x="619125" y="95545275"/>
          <a:ext cx="876300" cy="857250"/>
        </a:xfrm>
        <a:prstGeom prst="rect">
          <a:avLst/>
        </a:prstGeom>
      </xdr:spPr>
    </xdr:pic>
    <xdr:clientData/>
  </xdr:twoCellAnchor>
  <xdr:twoCellAnchor>
    <xdr:from>
      <xdr:col>1</xdr:col>
      <xdr:colOff>9525</xdr:colOff>
      <xdr:row>119</xdr:row>
      <xdr:rowOff>9525</xdr:rowOff>
    </xdr:from>
    <xdr:to>
      <xdr:col>1</xdr:col>
      <xdr:colOff>1724025</xdr:colOff>
      <xdr:row>119</xdr:row>
      <xdr:rowOff>1724025</xdr:rowOff>
    </xdr:to>
    <xdr:pic>
      <xdr:nvPicPr>
        <xdr:cNvPr id="2099" name="Picture 112">
          <a:extLst>
            <a:ext uri="{FF2B5EF4-FFF2-40B4-BE49-F238E27FC236}">
              <a16:creationId xmlns:a16="http://schemas.microsoft.com/office/drawing/2014/main" id="{8E727F01-7B81-4A66-9EC7-490D739368B4}"/>
            </a:ext>
          </a:extLst>
        </xdr:cNvPr>
        <xdr:cNvPicPr>
          <a:picLocks noChangeAspect="1"/>
        </xdr:cNvPicPr>
      </xdr:nvPicPr>
      <xdr:blipFill>
        <a:blip xmlns:r="http://schemas.openxmlformats.org/officeDocument/2006/relationships" r:embed="rId52"/>
        <a:srcRect/>
        <a:stretch>
          <a:fillRect/>
        </a:stretch>
      </xdr:blipFill>
      <xdr:spPr>
        <a:xfrm>
          <a:off x="619125" y="96412050"/>
          <a:ext cx="876300" cy="857250"/>
        </a:xfrm>
        <a:prstGeom prst="rect">
          <a:avLst/>
        </a:prstGeom>
      </xdr:spPr>
    </xdr:pic>
    <xdr:clientData/>
  </xdr:twoCellAnchor>
  <xdr:twoCellAnchor>
    <xdr:from>
      <xdr:col>1</xdr:col>
      <xdr:colOff>9525</xdr:colOff>
      <xdr:row>120</xdr:row>
      <xdr:rowOff>9525</xdr:rowOff>
    </xdr:from>
    <xdr:to>
      <xdr:col>1</xdr:col>
      <xdr:colOff>1724025</xdr:colOff>
      <xdr:row>120</xdr:row>
      <xdr:rowOff>1724025</xdr:rowOff>
    </xdr:to>
    <xdr:pic>
      <xdr:nvPicPr>
        <xdr:cNvPr id="2100" name="Picture 113">
          <a:extLst>
            <a:ext uri="{FF2B5EF4-FFF2-40B4-BE49-F238E27FC236}">
              <a16:creationId xmlns:a16="http://schemas.microsoft.com/office/drawing/2014/main" id="{8A465D87-37A3-4066-8720-99688712F169}"/>
            </a:ext>
          </a:extLst>
        </xdr:cNvPr>
        <xdr:cNvPicPr>
          <a:picLocks noChangeAspect="1"/>
        </xdr:cNvPicPr>
      </xdr:nvPicPr>
      <xdr:blipFill>
        <a:blip xmlns:r="http://schemas.openxmlformats.org/officeDocument/2006/relationships" r:embed="rId37"/>
        <a:srcRect/>
        <a:stretch>
          <a:fillRect/>
        </a:stretch>
      </xdr:blipFill>
      <xdr:spPr>
        <a:xfrm>
          <a:off x="619125" y="97278825"/>
          <a:ext cx="876300" cy="857250"/>
        </a:xfrm>
        <a:prstGeom prst="rect">
          <a:avLst/>
        </a:prstGeom>
      </xdr:spPr>
    </xdr:pic>
    <xdr:clientData/>
  </xdr:twoCellAnchor>
  <xdr:twoCellAnchor>
    <xdr:from>
      <xdr:col>1</xdr:col>
      <xdr:colOff>9525</xdr:colOff>
      <xdr:row>121</xdr:row>
      <xdr:rowOff>9525</xdr:rowOff>
    </xdr:from>
    <xdr:to>
      <xdr:col>1</xdr:col>
      <xdr:colOff>1724025</xdr:colOff>
      <xdr:row>121</xdr:row>
      <xdr:rowOff>1724025</xdr:rowOff>
    </xdr:to>
    <xdr:pic>
      <xdr:nvPicPr>
        <xdr:cNvPr id="2101" name="Picture 114">
          <a:extLst>
            <a:ext uri="{FF2B5EF4-FFF2-40B4-BE49-F238E27FC236}">
              <a16:creationId xmlns:a16="http://schemas.microsoft.com/office/drawing/2014/main" id="{E9D3B95C-4D28-4400-92E6-B59451F3CBDE}"/>
            </a:ext>
          </a:extLst>
        </xdr:cNvPr>
        <xdr:cNvPicPr>
          <a:picLocks noChangeAspect="1"/>
        </xdr:cNvPicPr>
      </xdr:nvPicPr>
      <xdr:blipFill>
        <a:blip xmlns:r="http://schemas.openxmlformats.org/officeDocument/2006/relationships" r:embed="rId97"/>
        <a:srcRect/>
        <a:stretch>
          <a:fillRect/>
        </a:stretch>
      </xdr:blipFill>
      <xdr:spPr>
        <a:xfrm>
          <a:off x="619125" y="98145600"/>
          <a:ext cx="876300" cy="857250"/>
        </a:xfrm>
        <a:prstGeom prst="rect">
          <a:avLst/>
        </a:prstGeom>
      </xdr:spPr>
    </xdr:pic>
    <xdr:clientData/>
  </xdr:twoCellAnchor>
  <xdr:twoCellAnchor>
    <xdr:from>
      <xdr:col>1</xdr:col>
      <xdr:colOff>9525</xdr:colOff>
      <xdr:row>122</xdr:row>
      <xdr:rowOff>9525</xdr:rowOff>
    </xdr:from>
    <xdr:to>
      <xdr:col>1</xdr:col>
      <xdr:colOff>1724025</xdr:colOff>
      <xdr:row>122</xdr:row>
      <xdr:rowOff>1724025</xdr:rowOff>
    </xdr:to>
    <xdr:pic>
      <xdr:nvPicPr>
        <xdr:cNvPr id="2102" name="Picture 115">
          <a:extLst>
            <a:ext uri="{FF2B5EF4-FFF2-40B4-BE49-F238E27FC236}">
              <a16:creationId xmlns:a16="http://schemas.microsoft.com/office/drawing/2014/main" id="{018D1829-7E08-4271-8F64-CC66CEF19C95}"/>
            </a:ext>
          </a:extLst>
        </xdr:cNvPr>
        <xdr:cNvPicPr>
          <a:picLocks noChangeAspect="1"/>
        </xdr:cNvPicPr>
      </xdr:nvPicPr>
      <xdr:blipFill>
        <a:blip xmlns:r="http://schemas.openxmlformats.org/officeDocument/2006/relationships" r:embed="rId98"/>
        <a:srcRect/>
        <a:stretch>
          <a:fillRect/>
        </a:stretch>
      </xdr:blipFill>
      <xdr:spPr>
        <a:xfrm>
          <a:off x="619125" y="99012375"/>
          <a:ext cx="876300" cy="857250"/>
        </a:xfrm>
        <a:prstGeom prst="rect">
          <a:avLst/>
        </a:prstGeom>
      </xdr:spPr>
    </xdr:pic>
    <xdr:clientData/>
  </xdr:twoCellAnchor>
  <xdr:twoCellAnchor>
    <xdr:from>
      <xdr:col>1</xdr:col>
      <xdr:colOff>9525</xdr:colOff>
      <xdr:row>123</xdr:row>
      <xdr:rowOff>9525</xdr:rowOff>
    </xdr:from>
    <xdr:to>
      <xdr:col>1</xdr:col>
      <xdr:colOff>1724025</xdr:colOff>
      <xdr:row>123</xdr:row>
      <xdr:rowOff>1724025</xdr:rowOff>
    </xdr:to>
    <xdr:pic>
      <xdr:nvPicPr>
        <xdr:cNvPr id="2103" name="Picture 116">
          <a:extLst>
            <a:ext uri="{FF2B5EF4-FFF2-40B4-BE49-F238E27FC236}">
              <a16:creationId xmlns:a16="http://schemas.microsoft.com/office/drawing/2014/main" id="{83402D68-A967-445D-8925-1361FAACF2BC}"/>
            </a:ext>
          </a:extLst>
        </xdr:cNvPr>
        <xdr:cNvPicPr>
          <a:picLocks noChangeAspect="1"/>
        </xdr:cNvPicPr>
      </xdr:nvPicPr>
      <xdr:blipFill>
        <a:blip xmlns:r="http://schemas.openxmlformats.org/officeDocument/2006/relationships" r:embed="rId99"/>
        <a:srcRect/>
        <a:stretch>
          <a:fillRect/>
        </a:stretch>
      </xdr:blipFill>
      <xdr:spPr>
        <a:xfrm>
          <a:off x="619125" y="99879150"/>
          <a:ext cx="876300" cy="857250"/>
        </a:xfrm>
        <a:prstGeom prst="rect">
          <a:avLst/>
        </a:prstGeom>
      </xdr:spPr>
    </xdr:pic>
    <xdr:clientData/>
  </xdr:twoCellAnchor>
  <xdr:twoCellAnchor>
    <xdr:from>
      <xdr:col>1</xdr:col>
      <xdr:colOff>9525</xdr:colOff>
      <xdr:row>124</xdr:row>
      <xdr:rowOff>9525</xdr:rowOff>
    </xdr:from>
    <xdr:to>
      <xdr:col>1</xdr:col>
      <xdr:colOff>1724025</xdr:colOff>
      <xdr:row>124</xdr:row>
      <xdr:rowOff>1724025</xdr:rowOff>
    </xdr:to>
    <xdr:pic>
      <xdr:nvPicPr>
        <xdr:cNvPr id="2104" name="Picture 117">
          <a:extLst>
            <a:ext uri="{FF2B5EF4-FFF2-40B4-BE49-F238E27FC236}">
              <a16:creationId xmlns:a16="http://schemas.microsoft.com/office/drawing/2014/main" id="{511A6CBC-40E4-41C1-BA3D-83159FE98483}"/>
            </a:ext>
          </a:extLst>
        </xdr:cNvPr>
        <xdr:cNvPicPr>
          <a:picLocks noChangeAspect="1"/>
        </xdr:cNvPicPr>
      </xdr:nvPicPr>
      <xdr:blipFill>
        <a:blip xmlns:r="http://schemas.openxmlformats.org/officeDocument/2006/relationships" r:embed="rId100"/>
        <a:srcRect/>
        <a:stretch>
          <a:fillRect/>
        </a:stretch>
      </xdr:blipFill>
      <xdr:spPr>
        <a:xfrm>
          <a:off x="619125" y="100745925"/>
          <a:ext cx="876300" cy="857250"/>
        </a:xfrm>
        <a:prstGeom prst="rect">
          <a:avLst/>
        </a:prstGeom>
      </xdr:spPr>
    </xdr:pic>
    <xdr:clientData/>
  </xdr:twoCellAnchor>
  <xdr:twoCellAnchor>
    <xdr:from>
      <xdr:col>1</xdr:col>
      <xdr:colOff>9525</xdr:colOff>
      <xdr:row>125</xdr:row>
      <xdr:rowOff>9525</xdr:rowOff>
    </xdr:from>
    <xdr:to>
      <xdr:col>1</xdr:col>
      <xdr:colOff>1724025</xdr:colOff>
      <xdr:row>125</xdr:row>
      <xdr:rowOff>1724025</xdr:rowOff>
    </xdr:to>
    <xdr:pic>
      <xdr:nvPicPr>
        <xdr:cNvPr id="2105" name="Picture 118">
          <a:extLst>
            <a:ext uri="{FF2B5EF4-FFF2-40B4-BE49-F238E27FC236}">
              <a16:creationId xmlns:a16="http://schemas.microsoft.com/office/drawing/2014/main" id="{C970382F-326D-4231-A10D-CC9C78C2D6B7}"/>
            </a:ext>
          </a:extLst>
        </xdr:cNvPr>
        <xdr:cNvPicPr>
          <a:picLocks noChangeAspect="1"/>
        </xdr:cNvPicPr>
      </xdr:nvPicPr>
      <xdr:blipFill>
        <a:blip xmlns:r="http://schemas.openxmlformats.org/officeDocument/2006/relationships" r:embed="rId78"/>
        <a:srcRect/>
        <a:stretch>
          <a:fillRect/>
        </a:stretch>
      </xdr:blipFill>
      <xdr:spPr>
        <a:xfrm>
          <a:off x="619125" y="101612700"/>
          <a:ext cx="876300" cy="857250"/>
        </a:xfrm>
        <a:prstGeom prst="rect">
          <a:avLst/>
        </a:prstGeom>
      </xdr:spPr>
    </xdr:pic>
    <xdr:clientData/>
  </xdr:twoCellAnchor>
  <xdr:twoCellAnchor>
    <xdr:from>
      <xdr:col>1</xdr:col>
      <xdr:colOff>9525</xdr:colOff>
      <xdr:row>126</xdr:row>
      <xdr:rowOff>9525</xdr:rowOff>
    </xdr:from>
    <xdr:to>
      <xdr:col>1</xdr:col>
      <xdr:colOff>1724025</xdr:colOff>
      <xdr:row>126</xdr:row>
      <xdr:rowOff>1724025</xdr:rowOff>
    </xdr:to>
    <xdr:pic>
      <xdr:nvPicPr>
        <xdr:cNvPr id="2106" name="Picture 119">
          <a:extLst>
            <a:ext uri="{FF2B5EF4-FFF2-40B4-BE49-F238E27FC236}">
              <a16:creationId xmlns:a16="http://schemas.microsoft.com/office/drawing/2014/main" id="{FF604E23-B0B7-40AD-A024-BB1A71EC11F3}"/>
            </a:ext>
          </a:extLst>
        </xdr:cNvPr>
        <xdr:cNvPicPr>
          <a:picLocks noChangeAspect="1"/>
        </xdr:cNvPicPr>
      </xdr:nvPicPr>
      <xdr:blipFill>
        <a:blip xmlns:r="http://schemas.openxmlformats.org/officeDocument/2006/relationships" r:embed="rId35"/>
        <a:srcRect/>
        <a:stretch>
          <a:fillRect/>
        </a:stretch>
      </xdr:blipFill>
      <xdr:spPr>
        <a:xfrm>
          <a:off x="619125" y="102479475"/>
          <a:ext cx="876300" cy="857250"/>
        </a:xfrm>
        <a:prstGeom prst="rect">
          <a:avLst/>
        </a:prstGeom>
      </xdr:spPr>
    </xdr:pic>
    <xdr:clientData/>
  </xdr:twoCellAnchor>
  <xdr:twoCellAnchor>
    <xdr:from>
      <xdr:col>1</xdr:col>
      <xdr:colOff>9525</xdr:colOff>
      <xdr:row>127</xdr:row>
      <xdr:rowOff>9525</xdr:rowOff>
    </xdr:from>
    <xdr:to>
      <xdr:col>1</xdr:col>
      <xdr:colOff>1724025</xdr:colOff>
      <xdr:row>127</xdr:row>
      <xdr:rowOff>1724025</xdr:rowOff>
    </xdr:to>
    <xdr:pic>
      <xdr:nvPicPr>
        <xdr:cNvPr id="2107" name="Picture 120">
          <a:extLst>
            <a:ext uri="{FF2B5EF4-FFF2-40B4-BE49-F238E27FC236}">
              <a16:creationId xmlns:a16="http://schemas.microsoft.com/office/drawing/2014/main" id="{82C831C3-2631-47F4-BC77-D5C6685F2C36}"/>
            </a:ext>
          </a:extLst>
        </xdr:cNvPr>
        <xdr:cNvPicPr>
          <a:picLocks noChangeAspect="1"/>
        </xdr:cNvPicPr>
      </xdr:nvPicPr>
      <xdr:blipFill>
        <a:blip xmlns:r="http://schemas.openxmlformats.org/officeDocument/2006/relationships" r:embed="rId52"/>
        <a:srcRect/>
        <a:stretch>
          <a:fillRect/>
        </a:stretch>
      </xdr:blipFill>
      <xdr:spPr>
        <a:xfrm>
          <a:off x="619125" y="103346250"/>
          <a:ext cx="876300" cy="857250"/>
        </a:xfrm>
        <a:prstGeom prst="rect">
          <a:avLst/>
        </a:prstGeom>
      </xdr:spPr>
    </xdr:pic>
    <xdr:clientData/>
  </xdr:twoCellAnchor>
  <xdr:twoCellAnchor>
    <xdr:from>
      <xdr:col>1</xdr:col>
      <xdr:colOff>9525</xdr:colOff>
      <xdr:row>128</xdr:row>
      <xdr:rowOff>9525</xdr:rowOff>
    </xdr:from>
    <xdr:to>
      <xdr:col>1</xdr:col>
      <xdr:colOff>1724025</xdr:colOff>
      <xdr:row>128</xdr:row>
      <xdr:rowOff>1724025</xdr:rowOff>
    </xdr:to>
    <xdr:pic>
      <xdr:nvPicPr>
        <xdr:cNvPr id="2108" name="Picture 121">
          <a:extLst>
            <a:ext uri="{FF2B5EF4-FFF2-40B4-BE49-F238E27FC236}">
              <a16:creationId xmlns:a16="http://schemas.microsoft.com/office/drawing/2014/main" id="{3513EBA8-E7A4-4718-9778-BAA22E980781}"/>
            </a:ext>
          </a:extLst>
        </xdr:cNvPr>
        <xdr:cNvPicPr>
          <a:picLocks noChangeAspect="1"/>
        </xdr:cNvPicPr>
      </xdr:nvPicPr>
      <xdr:blipFill>
        <a:blip xmlns:r="http://schemas.openxmlformats.org/officeDocument/2006/relationships" r:embed="rId37"/>
        <a:srcRect/>
        <a:stretch>
          <a:fillRect/>
        </a:stretch>
      </xdr:blipFill>
      <xdr:spPr>
        <a:xfrm>
          <a:off x="619125" y="104213025"/>
          <a:ext cx="876300" cy="857250"/>
        </a:xfrm>
        <a:prstGeom prst="rect">
          <a:avLst/>
        </a:prstGeom>
      </xdr:spPr>
    </xdr:pic>
    <xdr:clientData/>
  </xdr:twoCellAnchor>
  <xdr:twoCellAnchor>
    <xdr:from>
      <xdr:col>1</xdr:col>
      <xdr:colOff>9525</xdr:colOff>
      <xdr:row>129</xdr:row>
      <xdr:rowOff>9525</xdr:rowOff>
    </xdr:from>
    <xdr:to>
      <xdr:col>1</xdr:col>
      <xdr:colOff>1724025</xdr:colOff>
      <xdr:row>129</xdr:row>
      <xdr:rowOff>1724025</xdr:rowOff>
    </xdr:to>
    <xdr:pic>
      <xdr:nvPicPr>
        <xdr:cNvPr id="2109" name="Picture 122">
          <a:extLst>
            <a:ext uri="{FF2B5EF4-FFF2-40B4-BE49-F238E27FC236}">
              <a16:creationId xmlns:a16="http://schemas.microsoft.com/office/drawing/2014/main" id="{B380761B-CA0D-4997-9671-D74C98F6FD44}"/>
            </a:ext>
          </a:extLst>
        </xdr:cNvPr>
        <xdr:cNvPicPr>
          <a:picLocks noChangeAspect="1"/>
        </xdr:cNvPicPr>
      </xdr:nvPicPr>
      <xdr:blipFill>
        <a:blip xmlns:r="http://schemas.openxmlformats.org/officeDocument/2006/relationships" r:embed="rId101"/>
        <a:srcRect/>
        <a:stretch>
          <a:fillRect/>
        </a:stretch>
      </xdr:blipFill>
      <xdr:spPr>
        <a:xfrm>
          <a:off x="619125" y="105079800"/>
          <a:ext cx="876300" cy="857250"/>
        </a:xfrm>
        <a:prstGeom prst="rect">
          <a:avLst/>
        </a:prstGeom>
      </xdr:spPr>
    </xdr:pic>
    <xdr:clientData/>
  </xdr:twoCellAnchor>
  <xdr:twoCellAnchor>
    <xdr:from>
      <xdr:col>1</xdr:col>
      <xdr:colOff>9525</xdr:colOff>
      <xdr:row>130</xdr:row>
      <xdr:rowOff>9525</xdr:rowOff>
    </xdr:from>
    <xdr:to>
      <xdr:col>1</xdr:col>
      <xdr:colOff>1724025</xdr:colOff>
      <xdr:row>130</xdr:row>
      <xdr:rowOff>1724025</xdr:rowOff>
    </xdr:to>
    <xdr:pic>
      <xdr:nvPicPr>
        <xdr:cNvPr id="2110" name="Picture 123">
          <a:extLst>
            <a:ext uri="{FF2B5EF4-FFF2-40B4-BE49-F238E27FC236}">
              <a16:creationId xmlns:a16="http://schemas.microsoft.com/office/drawing/2014/main" id="{38D60826-C4C6-4AB3-9CFE-889206E22C48}"/>
            </a:ext>
          </a:extLst>
        </xdr:cNvPr>
        <xdr:cNvPicPr>
          <a:picLocks noChangeAspect="1"/>
        </xdr:cNvPicPr>
      </xdr:nvPicPr>
      <xdr:blipFill>
        <a:blip xmlns:r="http://schemas.openxmlformats.org/officeDocument/2006/relationships" r:embed="rId52"/>
        <a:srcRect/>
        <a:stretch>
          <a:fillRect/>
        </a:stretch>
      </xdr:blipFill>
      <xdr:spPr>
        <a:xfrm>
          <a:off x="619125" y="105946575"/>
          <a:ext cx="876300" cy="857250"/>
        </a:xfrm>
        <a:prstGeom prst="rect">
          <a:avLst/>
        </a:prstGeom>
      </xdr:spPr>
    </xdr:pic>
    <xdr:clientData/>
  </xdr:twoCellAnchor>
  <xdr:twoCellAnchor>
    <xdr:from>
      <xdr:col>1</xdr:col>
      <xdr:colOff>9525</xdr:colOff>
      <xdr:row>131</xdr:row>
      <xdr:rowOff>9525</xdr:rowOff>
    </xdr:from>
    <xdr:to>
      <xdr:col>1</xdr:col>
      <xdr:colOff>1724025</xdr:colOff>
      <xdr:row>131</xdr:row>
      <xdr:rowOff>1724025</xdr:rowOff>
    </xdr:to>
    <xdr:pic>
      <xdr:nvPicPr>
        <xdr:cNvPr id="2111" name="Picture 124">
          <a:extLst>
            <a:ext uri="{FF2B5EF4-FFF2-40B4-BE49-F238E27FC236}">
              <a16:creationId xmlns:a16="http://schemas.microsoft.com/office/drawing/2014/main" id="{7FECA729-F244-4DE5-8F1B-899B004D1398}"/>
            </a:ext>
          </a:extLst>
        </xdr:cNvPr>
        <xdr:cNvPicPr>
          <a:picLocks noChangeAspect="1"/>
        </xdr:cNvPicPr>
      </xdr:nvPicPr>
      <xdr:blipFill>
        <a:blip xmlns:r="http://schemas.openxmlformats.org/officeDocument/2006/relationships" r:embed="rId61"/>
        <a:srcRect/>
        <a:stretch>
          <a:fillRect/>
        </a:stretch>
      </xdr:blipFill>
      <xdr:spPr>
        <a:xfrm>
          <a:off x="619125" y="106813350"/>
          <a:ext cx="876300" cy="857250"/>
        </a:xfrm>
        <a:prstGeom prst="rect">
          <a:avLst/>
        </a:prstGeom>
      </xdr:spPr>
    </xdr:pic>
    <xdr:clientData/>
  </xdr:twoCellAnchor>
  <xdr:twoCellAnchor>
    <xdr:from>
      <xdr:col>1</xdr:col>
      <xdr:colOff>9525</xdr:colOff>
      <xdr:row>132</xdr:row>
      <xdr:rowOff>9525</xdr:rowOff>
    </xdr:from>
    <xdr:to>
      <xdr:col>1</xdr:col>
      <xdr:colOff>1724025</xdr:colOff>
      <xdr:row>132</xdr:row>
      <xdr:rowOff>1724025</xdr:rowOff>
    </xdr:to>
    <xdr:pic>
      <xdr:nvPicPr>
        <xdr:cNvPr id="2112" name="Picture 125">
          <a:extLst>
            <a:ext uri="{FF2B5EF4-FFF2-40B4-BE49-F238E27FC236}">
              <a16:creationId xmlns:a16="http://schemas.microsoft.com/office/drawing/2014/main" id="{974A53DC-1B68-4320-9A3D-B969E9FD5C4C}"/>
            </a:ext>
          </a:extLst>
        </xdr:cNvPr>
        <xdr:cNvPicPr>
          <a:picLocks noChangeAspect="1"/>
        </xdr:cNvPicPr>
      </xdr:nvPicPr>
      <xdr:blipFill>
        <a:blip xmlns:r="http://schemas.openxmlformats.org/officeDocument/2006/relationships" r:embed="rId102"/>
        <a:srcRect/>
        <a:stretch>
          <a:fillRect/>
        </a:stretch>
      </xdr:blipFill>
      <xdr:spPr>
        <a:xfrm>
          <a:off x="619125" y="107680125"/>
          <a:ext cx="876300" cy="857250"/>
        </a:xfrm>
        <a:prstGeom prst="rect">
          <a:avLst/>
        </a:prstGeom>
      </xdr:spPr>
    </xdr:pic>
    <xdr:clientData/>
  </xdr:twoCellAnchor>
  <xdr:twoCellAnchor>
    <xdr:from>
      <xdr:col>1</xdr:col>
      <xdr:colOff>9525</xdr:colOff>
      <xdr:row>133</xdr:row>
      <xdr:rowOff>9525</xdr:rowOff>
    </xdr:from>
    <xdr:to>
      <xdr:col>1</xdr:col>
      <xdr:colOff>1724025</xdr:colOff>
      <xdr:row>133</xdr:row>
      <xdr:rowOff>1724025</xdr:rowOff>
    </xdr:to>
    <xdr:pic>
      <xdr:nvPicPr>
        <xdr:cNvPr id="2113" name="Picture 126">
          <a:extLst>
            <a:ext uri="{FF2B5EF4-FFF2-40B4-BE49-F238E27FC236}">
              <a16:creationId xmlns:a16="http://schemas.microsoft.com/office/drawing/2014/main" id="{E2F35235-09D6-42D5-B9D6-1D016F29655C}"/>
            </a:ext>
          </a:extLst>
        </xdr:cNvPr>
        <xdr:cNvPicPr>
          <a:picLocks noChangeAspect="1"/>
        </xdr:cNvPicPr>
      </xdr:nvPicPr>
      <xdr:blipFill>
        <a:blip xmlns:r="http://schemas.openxmlformats.org/officeDocument/2006/relationships" r:embed="rId103"/>
        <a:srcRect/>
        <a:stretch>
          <a:fillRect/>
        </a:stretch>
      </xdr:blipFill>
      <xdr:spPr>
        <a:xfrm>
          <a:off x="619125" y="108546900"/>
          <a:ext cx="876300" cy="857250"/>
        </a:xfrm>
        <a:prstGeom prst="rect">
          <a:avLst/>
        </a:prstGeom>
      </xdr:spPr>
    </xdr:pic>
    <xdr:clientData/>
  </xdr:twoCellAnchor>
  <xdr:twoCellAnchor>
    <xdr:from>
      <xdr:col>1</xdr:col>
      <xdr:colOff>9525</xdr:colOff>
      <xdr:row>134</xdr:row>
      <xdr:rowOff>9525</xdr:rowOff>
    </xdr:from>
    <xdr:to>
      <xdr:col>1</xdr:col>
      <xdr:colOff>1724025</xdr:colOff>
      <xdr:row>134</xdr:row>
      <xdr:rowOff>1724025</xdr:rowOff>
    </xdr:to>
    <xdr:pic>
      <xdr:nvPicPr>
        <xdr:cNvPr id="2114" name="Picture 127">
          <a:extLst>
            <a:ext uri="{FF2B5EF4-FFF2-40B4-BE49-F238E27FC236}">
              <a16:creationId xmlns:a16="http://schemas.microsoft.com/office/drawing/2014/main" id="{A7D9BA21-C764-4A76-96D1-0A8E627513D0}"/>
            </a:ext>
          </a:extLst>
        </xdr:cNvPr>
        <xdr:cNvPicPr>
          <a:picLocks noChangeAspect="1"/>
        </xdr:cNvPicPr>
      </xdr:nvPicPr>
      <xdr:blipFill>
        <a:blip xmlns:r="http://schemas.openxmlformats.org/officeDocument/2006/relationships" r:embed="rId104"/>
        <a:srcRect/>
        <a:stretch>
          <a:fillRect/>
        </a:stretch>
      </xdr:blipFill>
      <xdr:spPr>
        <a:xfrm>
          <a:off x="619125" y="109413675"/>
          <a:ext cx="876300" cy="857250"/>
        </a:xfrm>
        <a:prstGeom prst="rect">
          <a:avLst/>
        </a:prstGeom>
      </xdr:spPr>
    </xdr:pic>
    <xdr:clientData/>
  </xdr:twoCellAnchor>
  <xdr:twoCellAnchor>
    <xdr:from>
      <xdr:col>1</xdr:col>
      <xdr:colOff>9525</xdr:colOff>
      <xdr:row>135</xdr:row>
      <xdr:rowOff>9525</xdr:rowOff>
    </xdr:from>
    <xdr:to>
      <xdr:col>1</xdr:col>
      <xdr:colOff>1724025</xdr:colOff>
      <xdr:row>135</xdr:row>
      <xdr:rowOff>1724025</xdr:rowOff>
    </xdr:to>
    <xdr:pic>
      <xdr:nvPicPr>
        <xdr:cNvPr id="2115" name="Picture 128">
          <a:extLst>
            <a:ext uri="{FF2B5EF4-FFF2-40B4-BE49-F238E27FC236}">
              <a16:creationId xmlns:a16="http://schemas.microsoft.com/office/drawing/2014/main" id="{6575C99F-678F-4089-8417-C274A81BDBD0}"/>
            </a:ext>
          </a:extLst>
        </xdr:cNvPr>
        <xdr:cNvPicPr>
          <a:picLocks noChangeAspect="1"/>
        </xdr:cNvPicPr>
      </xdr:nvPicPr>
      <xdr:blipFill>
        <a:blip xmlns:r="http://schemas.openxmlformats.org/officeDocument/2006/relationships" r:embed="rId105"/>
        <a:srcRect/>
        <a:stretch>
          <a:fillRect/>
        </a:stretch>
      </xdr:blipFill>
      <xdr:spPr>
        <a:xfrm>
          <a:off x="619125" y="110280450"/>
          <a:ext cx="876300" cy="857250"/>
        </a:xfrm>
        <a:prstGeom prst="rect">
          <a:avLst/>
        </a:prstGeom>
      </xdr:spPr>
    </xdr:pic>
    <xdr:clientData/>
  </xdr:twoCellAnchor>
  <xdr:twoCellAnchor>
    <xdr:from>
      <xdr:col>1</xdr:col>
      <xdr:colOff>9525</xdr:colOff>
      <xdr:row>136</xdr:row>
      <xdr:rowOff>9525</xdr:rowOff>
    </xdr:from>
    <xdr:to>
      <xdr:col>1</xdr:col>
      <xdr:colOff>1724025</xdr:colOff>
      <xdr:row>136</xdr:row>
      <xdr:rowOff>1724025</xdr:rowOff>
    </xdr:to>
    <xdr:pic>
      <xdr:nvPicPr>
        <xdr:cNvPr id="2116" name="Picture 129">
          <a:extLst>
            <a:ext uri="{FF2B5EF4-FFF2-40B4-BE49-F238E27FC236}">
              <a16:creationId xmlns:a16="http://schemas.microsoft.com/office/drawing/2014/main" id="{95D41867-DCFF-4C0A-83C7-BB60E5317F15}"/>
            </a:ext>
          </a:extLst>
        </xdr:cNvPr>
        <xdr:cNvPicPr>
          <a:picLocks noChangeAspect="1"/>
        </xdr:cNvPicPr>
      </xdr:nvPicPr>
      <xdr:blipFill>
        <a:blip xmlns:r="http://schemas.openxmlformats.org/officeDocument/2006/relationships" r:embed="rId106"/>
        <a:srcRect/>
        <a:stretch>
          <a:fillRect/>
        </a:stretch>
      </xdr:blipFill>
      <xdr:spPr>
        <a:xfrm>
          <a:off x="619125" y="111147225"/>
          <a:ext cx="876300" cy="857250"/>
        </a:xfrm>
        <a:prstGeom prst="rect">
          <a:avLst/>
        </a:prstGeom>
      </xdr:spPr>
    </xdr:pic>
    <xdr:clientData/>
  </xdr:twoCellAnchor>
  <xdr:twoCellAnchor>
    <xdr:from>
      <xdr:col>1</xdr:col>
      <xdr:colOff>9525</xdr:colOff>
      <xdr:row>137</xdr:row>
      <xdr:rowOff>9525</xdr:rowOff>
    </xdr:from>
    <xdr:to>
      <xdr:col>1</xdr:col>
      <xdr:colOff>1724025</xdr:colOff>
      <xdr:row>137</xdr:row>
      <xdr:rowOff>1724025</xdr:rowOff>
    </xdr:to>
    <xdr:pic>
      <xdr:nvPicPr>
        <xdr:cNvPr id="2117" name="Picture 130">
          <a:extLst>
            <a:ext uri="{FF2B5EF4-FFF2-40B4-BE49-F238E27FC236}">
              <a16:creationId xmlns:a16="http://schemas.microsoft.com/office/drawing/2014/main" id="{E706A9B7-AF00-40C5-9E9B-B4B236EF4B67}"/>
            </a:ext>
          </a:extLst>
        </xdr:cNvPr>
        <xdr:cNvPicPr>
          <a:picLocks noChangeAspect="1"/>
        </xdr:cNvPicPr>
      </xdr:nvPicPr>
      <xdr:blipFill>
        <a:blip xmlns:r="http://schemas.openxmlformats.org/officeDocument/2006/relationships" r:embed="rId107"/>
        <a:srcRect/>
        <a:stretch>
          <a:fillRect/>
        </a:stretch>
      </xdr:blipFill>
      <xdr:spPr>
        <a:xfrm>
          <a:off x="619125" y="112014000"/>
          <a:ext cx="876300" cy="857250"/>
        </a:xfrm>
        <a:prstGeom prst="rect">
          <a:avLst/>
        </a:prstGeom>
      </xdr:spPr>
    </xdr:pic>
    <xdr:clientData/>
  </xdr:twoCellAnchor>
  <xdr:twoCellAnchor>
    <xdr:from>
      <xdr:col>1</xdr:col>
      <xdr:colOff>9525</xdr:colOff>
      <xdr:row>138</xdr:row>
      <xdr:rowOff>9525</xdr:rowOff>
    </xdr:from>
    <xdr:to>
      <xdr:col>1</xdr:col>
      <xdr:colOff>1724025</xdr:colOff>
      <xdr:row>138</xdr:row>
      <xdr:rowOff>1724025</xdr:rowOff>
    </xdr:to>
    <xdr:pic>
      <xdr:nvPicPr>
        <xdr:cNvPr id="2118" name="Picture 131">
          <a:extLst>
            <a:ext uri="{FF2B5EF4-FFF2-40B4-BE49-F238E27FC236}">
              <a16:creationId xmlns:a16="http://schemas.microsoft.com/office/drawing/2014/main" id="{D8150A6D-0CB1-4507-A663-68E8F8C42F2A}"/>
            </a:ext>
          </a:extLst>
        </xdr:cNvPr>
        <xdr:cNvPicPr>
          <a:picLocks noChangeAspect="1"/>
        </xdr:cNvPicPr>
      </xdr:nvPicPr>
      <xdr:blipFill>
        <a:blip xmlns:r="http://schemas.openxmlformats.org/officeDocument/2006/relationships" r:embed="rId108"/>
        <a:srcRect/>
        <a:stretch>
          <a:fillRect/>
        </a:stretch>
      </xdr:blipFill>
      <xdr:spPr>
        <a:xfrm>
          <a:off x="619125" y="112880775"/>
          <a:ext cx="876300" cy="857250"/>
        </a:xfrm>
        <a:prstGeom prst="rect">
          <a:avLst/>
        </a:prstGeom>
      </xdr:spPr>
    </xdr:pic>
    <xdr:clientData/>
  </xdr:twoCellAnchor>
  <xdr:twoCellAnchor>
    <xdr:from>
      <xdr:col>1</xdr:col>
      <xdr:colOff>9525</xdr:colOff>
      <xdr:row>139</xdr:row>
      <xdr:rowOff>9525</xdr:rowOff>
    </xdr:from>
    <xdr:to>
      <xdr:col>1</xdr:col>
      <xdr:colOff>1724025</xdr:colOff>
      <xdr:row>139</xdr:row>
      <xdr:rowOff>1724025</xdr:rowOff>
    </xdr:to>
    <xdr:pic>
      <xdr:nvPicPr>
        <xdr:cNvPr id="2119" name="Picture 132">
          <a:extLst>
            <a:ext uri="{FF2B5EF4-FFF2-40B4-BE49-F238E27FC236}">
              <a16:creationId xmlns:a16="http://schemas.microsoft.com/office/drawing/2014/main" id="{492BAC7A-6F89-4C9D-BD23-9E0F209B491D}"/>
            </a:ext>
          </a:extLst>
        </xdr:cNvPr>
        <xdr:cNvPicPr>
          <a:picLocks noChangeAspect="1"/>
        </xdr:cNvPicPr>
      </xdr:nvPicPr>
      <xdr:blipFill>
        <a:blip xmlns:r="http://schemas.openxmlformats.org/officeDocument/2006/relationships" r:embed="rId109"/>
        <a:srcRect/>
        <a:stretch>
          <a:fillRect/>
        </a:stretch>
      </xdr:blipFill>
      <xdr:spPr>
        <a:xfrm>
          <a:off x="619125" y="113747550"/>
          <a:ext cx="876300" cy="857250"/>
        </a:xfrm>
        <a:prstGeom prst="rect">
          <a:avLst/>
        </a:prstGeom>
      </xdr:spPr>
    </xdr:pic>
    <xdr:clientData/>
  </xdr:twoCellAnchor>
  <xdr:twoCellAnchor>
    <xdr:from>
      <xdr:col>1</xdr:col>
      <xdr:colOff>9525</xdr:colOff>
      <xdr:row>140</xdr:row>
      <xdr:rowOff>9525</xdr:rowOff>
    </xdr:from>
    <xdr:to>
      <xdr:col>1</xdr:col>
      <xdr:colOff>1724025</xdr:colOff>
      <xdr:row>140</xdr:row>
      <xdr:rowOff>1724025</xdr:rowOff>
    </xdr:to>
    <xdr:pic>
      <xdr:nvPicPr>
        <xdr:cNvPr id="2120" name="Picture 133">
          <a:extLst>
            <a:ext uri="{FF2B5EF4-FFF2-40B4-BE49-F238E27FC236}">
              <a16:creationId xmlns:a16="http://schemas.microsoft.com/office/drawing/2014/main" id="{C9DF58FC-E5B1-4F41-B6B7-204E05E251A5}"/>
            </a:ext>
          </a:extLst>
        </xdr:cNvPr>
        <xdr:cNvPicPr>
          <a:picLocks noChangeAspect="1"/>
        </xdr:cNvPicPr>
      </xdr:nvPicPr>
      <xdr:blipFill>
        <a:blip xmlns:r="http://schemas.openxmlformats.org/officeDocument/2006/relationships" r:embed="rId110"/>
        <a:srcRect/>
        <a:stretch>
          <a:fillRect/>
        </a:stretch>
      </xdr:blipFill>
      <xdr:spPr>
        <a:xfrm>
          <a:off x="619125" y="114614325"/>
          <a:ext cx="876300" cy="857250"/>
        </a:xfrm>
        <a:prstGeom prst="rect">
          <a:avLst/>
        </a:prstGeom>
      </xdr:spPr>
    </xdr:pic>
    <xdr:clientData/>
  </xdr:twoCellAnchor>
  <xdr:twoCellAnchor>
    <xdr:from>
      <xdr:col>1</xdr:col>
      <xdr:colOff>9525</xdr:colOff>
      <xdr:row>141</xdr:row>
      <xdr:rowOff>9525</xdr:rowOff>
    </xdr:from>
    <xdr:to>
      <xdr:col>1</xdr:col>
      <xdr:colOff>1724025</xdr:colOff>
      <xdr:row>141</xdr:row>
      <xdr:rowOff>1724025</xdr:rowOff>
    </xdr:to>
    <xdr:pic>
      <xdr:nvPicPr>
        <xdr:cNvPr id="2121" name="Picture 134">
          <a:extLst>
            <a:ext uri="{FF2B5EF4-FFF2-40B4-BE49-F238E27FC236}">
              <a16:creationId xmlns:a16="http://schemas.microsoft.com/office/drawing/2014/main" id="{34030782-EBAE-4518-87CF-7A45E23C6AC8}"/>
            </a:ext>
          </a:extLst>
        </xdr:cNvPr>
        <xdr:cNvPicPr>
          <a:picLocks noChangeAspect="1"/>
        </xdr:cNvPicPr>
      </xdr:nvPicPr>
      <xdr:blipFill>
        <a:blip xmlns:r="http://schemas.openxmlformats.org/officeDocument/2006/relationships" r:embed="rId111"/>
        <a:srcRect/>
        <a:stretch>
          <a:fillRect/>
        </a:stretch>
      </xdr:blipFill>
      <xdr:spPr>
        <a:xfrm>
          <a:off x="619125" y="115481100"/>
          <a:ext cx="876300" cy="857250"/>
        </a:xfrm>
        <a:prstGeom prst="rect">
          <a:avLst/>
        </a:prstGeom>
      </xdr:spPr>
    </xdr:pic>
    <xdr:clientData/>
  </xdr:twoCellAnchor>
  <xdr:twoCellAnchor>
    <xdr:from>
      <xdr:col>1</xdr:col>
      <xdr:colOff>9525</xdr:colOff>
      <xdr:row>142</xdr:row>
      <xdr:rowOff>9525</xdr:rowOff>
    </xdr:from>
    <xdr:to>
      <xdr:col>1</xdr:col>
      <xdr:colOff>1724025</xdr:colOff>
      <xdr:row>142</xdr:row>
      <xdr:rowOff>1724025</xdr:rowOff>
    </xdr:to>
    <xdr:pic>
      <xdr:nvPicPr>
        <xdr:cNvPr id="2122" name="Picture 135">
          <a:extLst>
            <a:ext uri="{FF2B5EF4-FFF2-40B4-BE49-F238E27FC236}">
              <a16:creationId xmlns:a16="http://schemas.microsoft.com/office/drawing/2014/main" id="{803EB766-0FEE-4775-9B64-47B7106C3F4D}"/>
            </a:ext>
          </a:extLst>
        </xdr:cNvPr>
        <xdr:cNvPicPr>
          <a:picLocks noChangeAspect="1"/>
        </xdr:cNvPicPr>
      </xdr:nvPicPr>
      <xdr:blipFill>
        <a:blip xmlns:r="http://schemas.openxmlformats.org/officeDocument/2006/relationships" r:embed="rId105"/>
        <a:srcRect/>
        <a:stretch>
          <a:fillRect/>
        </a:stretch>
      </xdr:blipFill>
      <xdr:spPr>
        <a:xfrm>
          <a:off x="619125" y="116347875"/>
          <a:ext cx="876300" cy="857250"/>
        </a:xfrm>
        <a:prstGeom prst="rect">
          <a:avLst/>
        </a:prstGeom>
      </xdr:spPr>
    </xdr:pic>
    <xdr:clientData/>
  </xdr:twoCellAnchor>
  <xdr:twoCellAnchor>
    <xdr:from>
      <xdr:col>1</xdr:col>
      <xdr:colOff>9525</xdr:colOff>
      <xdr:row>143</xdr:row>
      <xdr:rowOff>9525</xdr:rowOff>
    </xdr:from>
    <xdr:to>
      <xdr:col>1</xdr:col>
      <xdr:colOff>1724025</xdr:colOff>
      <xdr:row>143</xdr:row>
      <xdr:rowOff>1724025</xdr:rowOff>
    </xdr:to>
    <xdr:pic>
      <xdr:nvPicPr>
        <xdr:cNvPr id="2123" name="Picture 136">
          <a:extLst>
            <a:ext uri="{FF2B5EF4-FFF2-40B4-BE49-F238E27FC236}">
              <a16:creationId xmlns:a16="http://schemas.microsoft.com/office/drawing/2014/main" id="{EF4C2AA2-96B9-4497-A2AC-B220BED18296}"/>
            </a:ext>
          </a:extLst>
        </xdr:cNvPr>
        <xdr:cNvPicPr>
          <a:picLocks noChangeAspect="1"/>
        </xdr:cNvPicPr>
      </xdr:nvPicPr>
      <xdr:blipFill>
        <a:blip xmlns:r="http://schemas.openxmlformats.org/officeDocument/2006/relationships" r:embed="rId112"/>
        <a:srcRect/>
        <a:stretch>
          <a:fillRect/>
        </a:stretch>
      </xdr:blipFill>
      <xdr:spPr>
        <a:xfrm>
          <a:off x="619125" y="117214650"/>
          <a:ext cx="876300" cy="857250"/>
        </a:xfrm>
        <a:prstGeom prst="rect">
          <a:avLst/>
        </a:prstGeom>
      </xdr:spPr>
    </xdr:pic>
    <xdr:clientData/>
  </xdr:twoCellAnchor>
  <xdr:twoCellAnchor>
    <xdr:from>
      <xdr:col>1</xdr:col>
      <xdr:colOff>9525</xdr:colOff>
      <xdr:row>144</xdr:row>
      <xdr:rowOff>9525</xdr:rowOff>
    </xdr:from>
    <xdr:to>
      <xdr:col>1</xdr:col>
      <xdr:colOff>1724025</xdr:colOff>
      <xdr:row>144</xdr:row>
      <xdr:rowOff>1724025</xdr:rowOff>
    </xdr:to>
    <xdr:pic>
      <xdr:nvPicPr>
        <xdr:cNvPr id="2124" name="Picture 137">
          <a:extLst>
            <a:ext uri="{FF2B5EF4-FFF2-40B4-BE49-F238E27FC236}">
              <a16:creationId xmlns:a16="http://schemas.microsoft.com/office/drawing/2014/main" id="{C5A2846A-EC2D-42BE-AF27-613E5970E20E}"/>
            </a:ext>
          </a:extLst>
        </xdr:cNvPr>
        <xdr:cNvPicPr>
          <a:picLocks noChangeAspect="1"/>
        </xdr:cNvPicPr>
      </xdr:nvPicPr>
      <xdr:blipFill>
        <a:blip xmlns:r="http://schemas.openxmlformats.org/officeDocument/2006/relationships" r:embed="rId113"/>
        <a:srcRect/>
        <a:stretch>
          <a:fillRect/>
        </a:stretch>
      </xdr:blipFill>
      <xdr:spPr>
        <a:xfrm>
          <a:off x="619125" y="118081425"/>
          <a:ext cx="876300" cy="857250"/>
        </a:xfrm>
        <a:prstGeom prst="rect">
          <a:avLst/>
        </a:prstGeom>
      </xdr:spPr>
    </xdr:pic>
    <xdr:clientData/>
  </xdr:twoCellAnchor>
  <xdr:twoCellAnchor>
    <xdr:from>
      <xdr:col>1</xdr:col>
      <xdr:colOff>9525</xdr:colOff>
      <xdr:row>145</xdr:row>
      <xdr:rowOff>9525</xdr:rowOff>
    </xdr:from>
    <xdr:to>
      <xdr:col>1</xdr:col>
      <xdr:colOff>1724025</xdr:colOff>
      <xdr:row>145</xdr:row>
      <xdr:rowOff>1724025</xdr:rowOff>
    </xdr:to>
    <xdr:pic>
      <xdr:nvPicPr>
        <xdr:cNvPr id="2125" name="Picture 138">
          <a:extLst>
            <a:ext uri="{FF2B5EF4-FFF2-40B4-BE49-F238E27FC236}">
              <a16:creationId xmlns:a16="http://schemas.microsoft.com/office/drawing/2014/main" id="{1E6F7BD2-FD47-4405-825C-258B88C15347}"/>
            </a:ext>
          </a:extLst>
        </xdr:cNvPr>
        <xdr:cNvPicPr>
          <a:picLocks noChangeAspect="1"/>
        </xdr:cNvPicPr>
      </xdr:nvPicPr>
      <xdr:blipFill>
        <a:blip xmlns:r="http://schemas.openxmlformats.org/officeDocument/2006/relationships" r:embed="rId114"/>
        <a:srcRect/>
        <a:stretch>
          <a:fillRect/>
        </a:stretch>
      </xdr:blipFill>
      <xdr:spPr>
        <a:xfrm>
          <a:off x="619125" y="118948200"/>
          <a:ext cx="876300" cy="857250"/>
        </a:xfrm>
        <a:prstGeom prst="rect">
          <a:avLst/>
        </a:prstGeom>
      </xdr:spPr>
    </xdr:pic>
    <xdr:clientData/>
  </xdr:twoCellAnchor>
  <xdr:twoCellAnchor>
    <xdr:from>
      <xdr:col>1</xdr:col>
      <xdr:colOff>9525</xdr:colOff>
      <xdr:row>146</xdr:row>
      <xdr:rowOff>9525</xdr:rowOff>
    </xdr:from>
    <xdr:to>
      <xdr:col>1</xdr:col>
      <xdr:colOff>1724025</xdr:colOff>
      <xdr:row>146</xdr:row>
      <xdr:rowOff>1724025</xdr:rowOff>
    </xdr:to>
    <xdr:pic>
      <xdr:nvPicPr>
        <xdr:cNvPr id="2126" name="Picture 139">
          <a:extLst>
            <a:ext uri="{FF2B5EF4-FFF2-40B4-BE49-F238E27FC236}">
              <a16:creationId xmlns:a16="http://schemas.microsoft.com/office/drawing/2014/main" id="{04ACD6F9-AAA8-41AF-966D-FDA24E4F7114}"/>
            </a:ext>
          </a:extLst>
        </xdr:cNvPr>
        <xdr:cNvPicPr>
          <a:picLocks noChangeAspect="1"/>
        </xdr:cNvPicPr>
      </xdr:nvPicPr>
      <xdr:blipFill>
        <a:blip xmlns:r="http://schemas.openxmlformats.org/officeDocument/2006/relationships" r:embed="rId35"/>
        <a:srcRect/>
        <a:stretch>
          <a:fillRect/>
        </a:stretch>
      </xdr:blipFill>
      <xdr:spPr>
        <a:xfrm>
          <a:off x="619125" y="119814975"/>
          <a:ext cx="876300" cy="857250"/>
        </a:xfrm>
        <a:prstGeom prst="rect">
          <a:avLst/>
        </a:prstGeom>
      </xdr:spPr>
    </xdr:pic>
    <xdr:clientData/>
  </xdr:twoCellAnchor>
  <xdr:twoCellAnchor>
    <xdr:from>
      <xdr:col>1</xdr:col>
      <xdr:colOff>9525</xdr:colOff>
      <xdr:row>147</xdr:row>
      <xdr:rowOff>9525</xdr:rowOff>
    </xdr:from>
    <xdr:to>
      <xdr:col>1</xdr:col>
      <xdr:colOff>1724025</xdr:colOff>
      <xdr:row>147</xdr:row>
      <xdr:rowOff>1724025</xdr:rowOff>
    </xdr:to>
    <xdr:pic>
      <xdr:nvPicPr>
        <xdr:cNvPr id="2127" name="Picture 140">
          <a:extLst>
            <a:ext uri="{FF2B5EF4-FFF2-40B4-BE49-F238E27FC236}">
              <a16:creationId xmlns:a16="http://schemas.microsoft.com/office/drawing/2014/main" id="{9B79D205-3B8D-4369-90C8-B5B978D4668B}"/>
            </a:ext>
          </a:extLst>
        </xdr:cNvPr>
        <xdr:cNvPicPr>
          <a:picLocks noChangeAspect="1"/>
        </xdr:cNvPicPr>
      </xdr:nvPicPr>
      <xdr:blipFill>
        <a:blip xmlns:r="http://schemas.openxmlformats.org/officeDocument/2006/relationships" r:embed="rId52"/>
        <a:srcRect/>
        <a:stretch>
          <a:fillRect/>
        </a:stretch>
      </xdr:blipFill>
      <xdr:spPr>
        <a:xfrm>
          <a:off x="619125" y="120681750"/>
          <a:ext cx="876300" cy="857250"/>
        </a:xfrm>
        <a:prstGeom prst="rect">
          <a:avLst/>
        </a:prstGeom>
      </xdr:spPr>
    </xdr:pic>
    <xdr:clientData/>
  </xdr:twoCellAnchor>
  <xdr:twoCellAnchor>
    <xdr:from>
      <xdr:col>1</xdr:col>
      <xdr:colOff>9525</xdr:colOff>
      <xdr:row>148</xdr:row>
      <xdr:rowOff>9525</xdr:rowOff>
    </xdr:from>
    <xdr:to>
      <xdr:col>1</xdr:col>
      <xdr:colOff>1724025</xdr:colOff>
      <xdr:row>148</xdr:row>
      <xdr:rowOff>1724025</xdr:rowOff>
    </xdr:to>
    <xdr:pic>
      <xdr:nvPicPr>
        <xdr:cNvPr id="2128" name="Picture 141">
          <a:extLst>
            <a:ext uri="{FF2B5EF4-FFF2-40B4-BE49-F238E27FC236}">
              <a16:creationId xmlns:a16="http://schemas.microsoft.com/office/drawing/2014/main" id="{7F312942-5C4C-4F7A-B6B4-9BED1195F464}"/>
            </a:ext>
          </a:extLst>
        </xdr:cNvPr>
        <xdr:cNvPicPr>
          <a:picLocks noChangeAspect="1"/>
        </xdr:cNvPicPr>
      </xdr:nvPicPr>
      <xdr:blipFill>
        <a:blip xmlns:r="http://schemas.openxmlformats.org/officeDocument/2006/relationships" r:embed="rId37"/>
        <a:srcRect/>
        <a:stretch>
          <a:fillRect/>
        </a:stretch>
      </xdr:blipFill>
      <xdr:spPr>
        <a:xfrm>
          <a:off x="619125" y="121548525"/>
          <a:ext cx="876300" cy="857250"/>
        </a:xfrm>
        <a:prstGeom prst="rect">
          <a:avLst/>
        </a:prstGeom>
      </xdr:spPr>
    </xdr:pic>
    <xdr:clientData/>
  </xdr:twoCellAnchor>
  <xdr:twoCellAnchor>
    <xdr:from>
      <xdr:col>1</xdr:col>
      <xdr:colOff>9525</xdr:colOff>
      <xdr:row>149</xdr:row>
      <xdr:rowOff>9525</xdr:rowOff>
    </xdr:from>
    <xdr:to>
      <xdr:col>1</xdr:col>
      <xdr:colOff>1724025</xdr:colOff>
      <xdr:row>149</xdr:row>
      <xdr:rowOff>1724025</xdr:rowOff>
    </xdr:to>
    <xdr:pic>
      <xdr:nvPicPr>
        <xdr:cNvPr id="2129" name="Picture 142">
          <a:extLst>
            <a:ext uri="{FF2B5EF4-FFF2-40B4-BE49-F238E27FC236}">
              <a16:creationId xmlns:a16="http://schemas.microsoft.com/office/drawing/2014/main" id="{66C24F60-F58F-45B2-95D3-B60FBCCC0A71}"/>
            </a:ext>
          </a:extLst>
        </xdr:cNvPr>
        <xdr:cNvPicPr>
          <a:picLocks noChangeAspect="1"/>
        </xdr:cNvPicPr>
      </xdr:nvPicPr>
      <xdr:blipFill>
        <a:blip xmlns:r="http://schemas.openxmlformats.org/officeDocument/2006/relationships" r:embed="rId115"/>
        <a:srcRect/>
        <a:stretch>
          <a:fillRect/>
        </a:stretch>
      </xdr:blipFill>
      <xdr:spPr>
        <a:xfrm>
          <a:off x="619125" y="122415300"/>
          <a:ext cx="876300" cy="857250"/>
        </a:xfrm>
        <a:prstGeom prst="rect">
          <a:avLst/>
        </a:prstGeom>
      </xdr:spPr>
    </xdr:pic>
    <xdr:clientData/>
  </xdr:twoCellAnchor>
  <xdr:twoCellAnchor>
    <xdr:from>
      <xdr:col>1</xdr:col>
      <xdr:colOff>9525</xdr:colOff>
      <xdr:row>150</xdr:row>
      <xdr:rowOff>9525</xdr:rowOff>
    </xdr:from>
    <xdr:to>
      <xdr:col>1</xdr:col>
      <xdr:colOff>1724025</xdr:colOff>
      <xdr:row>150</xdr:row>
      <xdr:rowOff>1724025</xdr:rowOff>
    </xdr:to>
    <xdr:pic>
      <xdr:nvPicPr>
        <xdr:cNvPr id="2130" name="Picture 143">
          <a:extLst>
            <a:ext uri="{FF2B5EF4-FFF2-40B4-BE49-F238E27FC236}">
              <a16:creationId xmlns:a16="http://schemas.microsoft.com/office/drawing/2014/main" id="{1FE98945-7F11-445E-BD13-0E9BD8900D16}"/>
            </a:ext>
          </a:extLst>
        </xdr:cNvPr>
        <xdr:cNvPicPr>
          <a:picLocks noChangeAspect="1"/>
        </xdr:cNvPicPr>
      </xdr:nvPicPr>
      <xdr:blipFill>
        <a:blip xmlns:r="http://schemas.openxmlformats.org/officeDocument/2006/relationships" r:embed="rId116"/>
        <a:srcRect/>
        <a:stretch>
          <a:fillRect/>
        </a:stretch>
      </xdr:blipFill>
      <xdr:spPr>
        <a:xfrm>
          <a:off x="619125" y="123282075"/>
          <a:ext cx="876300" cy="857250"/>
        </a:xfrm>
        <a:prstGeom prst="rect">
          <a:avLst/>
        </a:prstGeom>
      </xdr:spPr>
    </xdr:pic>
    <xdr:clientData/>
  </xdr:twoCellAnchor>
  <xdr:twoCellAnchor>
    <xdr:from>
      <xdr:col>1</xdr:col>
      <xdr:colOff>9525</xdr:colOff>
      <xdr:row>151</xdr:row>
      <xdr:rowOff>9525</xdr:rowOff>
    </xdr:from>
    <xdr:to>
      <xdr:col>1</xdr:col>
      <xdr:colOff>1724025</xdr:colOff>
      <xdr:row>151</xdr:row>
      <xdr:rowOff>1724025</xdr:rowOff>
    </xdr:to>
    <xdr:pic>
      <xdr:nvPicPr>
        <xdr:cNvPr id="2131" name="Picture 144">
          <a:extLst>
            <a:ext uri="{FF2B5EF4-FFF2-40B4-BE49-F238E27FC236}">
              <a16:creationId xmlns:a16="http://schemas.microsoft.com/office/drawing/2014/main" id="{40C2D782-D8FB-43AA-81EB-0C29E2266AC0}"/>
            </a:ext>
          </a:extLst>
        </xdr:cNvPr>
        <xdr:cNvPicPr>
          <a:picLocks noChangeAspect="1"/>
        </xdr:cNvPicPr>
      </xdr:nvPicPr>
      <xdr:blipFill>
        <a:blip xmlns:r="http://schemas.openxmlformats.org/officeDocument/2006/relationships" r:embed="rId35"/>
        <a:srcRect/>
        <a:stretch>
          <a:fillRect/>
        </a:stretch>
      </xdr:blipFill>
      <xdr:spPr>
        <a:xfrm>
          <a:off x="619125" y="124148850"/>
          <a:ext cx="876300" cy="857250"/>
        </a:xfrm>
        <a:prstGeom prst="rect">
          <a:avLst/>
        </a:prstGeom>
      </xdr:spPr>
    </xdr:pic>
    <xdr:clientData/>
  </xdr:twoCellAnchor>
  <xdr:twoCellAnchor>
    <xdr:from>
      <xdr:col>1</xdr:col>
      <xdr:colOff>9525</xdr:colOff>
      <xdr:row>152</xdr:row>
      <xdr:rowOff>9525</xdr:rowOff>
    </xdr:from>
    <xdr:to>
      <xdr:col>1</xdr:col>
      <xdr:colOff>1724025</xdr:colOff>
      <xdr:row>152</xdr:row>
      <xdr:rowOff>1724025</xdr:rowOff>
    </xdr:to>
    <xdr:pic>
      <xdr:nvPicPr>
        <xdr:cNvPr id="2132" name="Picture 145">
          <a:extLst>
            <a:ext uri="{FF2B5EF4-FFF2-40B4-BE49-F238E27FC236}">
              <a16:creationId xmlns:a16="http://schemas.microsoft.com/office/drawing/2014/main" id="{2A0068B8-0F51-4E12-9D26-ECF2E5FB697D}"/>
            </a:ext>
          </a:extLst>
        </xdr:cNvPr>
        <xdr:cNvPicPr>
          <a:picLocks noChangeAspect="1"/>
        </xdr:cNvPicPr>
      </xdr:nvPicPr>
      <xdr:blipFill>
        <a:blip xmlns:r="http://schemas.openxmlformats.org/officeDocument/2006/relationships" r:embed="rId35"/>
        <a:srcRect/>
        <a:stretch>
          <a:fillRect/>
        </a:stretch>
      </xdr:blipFill>
      <xdr:spPr>
        <a:xfrm>
          <a:off x="619125" y="125015625"/>
          <a:ext cx="876300" cy="857250"/>
        </a:xfrm>
        <a:prstGeom prst="rect">
          <a:avLst/>
        </a:prstGeom>
      </xdr:spPr>
    </xdr:pic>
    <xdr:clientData/>
  </xdr:twoCellAnchor>
  <xdr:twoCellAnchor>
    <xdr:from>
      <xdr:col>1</xdr:col>
      <xdr:colOff>9525</xdr:colOff>
      <xdr:row>153</xdr:row>
      <xdr:rowOff>9525</xdr:rowOff>
    </xdr:from>
    <xdr:to>
      <xdr:col>1</xdr:col>
      <xdr:colOff>1724025</xdr:colOff>
      <xdr:row>153</xdr:row>
      <xdr:rowOff>1724025</xdr:rowOff>
    </xdr:to>
    <xdr:pic>
      <xdr:nvPicPr>
        <xdr:cNvPr id="2133" name="Picture 146">
          <a:extLst>
            <a:ext uri="{FF2B5EF4-FFF2-40B4-BE49-F238E27FC236}">
              <a16:creationId xmlns:a16="http://schemas.microsoft.com/office/drawing/2014/main" id="{DBDB2A4D-DEFE-4CA5-9656-0F2EC89F2D1B}"/>
            </a:ext>
          </a:extLst>
        </xdr:cNvPr>
        <xdr:cNvPicPr>
          <a:picLocks noChangeAspect="1"/>
        </xdr:cNvPicPr>
      </xdr:nvPicPr>
      <xdr:blipFill>
        <a:blip xmlns:r="http://schemas.openxmlformats.org/officeDocument/2006/relationships" r:embed="rId36"/>
        <a:srcRect/>
        <a:stretch>
          <a:fillRect/>
        </a:stretch>
      </xdr:blipFill>
      <xdr:spPr>
        <a:xfrm>
          <a:off x="619125" y="125882400"/>
          <a:ext cx="876300" cy="857250"/>
        </a:xfrm>
        <a:prstGeom prst="rect">
          <a:avLst/>
        </a:prstGeom>
      </xdr:spPr>
    </xdr:pic>
    <xdr:clientData/>
  </xdr:twoCellAnchor>
  <xdr:twoCellAnchor>
    <xdr:from>
      <xdr:col>1</xdr:col>
      <xdr:colOff>9525</xdr:colOff>
      <xdr:row>154</xdr:row>
      <xdr:rowOff>9525</xdr:rowOff>
    </xdr:from>
    <xdr:to>
      <xdr:col>1</xdr:col>
      <xdr:colOff>1724025</xdr:colOff>
      <xdr:row>154</xdr:row>
      <xdr:rowOff>1724025</xdr:rowOff>
    </xdr:to>
    <xdr:pic>
      <xdr:nvPicPr>
        <xdr:cNvPr id="2134" name="Picture 147">
          <a:extLst>
            <a:ext uri="{FF2B5EF4-FFF2-40B4-BE49-F238E27FC236}">
              <a16:creationId xmlns:a16="http://schemas.microsoft.com/office/drawing/2014/main" id="{942916BE-9C58-4558-9185-6CAFE02298F8}"/>
            </a:ext>
          </a:extLst>
        </xdr:cNvPr>
        <xdr:cNvPicPr>
          <a:picLocks noChangeAspect="1"/>
        </xdr:cNvPicPr>
      </xdr:nvPicPr>
      <xdr:blipFill>
        <a:blip xmlns:r="http://schemas.openxmlformats.org/officeDocument/2006/relationships" r:embed="rId37"/>
        <a:srcRect/>
        <a:stretch>
          <a:fillRect/>
        </a:stretch>
      </xdr:blipFill>
      <xdr:spPr>
        <a:xfrm>
          <a:off x="619125" y="126749175"/>
          <a:ext cx="876300" cy="857250"/>
        </a:xfrm>
        <a:prstGeom prst="rect">
          <a:avLst/>
        </a:prstGeom>
      </xdr:spPr>
    </xdr:pic>
    <xdr:clientData/>
  </xdr:twoCellAnchor>
  <xdr:twoCellAnchor>
    <xdr:from>
      <xdr:col>1</xdr:col>
      <xdr:colOff>9525</xdr:colOff>
      <xdr:row>155</xdr:row>
      <xdr:rowOff>9525</xdr:rowOff>
    </xdr:from>
    <xdr:to>
      <xdr:col>1</xdr:col>
      <xdr:colOff>1724025</xdr:colOff>
      <xdr:row>155</xdr:row>
      <xdr:rowOff>1724025</xdr:rowOff>
    </xdr:to>
    <xdr:pic>
      <xdr:nvPicPr>
        <xdr:cNvPr id="2135" name="Picture 148">
          <a:extLst>
            <a:ext uri="{FF2B5EF4-FFF2-40B4-BE49-F238E27FC236}">
              <a16:creationId xmlns:a16="http://schemas.microsoft.com/office/drawing/2014/main" id="{3913D696-14F5-407C-B230-17F142D70C73}"/>
            </a:ext>
          </a:extLst>
        </xdr:cNvPr>
        <xdr:cNvPicPr>
          <a:picLocks noChangeAspect="1"/>
        </xdr:cNvPicPr>
      </xdr:nvPicPr>
      <xdr:blipFill>
        <a:blip xmlns:r="http://schemas.openxmlformats.org/officeDocument/2006/relationships" r:embed="rId117"/>
        <a:srcRect/>
        <a:stretch>
          <a:fillRect/>
        </a:stretch>
      </xdr:blipFill>
      <xdr:spPr>
        <a:xfrm>
          <a:off x="619125" y="127615950"/>
          <a:ext cx="876300" cy="857250"/>
        </a:xfrm>
        <a:prstGeom prst="rect">
          <a:avLst/>
        </a:prstGeom>
      </xdr:spPr>
    </xdr:pic>
    <xdr:clientData/>
  </xdr:twoCellAnchor>
  <xdr:twoCellAnchor>
    <xdr:from>
      <xdr:col>1</xdr:col>
      <xdr:colOff>9525</xdr:colOff>
      <xdr:row>156</xdr:row>
      <xdr:rowOff>9525</xdr:rowOff>
    </xdr:from>
    <xdr:to>
      <xdr:col>1</xdr:col>
      <xdr:colOff>1724025</xdr:colOff>
      <xdr:row>156</xdr:row>
      <xdr:rowOff>1724025</xdr:rowOff>
    </xdr:to>
    <xdr:pic>
      <xdr:nvPicPr>
        <xdr:cNvPr id="2136" name="Picture 149">
          <a:extLst>
            <a:ext uri="{FF2B5EF4-FFF2-40B4-BE49-F238E27FC236}">
              <a16:creationId xmlns:a16="http://schemas.microsoft.com/office/drawing/2014/main" id="{6F4D435B-3820-4317-B44E-EC4ED5262D70}"/>
            </a:ext>
          </a:extLst>
        </xdr:cNvPr>
        <xdr:cNvPicPr>
          <a:picLocks noChangeAspect="1"/>
        </xdr:cNvPicPr>
      </xdr:nvPicPr>
      <xdr:blipFill>
        <a:blip xmlns:r="http://schemas.openxmlformats.org/officeDocument/2006/relationships" r:embed="rId118"/>
        <a:srcRect/>
        <a:stretch>
          <a:fillRect/>
        </a:stretch>
      </xdr:blipFill>
      <xdr:spPr>
        <a:xfrm>
          <a:off x="619125" y="128482725"/>
          <a:ext cx="876300" cy="857250"/>
        </a:xfrm>
        <a:prstGeom prst="rect">
          <a:avLst/>
        </a:prstGeom>
      </xdr:spPr>
    </xdr:pic>
    <xdr:clientData/>
  </xdr:twoCellAnchor>
  <xdr:twoCellAnchor>
    <xdr:from>
      <xdr:col>1</xdr:col>
      <xdr:colOff>9525</xdr:colOff>
      <xdr:row>157</xdr:row>
      <xdr:rowOff>9525</xdr:rowOff>
    </xdr:from>
    <xdr:to>
      <xdr:col>1</xdr:col>
      <xdr:colOff>1724025</xdr:colOff>
      <xdr:row>157</xdr:row>
      <xdr:rowOff>1724025</xdr:rowOff>
    </xdr:to>
    <xdr:pic>
      <xdr:nvPicPr>
        <xdr:cNvPr id="2137" name="Picture 150">
          <a:extLst>
            <a:ext uri="{FF2B5EF4-FFF2-40B4-BE49-F238E27FC236}">
              <a16:creationId xmlns:a16="http://schemas.microsoft.com/office/drawing/2014/main" id="{D86101F9-206E-46E8-B115-6EA789C5CA69}"/>
            </a:ext>
          </a:extLst>
        </xdr:cNvPr>
        <xdr:cNvPicPr>
          <a:picLocks noChangeAspect="1"/>
        </xdr:cNvPicPr>
      </xdr:nvPicPr>
      <xdr:blipFill>
        <a:blip xmlns:r="http://schemas.openxmlformats.org/officeDocument/2006/relationships" r:embed="rId119"/>
        <a:srcRect/>
        <a:stretch>
          <a:fillRect/>
        </a:stretch>
      </xdr:blipFill>
      <xdr:spPr>
        <a:xfrm>
          <a:off x="619125" y="129349500"/>
          <a:ext cx="876300" cy="857250"/>
        </a:xfrm>
        <a:prstGeom prst="rect">
          <a:avLst/>
        </a:prstGeom>
      </xdr:spPr>
    </xdr:pic>
    <xdr:clientData/>
  </xdr:twoCellAnchor>
  <xdr:twoCellAnchor>
    <xdr:from>
      <xdr:col>1</xdr:col>
      <xdr:colOff>9525</xdr:colOff>
      <xdr:row>158</xdr:row>
      <xdr:rowOff>9525</xdr:rowOff>
    </xdr:from>
    <xdr:to>
      <xdr:col>1</xdr:col>
      <xdr:colOff>1724025</xdr:colOff>
      <xdr:row>158</xdr:row>
      <xdr:rowOff>1724025</xdr:rowOff>
    </xdr:to>
    <xdr:pic>
      <xdr:nvPicPr>
        <xdr:cNvPr id="2138" name="Picture 151">
          <a:extLst>
            <a:ext uri="{FF2B5EF4-FFF2-40B4-BE49-F238E27FC236}">
              <a16:creationId xmlns:a16="http://schemas.microsoft.com/office/drawing/2014/main" id="{760840C3-7BF7-4D52-9812-32555D0D2875}"/>
            </a:ext>
          </a:extLst>
        </xdr:cNvPr>
        <xdr:cNvPicPr>
          <a:picLocks noChangeAspect="1"/>
        </xdr:cNvPicPr>
      </xdr:nvPicPr>
      <xdr:blipFill>
        <a:blip xmlns:r="http://schemas.openxmlformats.org/officeDocument/2006/relationships" r:embed="rId120"/>
        <a:srcRect/>
        <a:stretch>
          <a:fillRect/>
        </a:stretch>
      </xdr:blipFill>
      <xdr:spPr>
        <a:xfrm>
          <a:off x="619125" y="130216275"/>
          <a:ext cx="876300" cy="857250"/>
        </a:xfrm>
        <a:prstGeom prst="rect">
          <a:avLst/>
        </a:prstGeom>
      </xdr:spPr>
    </xdr:pic>
    <xdr:clientData/>
  </xdr:twoCellAnchor>
  <xdr:twoCellAnchor>
    <xdr:from>
      <xdr:col>1</xdr:col>
      <xdr:colOff>9525</xdr:colOff>
      <xdr:row>159</xdr:row>
      <xdr:rowOff>9525</xdr:rowOff>
    </xdr:from>
    <xdr:to>
      <xdr:col>1</xdr:col>
      <xdr:colOff>1724025</xdr:colOff>
      <xdr:row>159</xdr:row>
      <xdr:rowOff>1724025</xdr:rowOff>
    </xdr:to>
    <xdr:pic>
      <xdr:nvPicPr>
        <xdr:cNvPr id="2139" name="Picture 152">
          <a:extLst>
            <a:ext uri="{FF2B5EF4-FFF2-40B4-BE49-F238E27FC236}">
              <a16:creationId xmlns:a16="http://schemas.microsoft.com/office/drawing/2014/main" id="{10858DCA-1E37-4EF4-A7E1-D7E6ACEADE6A}"/>
            </a:ext>
          </a:extLst>
        </xdr:cNvPr>
        <xdr:cNvPicPr>
          <a:picLocks noChangeAspect="1"/>
        </xdr:cNvPicPr>
      </xdr:nvPicPr>
      <xdr:blipFill>
        <a:blip xmlns:r="http://schemas.openxmlformats.org/officeDocument/2006/relationships" r:embed="rId121"/>
        <a:srcRect/>
        <a:stretch>
          <a:fillRect/>
        </a:stretch>
      </xdr:blipFill>
      <xdr:spPr>
        <a:xfrm>
          <a:off x="619125" y="131083050"/>
          <a:ext cx="876300" cy="857250"/>
        </a:xfrm>
        <a:prstGeom prst="rect">
          <a:avLst/>
        </a:prstGeom>
      </xdr:spPr>
    </xdr:pic>
    <xdr:clientData/>
  </xdr:twoCellAnchor>
  <xdr:twoCellAnchor>
    <xdr:from>
      <xdr:col>1</xdr:col>
      <xdr:colOff>9525</xdr:colOff>
      <xdr:row>160</xdr:row>
      <xdr:rowOff>9525</xdr:rowOff>
    </xdr:from>
    <xdr:to>
      <xdr:col>1</xdr:col>
      <xdr:colOff>1724025</xdr:colOff>
      <xdr:row>160</xdr:row>
      <xdr:rowOff>1724025</xdr:rowOff>
    </xdr:to>
    <xdr:pic>
      <xdr:nvPicPr>
        <xdr:cNvPr id="2140" name="Picture 153">
          <a:extLst>
            <a:ext uri="{FF2B5EF4-FFF2-40B4-BE49-F238E27FC236}">
              <a16:creationId xmlns:a16="http://schemas.microsoft.com/office/drawing/2014/main" id="{E6D072E9-AA86-4182-B24C-2A8C3A6DA699}"/>
            </a:ext>
          </a:extLst>
        </xdr:cNvPr>
        <xdr:cNvPicPr>
          <a:picLocks noChangeAspect="1"/>
        </xdr:cNvPicPr>
      </xdr:nvPicPr>
      <xdr:blipFill>
        <a:blip xmlns:r="http://schemas.openxmlformats.org/officeDocument/2006/relationships" r:embed="rId122"/>
        <a:srcRect/>
        <a:stretch>
          <a:fillRect/>
        </a:stretch>
      </xdr:blipFill>
      <xdr:spPr>
        <a:xfrm>
          <a:off x="619125" y="131949825"/>
          <a:ext cx="876300" cy="857250"/>
        </a:xfrm>
        <a:prstGeom prst="rect">
          <a:avLst/>
        </a:prstGeom>
      </xdr:spPr>
    </xdr:pic>
    <xdr:clientData/>
  </xdr:twoCellAnchor>
  <xdr:twoCellAnchor>
    <xdr:from>
      <xdr:col>1</xdr:col>
      <xdr:colOff>9525</xdr:colOff>
      <xdr:row>161</xdr:row>
      <xdr:rowOff>9525</xdr:rowOff>
    </xdr:from>
    <xdr:to>
      <xdr:col>1</xdr:col>
      <xdr:colOff>1724025</xdr:colOff>
      <xdr:row>161</xdr:row>
      <xdr:rowOff>1724025</xdr:rowOff>
    </xdr:to>
    <xdr:pic>
      <xdr:nvPicPr>
        <xdr:cNvPr id="2141" name="Picture 154">
          <a:extLst>
            <a:ext uri="{FF2B5EF4-FFF2-40B4-BE49-F238E27FC236}">
              <a16:creationId xmlns:a16="http://schemas.microsoft.com/office/drawing/2014/main" id="{A7D9EC55-BDCB-4618-9909-86318FEBE249}"/>
            </a:ext>
          </a:extLst>
        </xdr:cNvPr>
        <xdr:cNvPicPr>
          <a:picLocks noChangeAspect="1"/>
        </xdr:cNvPicPr>
      </xdr:nvPicPr>
      <xdr:blipFill>
        <a:blip xmlns:r="http://schemas.openxmlformats.org/officeDocument/2006/relationships" r:embed="rId123"/>
        <a:srcRect/>
        <a:stretch>
          <a:fillRect/>
        </a:stretch>
      </xdr:blipFill>
      <xdr:spPr>
        <a:xfrm>
          <a:off x="619125" y="132816600"/>
          <a:ext cx="876300" cy="857250"/>
        </a:xfrm>
        <a:prstGeom prst="rect">
          <a:avLst/>
        </a:prstGeom>
      </xdr:spPr>
    </xdr:pic>
    <xdr:clientData/>
  </xdr:twoCellAnchor>
  <xdr:twoCellAnchor>
    <xdr:from>
      <xdr:col>1</xdr:col>
      <xdr:colOff>9525</xdr:colOff>
      <xdr:row>162</xdr:row>
      <xdr:rowOff>9525</xdr:rowOff>
    </xdr:from>
    <xdr:to>
      <xdr:col>1</xdr:col>
      <xdr:colOff>1724025</xdr:colOff>
      <xdr:row>162</xdr:row>
      <xdr:rowOff>1724025</xdr:rowOff>
    </xdr:to>
    <xdr:pic>
      <xdr:nvPicPr>
        <xdr:cNvPr id="2142" name="Picture 155">
          <a:extLst>
            <a:ext uri="{FF2B5EF4-FFF2-40B4-BE49-F238E27FC236}">
              <a16:creationId xmlns:a16="http://schemas.microsoft.com/office/drawing/2014/main" id="{A7CA699A-696F-45D7-A35E-279AA5D98B51}"/>
            </a:ext>
          </a:extLst>
        </xdr:cNvPr>
        <xdr:cNvPicPr>
          <a:picLocks noChangeAspect="1"/>
        </xdr:cNvPicPr>
      </xdr:nvPicPr>
      <xdr:blipFill>
        <a:blip xmlns:r="http://schemas.openxmlformats.org/officeDocument/2006/relationships" r:embed="rId124"/>
        <a:srcRect/>
        <a:stretch>
          <a:fillRect/>
        </a:stretch>
      </xdr:blipFill>
      <xdr:spPr>
        <a:xfrm>
          <a:off x="619125" y="133683375"/>
          <a:ext cx="876300" cy="857250"/>
        </a:xfrm>
        <a:prstGeom prst="rect">
          <a:avLst/>
        </a:prstGeom>
      </xdr:spPr>
    </xdr:pic>
    <xdr:clientData/>
  </xdr:twoCellAnchor>
  <xdr:twoCellAnchor>
    <xdr:from>
      <xdr:col>1</xdr:col>
      <xdr:colOff>9525</xdr:colOff>
      <xdr:row>163</xdr:row>
      <xdr:rowOff>9525</xdr:rowOff>
    </xdr:from>
    <xdr:to>
      <xdr:col>1</xdr:col>
      <xdr:colOff>1724025</xdr:colOff>
      <xdr:row>163</xdr:row>
      <xdr:rowOff>1724025</xdr:rowOff>
    </xdr:to>
    <xdr:pic>
      <xdr:nvPicPr>
        <xdr:cNvPr id="2143" name="Picture 156">
          <a:extLst>
            <a:ext uri="{FF2B5EF4-FFF2-40B4-BE49-F238E27FC236}">
              <a16:creationId xmlns:a16="http://schemas.microsoft.com/office/drawing/2014/main" id="{ABBC2CA6-20C5-4446-9E91-7E8AA9AD4B2A}"/>
            </a:ext>
          </a:extLst>
        </xdr:cNvPr>
        <xdr:cNvPicPr>
          <a:picLocks noChangeAspect="1"/>
        </xdr:cNvPicPr>
      </xdr:nvPicPr>
      <xdr:blipFill>
        <a:blip xmlns:r="http://schemas.openxmlformats.org/officeDocument/2006/relationships" r:embed="rId125"/>
        <a:srcRect/>
        <a:stretch>
          <a:fillRect/>
        </a:stretch>
      </xdr:blipFill>
      <xdr:spPr>
        <a:xfrm>
          <a:off x="619125" y="134550150"/>
          <a:ext cx="876300" cy="857250"/>
        </a:xfrm>
        <a:prstGeom prst="rect">
          <a:avLst/>
        </a:prstGeom>
      </xdr:spPr>
    </xdr:pic>
    <xdr:clientData/>
  </xdr:twoCellAnchor>
  <xdr:twoCellAnchor>
    <xdr:from>
      <xdr:col>1</xdr:col>
      <xdr:colOff>9525</xdr:colOff>
      <xdr:row>164</xdr:row>
      <xdr:rowOff>9525</xdr:rowOff>
    </xdr:from>
    <xdr:to>
      <xdr:col>1</xdr:col>
      <xdr:colOff>1724025</xdr:colOff>
      <xdr:row>164</xdr:row>
      <xdr:rowOff>1724025</xdr:rowOff>
    </xdr:to>
    <xdr:pic>
      <xdr:nvPicPr>
        <xdr:cNvPr id="2144" name="Picture 157">
          <a:extLst>
            <a:ext uri="{FF2B5EF4-FFF2-40B4-BE49-F238E27FC236}">
              <a16:creationId xmlns:a16="http://schemas.microsoft.com/office/drawing/2014/main" id="{A8C8D19A-E81D-4F47-AE5B-04D878D559D0}"/>
            </a:ext>
          </a:extLst>
        </xdr:cNvPr>
        <xdr:cNvPicPr>
          <a:picLocks noChangeAspect="1"/>
        </xdr:cNvPicPr>
      </xdr:nvPicPr>
      <xdr:blipFill>
        <a:blip xmlns:r="http://schemas.openxmlformats.org/officeDocument/2006/relationships" r:embed="rId126"/>
        <a:srcRect/>
        <a:stretch>
          <a:fillRect/>
        </a:stretch>
      </xdr:blipFill>
      <xdr:spPr>
        <a:xfrm>
          <a:off x="619125" y="135416925"/>
          <a:ext cx="876300" cy="857250"/>
        </a:xfrm>
        <a:prstGeom prst="rect">
          <a:avLst/>
        </a:prstGeom>
      </xdr:spPr>
    </xdr:pic>
    <xdr:clientData/>
  </xdr:twoCellAnchor>
  <xdr:twoCellAnchor>
    <xdr:from>
      <xdr:col>1</xdr:col>
      <xdr:colOff>9525</xdr:colOff>
      <xdr:row>165</xdr:row>
      <xdr:rowOff>9525</xdr:rowOff>
    </xdr:from>
    <xdr:to>
      <xdr:col>1</xdr:col>
      <xdr:colOff>1724025</xdr:colOff>
      <xdr:row>165</xdr:row>
      <xdr:rowOff>1724025</xdr:rowOff>
    </xdr:to>
    <xdr:pic>
      <xdr:nvPicPr>
        <xdr:cNvPr id="2145" name="Picture 158">
          <a:extLst>
            <a:ext uri="{FF2B5EF4-FFF2-40B4-BE49-F238E27FC236}">
              <a16:creationId xmlns:a16="http://schemas.microsoft.com/office/drawing/2014/main" id="{A044E0EA-2BE8-4CA9-A0D5-D080F47F4646}"/>
            </a:ext>
          </a:extLst>
        </xdr:cNvPr>
        <xdr:cNvPicPr>
          <a:picLocks noChangeAspect="1"/>
        </xdr:cNvPicPr>
      </xdr:nvPicPr>
      <xdr:blipFill>
        <a:blip xmlns:r="http://schemas.openxmlformats.org/officeDocument/2006/relationships" r:embed="rId127"/>
        <a:srcRect/>
        <a:stretch>
          <a:fillRect/>
        </a:stretch>
      </xdr:blipFill>
      <xdr:spPr>
        <a:xfrm>
          <a:off x="619125" y="136283700"/>
          <a:ext cx="876300" cy="857250"/>
        </a:xfrm>
        <a:prstGeom prst="rect">
          <a:avLst/>
        </a:prstGeom>
      </xdr:spPr>
    </xdr:pic>
    <xdr:clientData/>
  </xdr:twoCellAnchor>
  <xdr:twoCellAnchor>
    <xdr:from>
      <xdr:col>1</xdr:col>
      <xdr:colOff>9525</xdr:colOff>
      <xdr:row>166</xdr:row>
      <xdr:rowOff>9525</xdr:rowOff>
    </xdr:from>
    <xdr:to>
      <xdr:col>1</xdr:col>
      <xdr:colOff>1724025</xdr:colOff>
      <xdr:row>166</xdr:row>
      <xdr:rowOff>1724025</xdr:rowOff>
    </xdr:to>
    <xdr:pic>
      <xdr:nvPicPr>
        <xdr:cNvPr id="2146" name="Picture 159">
          <a:extLst>
            <a:ext uri="{FF2B5EF4-FFF2-40B4-BE49-F238E27FC236}">
              <a16:creationId xmlns:a16="http://schemas.microsoft.com/office/drawing/2014/main" id="{518957F1-BBE3-4E5F-A4E9-2F8554964066}"/>
            </a:ext>
          </a:extLst>
        </xdr:cNvPr>
        <xdr:cNvPicPr>
          <a:picLocks noChangeAspect="1"/>
        </xdr:cNvPicPr>
      </xdr:nvPicPr>
      <xdr:blipFill>
        <a:blip xmlns:r="http://schemas.openxmlformats.org/officeDocument/2006/relationships" r:embed="rId128"/>
        <a:srcRect/>
        <a:stretch>
          <a:fillRect/>
        </a:stretch>
      </xdr:blipFill>
      <xdr:spPr>
        <a:xfrm>
          <a:off x="619125" y="137150475"/>
          <a:ext cx="876300" cy="857250"/>
        </a:xfrm>
        <a:prstGeom prst="rect">
          <a:avLst/>
        </a:prstGeom>
      </xdr:spPr>
    </xdr:pic>
    <xdr:clientData/>
  </xdr:twoCellAnchor>
  <xdr:twoCellAnchor>
    <xdr:from>
      <xdr:col>1</xdr:col>
      <xdr:colOff>9525</xdr:colOff>
      <xdr:row>167</xdr:row>
      <xdr:rowOff>9525</xdr:rowOff>
    </xdr:from>
    <xdr:to>
      <xdr:col>1</xdr:col>
      <xdr:colOff>1724025</xdr:colOff>
      <xdr:row>167</xdr:row>
      <xdr:rowOff>1724025</xdr:rowOff>
    </xdr:to>
    <xdr:pic>
      <xdr:nvPicPr>
        <xdr:cNvPr id="2147" name="Picture 160">
          <a:extLst>
            <a:ext uri="{FF2B5EF4-FFF2-40B4-BE49-F238E27FC236}">
              <a16:creationId xmlns:a16="http://schemas.microsoft.com/office/drawing/2014/main" id="{B6FFDD00-ADAC-47CA-874E-B2C5A59FD27B}"/>
            </a:ext>
          </a:extLst>
        </xdr:cNvPr>
        <xdr:cNvPicPr>
          <a:picLocks noChangeAspect="1"/>
        </xdr:cNvPicPr>
      </xdr:nvPicPr>
      <xdr:blipFill>
        <a:blip xmlns:r="http://schemas.openxmlformats.org/officeDocument/2006/relationships" r:embed="rId129"/>
        <a:srcRect/>
        <a:stretch>
          <a:fillRect/>
        </a:stretch>
      </xdr:blipFill>
      <xdr:spPr>
        <a:xfrm>
          <a:off x="619125" y="138017250"/>
          <a:ext cx="876300" cy="857250"/>
        </a:xfrm>
        <a:prstGeom prst="rect">
          <a:avLst/>
        </a:prstGeom>
      </xdr:spPr>
    </xdr:pic>
    <xdr:clientData/>
  </xdr:twoCellAnchor>
  <xdr:twoCellAnchor>
    <xdr:from>
      <xdr:col>1</xdr:col>
      <xdr:colOff>9525</xdr:colOff>
      <xdr:row>168</xdr:row>
      <xdr:rowOff>9525</xdr:rowOff>
    </xdr:from>
    <xdr:to>
      <xdr:col>1</xdr:col>
      <xdr:colOff>1724025</xdr:colOff>
      <xdr:row>168</xdr:row>
      <xdr:rowOff>1724025</xdr:rowOff>
    </xdr:to>
    <xdr:pic>
      <xdr:nvPicPr>
        <xdr:cNvPr id="2148" name="Picture 161">
          <a:extLst>
            <a:ext uri="{FF2B5EF4-FFF2-40B4-BE49-F238E27FC236}">
              <a16:creationId xmlns:a16="http://schemas.microsoft.com/office/drawing/2014/main" id="{22DE374E-139A-4AF6-8719-29CCDE93DB1C}"/>
            </a:ext>
          </a:extLst>
        </xdr:cNvPr>
        <xdr:cNvPicPr>
          <a:picLocks noChangeAspect="1"/>
        </xdr:cNvPicPr>
      </xdr:nvPicPr>
      <xdr:blipFill>
        <a:blip xmlns:r="http://schemas.openxmlformats.org/officeDocument/2006/relationships" r:embed="rId37"/>
        <a:srcRect/>
        <a:stretch>
          <a:fillRect/>
        </a:stretch>
      </xdr:blipFill>
      <xdr:spPr>
        <a:xfrm>
          <a:off x="619125" y="138884025"/>
          <a:ext cx="876300" cy="857250"/>
        </a:xfrm>
        <a:prstGeom prst="rect">
          <a:avLst/>
        </a:prstGeom>
      </xdr:spPr>
    </xdr:pic>
    <xdr:clientData/>
  </xdr:twoCellAnchor>
  <xdr:twoCellAnchor>
    <xdr:from>
      <xdr:col>1</xdr:col>
      <xdr:colOff>9525</xdr:colOff>
      <xdr:row>169</xdr:row>
      <xdr:rowOff>9525</xdr:rowOff>
    </xdr:from>
    <xdr:to>
      <xdr:col>1</xdr:col>
      <xdr:colOff>1724025</xdr:colOff>
      <xdr:row>169</xdr:row>
      <xdr:rowOff>1724025</xdr:rowOff>
    </xdr:to>
    <xdr:pic>
      <xdr:nvPicPr>
        <xdr:cNvPr id="2149" name="Picture 162">
          <a:extLst>
            <a:ext uri="{FF2B5EF4-FFF2-40B4-BE49-F238E27FC236}">
              <a16:creationId xmlns:a16="http://schemas.microsoft.com/office/drawing/2014/main" id="{6364D9FA-7591-477B-AAF7-A40FF751BB09}"/>
            </a:ext>
          </a:extLst>
        </xdr:cNvPr>
        <xdr:cNvPicPr>
          <a:picLocks noChangeAspect="1"/>
        </xdr:cNvPicPr>
      </xdr:nvPicPr>
      <xdr:blipFill>
        <a:blip xmlns:r="http://schemas.openxmlformats.org/officeDocument/2006/relationships" r:embed="rId35"/>
        <a:srcRect/>
        <a:stretch>
          <a:fillRect/>
        </a:stretch>
      </xdr:blipFill>
      <xdr:spPr>
        <a:xfrm>
          <a:off x="619125" y="139750800"/>
          <a:ext cx="876300" cy="857250"/>
        </a:xfrm>
        <a:prstGeom prst="rect">
          <a:avLst/>
        </a:prstGeom>
      </xdr:spPr>
    </xdr:pic>
    <xdr:clientData/>
  </xdr:twoCellAnchor>
  <xdr:twoCellAnchor>
    <xdr:from>
      <xdr:col>1</xdr:col>
      <xdr:colOff>9525</xdr:colOff>
      <xdr:row>170</xdr:row>
      <xdr:rowOff>9525</xdr:rowOff>
    </xdr:from>
    <xdr:to>
      <xdr:col>1</xdr:col>
      <xdr:colOff>1724025</xdr:colOff>
      <xdr:row>170</xdr:row>
      <xdr:rowOff>1724025</xdr:rowOff>
    </xdr:to>
    <xdr:pic>
      <xdr:nvPicPr>
        <xdr:cNvPr id="2150" name="Picture 163">
          <a:extLst>
            <a:ext uri="{FF2B5EF4-FFF2-40B4-BE49-F238E27FC236}">
              <a16:creationId xmlns:a16="http://schemas.microsoft.com/office/drawing/2014/main" id="{672E8D5D-079A-4B74-8E6D-03E388C1A973}"/>
            </a:ext>
          </a:extLst>
        </xdr:cNvPr>
        <xdr:cNvPicPr>
          <a:picLocks noChangeAspect="1"/>
        </xdr:cNvPicPr>
      </xdr:nvPicPr>
      <xdr:blipFill>
        <a:blip xmlns:r="http://schemas.openxmlformats.org/officeDocument/2006/relationships" r:embed="rId78"/>
        <a:srcRect/>
        <a:stretch>
          <a:fillRect/>
        </a:stretch>
      </xdr:blipFill>
      <xdr:spPr>
        <a:xfrm>
          <a:off x="619125" y="140617575"/>
          <a:ext cx="876300" cy="857250"/>
        </a:xfrm>
        <a:prstGeom prst="rect">
          <a:avLst/>
        </a:prstGeom>
      </xdr:spPr>
    </xdr:pic>
    <xdr:clientData/>
  </xdr:twoCellAnchor>
  <xdr:twoCellAnchor>
    <xdr:from>
      <xdr:col>1</xdr:col>
      <xdr:colOff>9525</xdr:colOff>
      <xdr:row>171</xdr:row>
      <xdr:rowOff>9525</xdr:rowOff>
    </xdr:from>
    <xdr:to>
      <xdr:col>1</xdr:col>
      <xdr:colOff>1724025</xdr:colOff>
      <xdr:row>171</xdr:row>
      <xdr:rowOff>1724025</xdr:rowOff>
    </xdr:to>
    <xdr:pic>
      <xdr:nvPicPr>
        <xdr:cNvPr id="2151" name="Picture 164">
          <a:extLst>
            <a:ext uri="{FF2B5EF4-FFF2-40B4-BE49-F238E27FC236}">
              <a16:creationId xmlns:a16="http://schemas.microsoft.com/office/drawing/2014/main" id="{741796BE-7F80-468C-877B-0F97768705B6}"/>
            </a:ext>
          </a:extLst>
        </xdr:cNvPr>
        <xdr:cNvPicPr>
          <a:picLocks noChangeAspect="1"/>
        </xdr:cNvPicPr>
      </xdr:nvPicPr>
      <xdr:blipFill>
        <a:blip xmlns:r="http://schemas.openxmlformats.org/officeDocument/2006/relationships" r:embed="rId37"/>
        <a:srcRect/>
        <a:stretch>
          <a:fillRect/>
        </a:stretch>
      </xdr:blipFill>
      <xdr:spPr>
        <a:xfrm>
          <a:off x="619125" y="141484350"/>
          <a:ext cx="876300" cy="857250"/>
        </a:xfrm>
        <a:prstGeom prst="rect">
          <a:avLst/>
        </a:prstGeom>
      </xdr:spPr>
    </xdr:pic>
    <xdr:clientData/>
  </xdr:twoCellAnchor>
  <xdr:twoCellAnchor>
    <xdr:from>
      <xdr:col>1</xdr:col>
      <xdr:colOff>9525</xdr:colOff>
      <xdr:row>172</xdr:row>
      <xdr:rowOff>9525</xdr:rowOff>
    </xdr:from>
    <xdr:to>
      <xdr:col>1</xdr:col>
      <xdr:colOff>1724025</xdr:colOff>
      <xdr:row>172</xdr:row>
      <xdr:rowOff>1724025</xdr:rowOff>
    </xdr:to>
    <xdr:pic>
      <xdr:nvPicPr>
        <xdr:cNvPr id="2152" name="Picture 165">
          <a:extLst>
            <a:ext uri="{FF2B5EF4-FFF2-40B4-BE49-F238E27FC236}">
              <a16:creationId xmlns:a16="http://schemas.microsoft.com/office/drawing/2014/main" id="{10035397-12E7-48E7-9375-D29D7783E530}"/>
            </a:ext>
          </a:extLst>
        </xdr:cNvPr>
        <xdr:cNvPicPr>
          <a:picLocks noChangeAspect="1"/>
        </xdr:cNvPicPr>
      </xdr:nvPicPr>
      <xdr:blipFill>
        <a:blip xmlns:r="http://schemas.openxmlformats.org/officeDocument/2006/relationships" r:embed="rId52"/>
        <a:srcRect/>
        <a:stretch>
          <a:fillRect/>
        </a:stretch>
      </xdr:blipFill>
      <xdr:spPr>
        <a:xfrm>
          <a:off x="619125" y="142351125"/>
          <a:ext cx="876300" cy="857250"/>
        </a:xfrm>
        <a:prstGeom prst="rect">
          <a:avLst/>
        </a:prstGeom>
      </xdr:spPr>
    </xdr:pic>
    <xdr:clientData/>
  </xdr:twoCellAnchor>
  <xdr:twoCellAnchor>
    <xdr:from>
      <xdr:col>1</xdr:col>
      <xdr:colOff>9525</xdr:colOff>
      <xdr:row>173</xdr:row>
      <xdr:rowOff>9525</xdr:rowOff>
    </xdr:from>
    <xdr:to>
      <xdr:col>1</xdr:col>
      <xdr:colOff>1724025</xdr:colOff>
      <xdr:row>173</xdr:row>
      <xdr:rowOff>1724025</xdr:rowOff>
    </xdr:to>
    <xdr:pic>
      <xdr:nvPicPr>
        <xdr:cNvPr id="2153" name="Picture 166">
          <a:extLst>
            <a:ext uri="{FF2B5EF4-FFF2-40B4-BE49-F238E27FC236}">
              <a16:creationId xmlns:a16="http://schemas.microsoft.com/office/drawing/2014/main" id="{4DF08C15-DEB2-4114-9171-94E0F523D41E}"/>
            </a:ext>
          </a:extLst>
        </xdr:cNvPr>
        <xdr:cNvPicPr>
          <a:picLocks noChangeAspect="1"/>
        </xdr:cNvPicPr>
      </xdr:nvPicPr>
      <xdr:blipFill>
        <a:blip xmlns:r="http://schemas.openxmlformats.org/officeDocument/2006/relationships" r:embed="rId35"/>
        <a:srcRect/>
        <a:stretch>
          <a:fillRect/>
        </a:stretch>
      </xdr:blipFill>
      <xdr:spPr>
        <a:xfrm>
          <a:off x="619125" y="143217900"/>
          <a:ext cx="876300" cy="857250"/>
        </a:xfrm>
        <a:prstGeom prst="rect">
          <a:avLst/>
        </a:prstGeom>
      </xdr:spPr>
    </xdr:pic>
    <xdr:clientData/>
  </xdr:twoCellAnchor>
  <xdr:twoCellAnchor>
    <xdr:from>
      <xdr:col>1</xdr:col>
      <xdr:colOff>9525</xdr:colOff>
      <xdr:row>174</xdr:row>
      <xdr:rowOff>9525</xdr:rowOff>
    </xdr:from>
    <xdr:to>
      <xdr:col>1</xdr:col>
      <xdr:colOff>1724025</xdr:colOff>
      <xdr:row>174</xdr:row>
      <xdr:rowOff>1724025</xdr:rowOff>
    </xdr:to>
    <xdr:pic>
      <xdr:nvPicPr>
        <xdr:cNvPr id="2154" name="Picture 167">
          <a:extLst>
            <a:ext uri="{FF2B5EF4-FFF2-40B4-BE49-F238E27FC236}">
              <a16:creationId xmlns:a16="http://schemas.microsoft.com/office/drawing/2014/main" id="{40782D7B-D699-4B09-B8E1-C04550DEAE04}"/>
            </a:ext>
          </a:extLst>
        </xdr:cNvPr>
        <xdr:cNvPicPr>
          <a:picLocks noChangeAspect="1"/>
        </xdr:cNvPicPr>
      </xdr:nvPicPr>
      <xdr:blipFill>
        <a:blip xmlns:r="http://schemas.openxmlformats.org/officeDocument/2006/relationships" r:embed="rId37"/>
        <a:srcRect/>
        <a:stretch>
          <a:fillRect/>
        </a:stretch>
      </xdr:blipFill>
      <xdr:spPr>
        <a:xfrm>
          <a:off x="619125" y="144084675"/>
          <a:ext cx="876300" cy="857250"/>
        </a:xfrm>
        <a:prstGeom prst="rect">
          <a:avLst/>
        </a:prstGeom>
      </xdr:spPr>
    </xdr:pic>
    <xdr:clientData/>
  </xdr:twoCellAnchor>
  <xdr:twoCellAnchor>
    <xdr:from>
      <xdr:col>1</xdr:col>
      <xdr:colOff>9525</xdr:colOff>
      <xdr:row>175</xdr:row>
      <xdr:rowOff>9525</xdr:rowOff>
    </xdr:from>
    <xdr:to>
      <xdr:col>1</xdr:col>
      <xdr:colOff>1724025</xdr:colOff>
      <xdr:row>175</xdr:row>
      <xdr:rowOff>1724025</xdr:rowOff>
    </xdr:to>
    <xdr:pic>
      <xdr:nvPicPr>
        <xdr:cNvPr id="2155" name="Picture 168">
          <a:extLst>
            <a:ext uri="{FF2B5EF4-FFF2-40B4-BE49-F238E27FC236}">
              <a16:creationId xmlns:a16="http://schemas.microsoft.com/office/drawing/2014/main" id="{F971605A-8708-4647-9F1F-1D20C78302AA}"/>
            </a:ext>
          </a:extLst>
        </xdr:cNvPr>
        <xdr:cNvPicPr>
          <a:picLocks noChangeAspect="1"/>
        </xdr:cNvPicPr>
      </xdr:nvPicPr>
      <xdr:blipFill>
        <a:blip xmlns:r="http://schemas.openxmlformats.org/officeDocument/2006/relationships" r:embed="rId37"/>
        <a:srcRect/>
        <a:stretch>
          <a:fillRect/>
        </a:stretch>
      </xdr:blipFill>
      <xdr:spPr>
        <a:xfrm>
          <a:off x="619125" y="144951450"/>
          <a:ext cx="876300" cy="857250"/>
        </a:xfrm>
        <a:prstGeom prst="rect">
          <a:avLst/>
        </a:prstGeom>
      </xdr:spPr>
    </xdr:pic>
    <xdr:clientData/>
  </xdr:twoCellAnchor>
  <xdr:twoCellAnchor>
    <xdr:from>
      <xdr:col>1</xdr:col>
      <xdr:colOff>9525</xdr:colOff>
      <xdr:row>176</xdr:row>
      <xdr:rowOff>9525</xdr:rowOff>
    </xdr:from>
    <xdr:to>
      <xdr:col>1</xdr:col>
      <xdr:colOff>1724025</xdr:colOff>
      <xdr:row>176</xdr:row>
      <xdr:rowOff>1724025</xdr:rowOff>
    </xdr:to>
    <xdr:pic>
      <xdr:nvPicPr>
        <xdr:cNvPr id="2156" name="Picture 169">
          <a:extLst>
            <a:ext uri="{FF2B5EF4-FFF2-40B4-BE49-F238E27FC236}">
              <a16:creationId xmlns:a16="http://schemas.microsoft.com/office/drawing/2014/main" id="{58D8898B-04DB-4A57-A5A4-5ABECF4EA288}"/>
            </a:ext>
          </a:extLst>
        </xdr:cNvPr>
        <xdr:cNvPicPr>
          <a:picLocks noChangeAspect="1"/>
        </xdr:cNvPicPr>
      </xdr:nvPicPr>
      <xdr:blipFill>
        <a:blip xmlns:r="http://schemas.openxmlformats.org/officeDocument/2006/relationships" r:embed="rId37"/>
        <a:srcRect/>
        <a:stretch>
          <a:fillRect/>
        </a:stretch>
      </xdr:blipFill>
      <xdr:spPr>
        <a:xfrm>
          <a:off x="619125" y="145818225"/>
          <a:ext cx="876300" cy="857250"/>
        </a:xfrm>
        <a:prstGeom prst="rect">
          <a:avLst/>
        </a:prstGeom>
      </xdr:spPr>
    </xdr:pic>
    <xdr:clientData/>
  </xdr:twoCellAnchor>
  <xdr:twoCellAnchor>
    <xdr:from>
      <xdr:col>1</xdr:col>
      <xdr:colOff>9525</xdr:colOff>
      <xdr:row>177</xdr:row>
      <xdr:rowOff>9525</xdr:rowOff>
    </xdr:from>
    <xdr:to>
      <xdr:col>1</xdr:col>
      <xdr:colOff>1724025</xdr:colOff>
      <xdr:row>177</xdr:row>
      <xdr:rowOff>1724025</xdr:rowOff>
    </xdr:to>
    <xdr:pic>
      <xdr:nvPicPr>
        <xdr:cNvPr id="2157" name="Picture 170">
          <a:extLst>
            <a:ext uri="{FF2B5EF4-FFF2-40B4-BE49-F238E27FC236}">
              <a16:creationId xmlns:a16="http://schemas.microsoft.com/office/drawing/2014/main" id="{B94769C8-88FE-448B-9BAD-93CB36383520}"/>
            </a:ext>
          </a:extLst>
        </xdr:cNvPr>
        <xdr:cNvPicPr>
          <a:picLocks noChangeAspect="1"/>
        </xdr:cNvPicPr>
      </xdr:nvPicPr>
      <xdr:blipFill>
        <a:blip xmlns:r="http://schemas.openxmlformats.org/officeDocument/2006/relationships" r:embed="rId52"/>
        <a:srcRect/>
        <a:stretch>
          <a:fillRect/>
        </a:stretch>
      </xdr:blipFill>
      <xdr:spPr>
        <a:xfrm>
          <a:off x="619125" y="146685000"/>
          <a:ext cx="876300" cy="857250"/>
        </a:xfrm>
        <a:prstGeom prst="rect">
          <a:avLst/>
        </a:prstGeom>
      </xdr:spPr>
    </xdr:pic>
    <xdr:clientData/>
  </xdr:twoCellAnchor>
  <xdr:twoCellAnchor>
    <xdr:from>
      <xdr:col>1</xdr:col>
      <xdr:colOff>9525</xdr:colOff>
      <xdr:row>178</xdr:row>
      <xdr:rowOff>9525</xdr:rowOff>
    </xdr:from>
    <xdr:to>
      <xdr:col>1</xdr:col>
      <xdr:colOff>1724025</xdr:colOff>
      <xdr:row>178</xdr:row>
      <xdr:rowOff>1724025</xdr:rowOff>
    </xdr:to>
    <xdr:pic>
      <xdr:nvPicPr>
        <xdr:cNvPr id="2158" name="Picture 171">
          <a:extLst>
            <a:ext uri="{FF2B5EF4-FFF2-40B4-BE49-F238E27FC236}">
              <a16:creationId xmlns:a16="http://schemas.microsoft.com/office/drawing/2014/main" id="{9FC3A38B-45AB-4986-9747-2C71AA67CD22}"/>
            </a:ext>
          </a:extLst>
        </xdr:cNvPr>
        <xdr:cNvPicPr>
          <a:picLocks noChangeAspect="1"/>
        </xdr:cNvPicPr>
      </xdr:nvPicPr>
      <xdr:blipFill>
        <a:blip xmlns:r="http://schemas.openxmlformats.org/officeDocument/2006/relationships" r:embed="rId35"/>
        <a:srcRect/>
        <a:stretch>
          <a:fillRect/>
        </a:stretch>
      </xdr:blipFill>
      <xdr:spPr>
        <a:xfrm>
          <a:off x="619125" y="147551775"/>
          <a:ext cx="876300" cy="857250"/>
        </a:xfrm>
        <a:prstGeom prst="rect">
          <a:avLst/>
        </a:prstGeom>
      </xdr:spPr>
    </xdr:pic>
    <xdr:clientData/>
  </xdr:twoCellAnchor>
  <xdr:twoCellAnchor>
    <xdr:from>
      <xdr:col>1</xdr:col>
      <xdr:colOff>9525</xdr:colOff>
      <xdr:row>179</xdr:row>
      <xdr:rowOff>9525</xdr:rowOff>
    </xdr:from>
    <xdr:to>
      <xdr:col>1</xdr:col>
      <xdr:colOff>1724025</xdr:colOff>
      <xdr:row>179</xdr:row>
      <xdr:rowOff>1724025</xdr:rowOff>
    </xdr:to>
    <xdr:pic>
      <xdr:nvPicPr>
        <xdr:cNvPr id="2159" name="Picture 172">
          <a:extLst>
            <a:ext uri="{FF2B5EF4-FFF2-40B4-BE49-F238E27FC236}">
              <a16:creationId xmlns:a16="http://schemas.microsoft.com/office/drawing/2014/main" id="{9E454F41-86C9-44F9-AA7E-25BCCEB41341}"/>
            </a:ext>
          </a:extLst>
        </xdr:cNvPr>
        <xdr:cNvPicPr>
          <a:picLocks noChangeAspect="1"/>
        </xdr:cNvPicPr>
      </xdr:nvPicPr>
      <xdr:blipFill>
        <a:blip xmlns:r="http://schemas.openxmlformats.org/officeDocument/2006/relationships" r:embed="rId78"/>
        <a:srcRect/>
        <a:stretch>
          <a:fillRect/>
        </a:stretch>
      </xdr:blipFill>
      <xdr:spPr>
        <a:xfrm>
          <a:off x="619125" y="148418550"/>
          <a:ext cx="876300" cy="857250"/>
        </a:xfrm>
        <a:prstGeom prst="rect">
          <a:avLst/>
        </a:prstGeom>
      </xdr:spPr>
    </xdr:pic>
    <xdr:clientData/>
  </xdr:twoCellAnchor>
  <xdr:twoCellAnchor>
    <xdr:from>
      <xdr:col>1</xdr:col>
      <xdr:colOff>9525</xdr:colOff>
      <xdr:row>180</xdr:row>
      <xdr:rowOff>9525</xdr:rowOff>
    </xdr:from>
    <xdr:to>
      <xdr:col>1</xdr:col>
      <xdr:colOff>1724025</xdr:colOff>
      <xdr:row>180</xdr:row>
      <xdr:rowOff>1724025</xdr:rowOff>
    </xdr:to>
    <xdr:pic>
      <xdr:nvPicPr>
        <xdr:cNvPr id="2160" name="Picture 173">
          <a:extLst>
            <a:ext uri="{FF2B5EF4-FFF2-40B4-BE49-F238E27FC236}">
              <a16:creationId xmlns:a16="http://schemas.microsoft.com/office/drawing/2014/main" id="{1D88E51C-4183-4ED7-ACE5-53052BEB21A9}"/>
            </a:ext>
          </a:extLst>
        </xdr:cNvPr>
        <xdr:cNvPicPr>
          <a:picLocks noChangeAspect="1"/>
        </xdr:cNvPicPr>
      </xdr:nvPicPr>
      <xdr:blipFill>
        <a:blip xmlns:r="http://schemas.openxmlformats.org/officeDocument/2006/relationships" r:embed="rId37"/>
        <a:srcRect/>
        <a:stretch>
          <a:fillRect/>
        </a:stretch>
      </xdr:blipFill>
      <xdr:spPr>
        <a:xfrm>
          <a:off x="619125" y="149285325"/>
          <a:ext cx="876300" cy="857250"/>
        </a:xfrm>
        <a:prstGeom prst="rect">
          <a:avLst/>
        </a:prstGeom>
      </xdr:spPr>
    </xdr:pic>
    <xdr:clientData/>
  </xdr:twoCellAnchor>
  <xdr:twoCellAnchor>
    <xdr:from>
      <xdr:col>1</xdr:col>
      <xdr:colOff>9525</xdr:colOff>
      <xdr:row>181</xdr:row>
      <xdr:rowOff>9525</xdr:rowOff>
    </xdr:from>
    <xdr:to>
      <xdr:col>1</xdr:col>
      <xdr:colOff>1724025</xdr:colOff>
      <xdr:row>181</xdr:row>
      <xdr:rowOff>1724025</xdr:rowOff>
    </xdr:to>
    <xdr:pic>
      <xdr:nvPicPr>
        <xdr:cNvPr id="2161" name="Picture 174">
          <a:extLst>
            <a:ext uri="{FF2B5EF4-FFF2-40B4-BE49-F238E27FC236}">
              <a16:creationId xmlns:a16="http://schemas.microsoft.com/office/drawing/2014/main" id="{EAAEF99E-76E6-4043-B094-4D8B3663ABF4}"/>
            </a:ext>
          </a:extLst>
        </xdr:cNvPr>
        <xdr:cNvPicPr>
          <a:picLocks noChangeAspect="1"/>
        </xdr:cNvPicPr>
      </xdr:nvPicPr>
      <xdr:blipFill>
        <a:blip xmlns:r="http://schemas.openxmlformats.org/officeDocument/2006/relationships" r:embed="rId52"/>
        <a:srcRect/>
        <a:stretch>
          <a:fillRect/>
        </a:stretch>
      </xdr:blipFill>
      <xdr:spPr>
        <a:xfrm>
          <a:off x="619125" y="150152100"/>
          <a:ext cx="876300" cy="857250"/>
        </a:xfrm>
        <a:prstGeom prst="rect">
          <a:avLst/>
        </a:prstGeom>
      </xdr:spPr>
    </xdr:pic>
    <xdr:clientData/>
  </xdr:twoCellAnchor>
  <xdr:twoCellAnchor>
    <xdr:from>
      <xdr:col>1</xdr:col>
      <xdr:colOff>9525</xdr:colOff>
      <xdr:row>182</xdr:row>
      <xdr:rowOff>9525</xdr:rowOff>
    </xdr:from>
    <xdr:to>
      <xdr:col>1</xdr:col>
      <xdr:colOff>1724025</xdr:colOff>
      <xdr:row>182</xdr:row>
      <xdr:rowOff>1724025</xdr:rowOff>
    </xdr:to>
    <xdr:pic>
      <xdr:nvPicPr>
        <xdr:cNvPr id="2162" name="Picture 175">
          <a:extLst>
            <a:ext uri="{FF2B5EF4-FFF2-40B4-BE49-F238E27FC236}">
              <a16:creationId xmlns:a16="http://schemas.microsoft.com/office/drawing/2014/main" id="{315908CA-4AA4-4F12-8D24-0CD6B60DE957}"/>
            </a:ext>
          </a:extLst>
        </xdr:cNvPr>
        <xdr:cNvPicPr>
          <a:picLocks noChangeAspect="1"/>
        </xdr:cNvPicPr>
      </xdr:nvPicPr>
      <xdr:blipFill>
        <a:blip xmlns:r="http://schemas.openxmlformats.org/officeDocument/2006/relationships" r:embed="rId35"/>
        <a:srcRect/>
        <a:stretch>
          <a:fillRect/>
        </a:stretch>
      </xdr:blipFill>
      <xdr:spPr>
        <a:xfrm>
          <a:off x="619125" y="151018875"/>
          <a:ext cx="876300" cy="857250"/>
        </a:xfrm>
        <a:prstGeom prst="rect">
          <a:avLst/>
        </a:prstGeom>
      </xdr:spPr>
    </xdr:pic>
    <xdr:clientData/>
  </xdr:twoCellAnchor>
  <xdr:twoCellAnchor>
    <xdr:from>
      <xdr:col>1</xdr:col>
      <xdr:colOff>9525</xdr:colOff>
      <xdr:row>183</xdr:row>
      <xdr:rowOff>9525</xdr:rowOff>
    </xdr:from>
    <xdr:to>
      <xdr:col>1</xdr:col>
      <xdr:colOff>1724025</xdr:colOff>
      <xdr:row>183</xdr:row>
      <xdr:rowOff>1724025</xdr:rowOff>
    </xdr:to>
    <xdr:pic>
      <xdr:nvPicPr>
        <xdr:cNvPr id="2163" name="Picture 176">
          <a:extLst>
            <a:ext uri="{FF2B5EF4-FFF2-40B4-BE49-F238E27FC236}">
              <a16:creationId xmlns:a16="http://schemas.microsoft.com/office/drawing/2014/main" id="{689C2F6C-83D6-4A45-A3A4-8595D1165643}"/>
            </a:ext>
          </a:extLst>
        </xdr:cNvPr>
        <xdr:cNvPicPr>
          <a:picLocks noChangeAspect="1"/>
        </xdr:cNvPicPr>
      </xdr:nvPicPr>
      <xdr:blipFill>
        <a:blip xmlns:r="http://schemas.openxmlformats.org/officeDocument/2006/relationships" r:embed="rId130"/>
        <a:srcRect/>
        <a:stretch>
          <a:fillRect/>
        </a:stretch>
      </xdr:blipFill>
      <xdr:spPr>
        <a:xfrm>
          <a:off x="619125" y="151885650"/>
          <a:ext cx="876300" cy="857250"/>
        </a:xfrm>
        <a:prstGeom prst="rect">
          <a:avLst/>
        </a:prstGeom>
      </xdr:spPr>
    </xdr:pic>
    <xdr:clientData/>
  </xdr:twoCellAnchor>
  <xdr:twoCellAnchor>
    <xdr:from>
      <xdr:col>1</xdr:col>
      <xdr:colOff>9525</xdr:colOff>
      <xdr:row>184</xdr:row>
      <xdr:rowOff>9525</xdr:rowOff>
    </xdr:from>
    <xdr:to>
      <xdr:col>1</xdr:col>
      <xdr:colOff>1724025</xdr:colOff>
      <xdr:row>184</xdr:row>
      <xdr:rowOff>1724025</xdr:rowOff>
    </xdr:to>
    <xdr:pic>
      <xdr:nvPicPr>
        <xdr:cNvPr id="2164" name="Picture 177">
          <a:extLst>
            <a:ext uri="{FF2B5EF4-FFF2-40B4-BE49-F238E27FC236}">
              <a16:creationId xmlns:a16="http://schemas.microsoft.com/office/drawing/2014/main" id="{49848E55-F7A0-4F05-B6D5-6C903C2E5ABF}"/>
            </a:ext>
          </a:extLst>
        </xdr:cNvPr>
        <xdr:cNvPicPr>
          <a:picLocks noChangeAspect="1"/>
        </xdr:cNvPicPr>
      </xdr:nvPicPr>
      <xdr:blipFill>
        <a:blip xmlns:r="http://schemas.openxmlformats.org/officeDocument/2006/relationships" r:embed="rId130"/>
        <a:srcRect/>
        <a:stretch>
          <a:fillRect/>
        </a:stretch>
      </xdr:blipFill>
      <xdr:spPr>
        <a:xfrm>
          <a:off x="619125" y="152752425"/>
          <a:ext cx="876300" cy="857250"/>
        </a:xfrm>
        <a:prstGeom prst="rect">
          <a:avLst/>
        </a:prstGeom>
      </xdr:spPr>
    </xdr:pic>
    <xdr:clientData/>
  </xdr:twoCellAnchor>
  <xdr:twoCellAnchor>
    <xdr:from>
      <xdr:col>1</xdr:col>
      <xdr:colOff>9525</xdr:colOff>
      <xdr:row>185</xdr:row>
      <xdr:rowOff>9525</xdr:rowOff>
    </xdr:from>
    <xdr:to>
      <xdr:col>1</xdr:col>
      <xdr:colOff>1724025</xdr:colOff>
      <xdr:row>185</xdr:row>
      <xdr:rowOff>1724025</xdr:rowOff>
    </xdr:to>
    <xdr:pic>
      <xdr:nvPicPr>
        <xdr:cNvPr id="2165" name="Picture 178">
          <a:extLst>
            <a:ext uri="{FF2B5EF4-FFF2-40B4-BE49-F238E27FC236}">
              <a16:creationId xmlns:a16="http://schemas.microsoft.com/office/drawing/2014/main" id="{9FF044FE-A1D9-4C4C-BA88-7306A25FE7DF}"/>
            </a:ext>
          </a:extLst>
        </xdr:cNvPr>
        <xdr:cNvPicPr>
          <a:picLocks noChangeAspect="1"/>
        </xdr:cNvPicPr>
      </xdr:nvPicPr>
      <xdr:blipFill>
        <a:blip xmlns:r="http://schemas.openxmlformats.org/officeDocument/2006/relationships" r:embed="rId130"/>
        <a:srcRect/>
        <a:stretch>
          <a:fillRect/>
        </a:stretch>
      </xdr:blipFill>
      <xdr:spPr>
        <a:xfrm>
          <a:off x="619125" y="153619200"/>
          <a:ext cx="876300" cy="857250"/>
        </a:xfrm>
        <a:prstGeom prst="rect">
          <a:avLst/>
        </a:prstGeom>
      </xdr:spPr>
    </xdr:pic>
    <xdr:clientData/>
  </xdr:twoCellAnchor>
  <xdr:twoCellAnchor>
    <xdr:from>
      <xdr:col>1</xdr:col>
      <xdr:colOff>9525</xdr:colOff>
      <xdr:row>186</xdr:row>
      <xdr:rowOff>9525</xdr:rowOff>
    </xdr:from>
    <xdr:to>
      <xdr:col>1</xdr:col>
      <xdr:colOff>1724025</xdr:colOff>
      <xdr:row>186</xdr:row>
      <xdr:rowOff>1724025</xdr:rowOff>
    </xdr:to>
    <xdr:pic>
      <xdr:nvPicPr>
        <xdr:cNvPr id="2166" name="Picture 179">
          <a:extLst>
            <a:ext uri="{FF2B5EF4-FFF2-40B4-BE49-F238E27FC236}">
              <a16:creationId xmlns:a16="http://schemas.microsoft.com/office/drawing/2014/main" id="{BD90943C-0944-4F3C-8DCD-2D211DEDFE9C}"/>
            </a:ext>
          </a:extLst>
        </xdr:cNvPr>
        <xdr:cNvPicPr>
          <a:picLocks noChangeAspect="1"/>
        </xdr:cNvPicPr>
      </xdr:nvPicPr>
      <xdr:blipFill>
        <a:blip xmlns:r="http://schemas.openxmlformats.org/officeDocument/2006/relationships" r:embed="rId35"/>
        <a:srcRect/>
        <a:stretch>
          <a:fillRect/>
        </a:stretch>
      </xdr:blipFill>
      <xdr:spPr>
        <a:xfrm>
          <a:off x="619125" y="154485975"/>
          <a:ext cx="876300" cy="857250"/>
        </a:xfrm>
        <a:prstGeom prst="rect">
          <a:avLst/>
        </a:prstGeom>
      </xdr:spPr>
    </xdr:pic>
    <xdr:clientData/>
  </xdr:twoCellAnchor>
  <xdr:twoCellAnchor>
    <xdr:from>
      <xdr:col>1</xdr:col>
      <xdr:colOff>9525</xdr:colOff>
      <xdr:row>187</xdr:row>
      <xdr:rowOff>9525</xdr:rowOff>
    </xdr:from>
    <xdr:to>
      <xdr:col>1</xdr:col>
      <xdr:colOff>1724025</xdr:colOff>
      <xdr:row>187</xdr:row>
      <xdr:rowOff>1724025</xdr:rowOff>
    </xdr:to>
    <xdr:pic>
      <xdr:nvPicPr>
        <xdr:cNvPr id="2167" name="Picture 180">
          <a:extLst>
            <a:ext uri="{FF2B5EF4-FFF2-40B4-BE49-F238E27FC236}">
              <a16:creationId xmlns:a16="http://schemas.microsoft.com/office/drawing/2014/main" id="{C4E3D84B-034D-4D09-BF52-1442E1840140}"/>
            </a:ext>
          </a:extLst>
        </xdr:cNvPr>
        <xdr:cNvPicPr>
          <a:picLocks noChangeAspect="1"/>
        </xdr:cNvPicPr>
      </xdr:nvPicPr>
      <xdr:blipFill>
        <a:blip xmlns:r="http://schemas.openxmlformats.org/officeDocument/2006/relationships" r:embed="rId36"/>
        <a:srcRect/>
        <a:stretch>
          <a:fillRect/>
        </a:stretch>
      </xdr:blipFill>
      <xdr:spPr>
        <a:xfrm>
          <a:off x="619125" y="155352750"/>
          <a:ext cx="876300" cy="857250"/>
        </a:xfrm>
        <a:prstGeom prst="rect">
          <a:avLst/>
        </a:prstGeom>
      </xdr:spPr>
    </xdr:pic>
    <xdr:clientData/>
  </xdr:twoCellAnchor>
  <xdr:twoCellAnchor>
    <xdr:from>
      <xdr:col>1</xdr:col>
      <xdr:colOff>9525</xdr:colOff>
      <xdr:row>188</xdr:row>
      <xdr:rowOff>9525</xdr:rowOff>
    </xdr:from>
    <xdr:to>
      <xdr:col>1</xdr:col>
      <xdr:colOff>1724025</xdr:colOff>
      <xdr:row>188</xdr:row>
      <xdr:rowOff>1724025</xdr:rowOff>
    </xdr:to>
    <xdr:pic>
      <xdr:nvPicPr>
        <xdr:cNvPr id="2168" name="Picture 181">
          <a:extLst>
            <a:ext uri="{FF2B5EF4-FFF2-40B4-BE49-F238E27FC236}">
              <a16:creationId xmlns:a16="http://schemas.microsoft.com/office/drawing/2014/main" id="{8CBCEBCE-9AD5-4097-A403-EC26DEAD4E2A}"/>
            </a:ext>
          </a:extLst>
        </xdr:cNvPr>
        <xdr:cNvPicPr>
          <a:picLocks noChangeAspect="1"/>
        </xdr:cNvPicPr>
      </xdr:nvPicPr>
      <xdr:blipFill>
        <a:blip xmlns:r="http://schemas.openxmlformats.org/officeDocument/2006/relationships" r:embed="rId131"/>
        <a:srcRect/>
        <a:stretch>
          <a:fillRect/>
        </a:stretch>
      </xdr:blipFill>
      <xdr:spPr>
        <a:xfrm>
          <a:off x="619125" y="156219525"/>
          <a:ext cx="876300" cy="857250"/>
        </a:xfrm>
        <a:prstGeom prst="rect">
          <a:avLst/>
        </a:prstGeom>
      </xdr:spPr>
    </xdr:pic>
    <xdr:clientData/>
  </xdr:twoCellAnchor>
  <xdr:twoCellAnchor>
    <xdr:from>
      <xdr:col>1</xdr:col>
      <xdr:colOff>9525</xdr:colOff>
      <xdr:row>189</xdr:row>
      <xdr:rowOff>9525</xdr:rowOff>
    </xdr:from>
    <xdr:to>
      <xdr:col>1</xdr:col>
      <xdr:colOff>1724025</xdr:colOff>
      <xdr:row>189</xdr:row>
      <xdr:rowOff>1724025</xdr:rowOff>
    </xdr:to>
    <xdr:pic>
      <xdr:nvPicPr>
        <xdr:cNvPr id="2169" name="Picture 182">
          <a:extLst>
            <a:ext uri="{FF2B5EF4-FFF2-40B4-BE49-F238E27FC236}">
              <a16:creationId xmlns:a16="http://schemas.microsoft.com/office/drawing/2014/main" id="{E1C09474-0E41-4214-8A71-FAF087E9989B}"/>
            </a:ext>
          </a:extLst>
        </xdr:cNvPr>
        <xdr:cNvPicPr>
          <a:picLocks noChangeAspect="1"/>
        </xdr:cNvPicPr>
      </xdr:nvPicPr>
      <xdr:blipFill>
        <a:blip xmlns:r="http://schemas.openxmlformats.org/officeDocument/2006/relationships" r:embed="rId36"/>
        <a:srcRect/>
        <a:stretch>
          <a:fillRect/>
        </a:stretch>
      </xdr:blipFill>
      <xdr:spPr>
        <a:xfrm>
          <a:off x="619125" y="157086300"/>
          <a:ext cx="876300" cy="857250"/>
        </a:xfrm>
        <a:prstGeom prst="rect">
          <a:avLst/>
        </a:prstGeom>
      </xdr:spPr>
    </xdr:pic>
    <xdr:clientData/>
  </xdr:twoCellAnchor>
  <xdr:twoCellAnchor>
    <xdr:from>
      <xdr:col>1</xdr:col>
      <xdr:colOff>9525</xdr:colOff>
      <xdr:row>190</xdr:row>
      <xdr:rowOff>9525</xdr:rowOff>
    </xdr:from>
    <xdr:to>
      <xdr:col>1</xdr:col>
      <xdr:colOff>1724025</xdr:colOff>
      <xdr:row>190</xdr:row>
      <xdr:rowOff>1724025</xdr:rowOff>
    </xdr:to>
    <xdr:pic>
      <xdr:nvPicPr>
        <xdr:cNvPr id="2170" name="Picture 183">
          <a:extLst>
            <a:ext uri="{FF2B5EF4-FFF2-40B4-BE49-F238E27FC236}">
              <a16:creationId xmlns:a16="http://schemas.microsoft.com/office/drawing/2014/main" id="{B8F4828E-DEC4-4787-BA46-B96A7E4EB01E}"/>
            </a:ext>
          </a:extLst>
        </xdr:cNvPr>
        <xdr:cNvPicPr>
          <a:picLocks noChangeAspect="1"/>
        </xdr:cNvPicPr>
      </xdr:nvPicPr>
      <xdr:blipFill>
        <a:blip xmlns:r="http://schemas.openxmlformats.org/officeDocument/2006/relationships" r:embed="rId78"/>
        <a:srcRect/>
        <a:stretch>
          <a:fillRect/>
        </a:stretch>
      </xdr:blipFill>
      <xdr:spPr>
        <a:xfrm>
          <a:off x="619125" y="157953075"/>
          <a:ext cx="876300" cy="857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79375</xdr:colOff>
      <xdr:row>1</xdr:row>
      <xdr:rowOff>0</xdr:rowOff>
    </xdr:from>
    <xdr:to>
      <xdr:col>2</xdr:col>
      <xdr:colOff>2330448</xdr:colOff>
      <xdr:row>5</xdr:row>
      <xdr:rowOff>37060</xdr:rowOff>
    </xdr:to>
    <xdr:pic>
      <xdr:nvPicPr>
        <xdr:cNvPr id="4" name="Immagin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8500" y="190500"/>
          <a:ext cx="3124198" cy="799060"/>
        </a:xfrm>
        <a:prstGeom prst="rect">
          <a:avLst/>
        </a:prstGeom>
      </xdr:spPr>
    </xdr:pic>
    <xdr:clientData/>
  </xdr:twoCellAnchor>
  <xdr:twoCellAnchor>
    <xdr:from>
      <xdr:col>1</xdr:col>
      <xdr:colOff>9525</xdr:colOff>
      <xdr:row>8</xdr:row>
      <xdr:rowOff>9525</xdr:rowOff>
    </xdr:from>
    <xdr:to>
      <xdr:col>1</xdr:col>
      <xdr:colOff>1724025</xdr:colOff>
      <xdr:row>8</xdr:row>
      <xdr:rowOff>1724025</xdr:rowOff>
    </xdr:to>
    <xdr:pic>
      <xdr:nvPicPr>
        <xdr:cNvPr id="2" name="Picture 1">
          <a:extLst>
            <a:ext uri="{FF2B5EF4-FFF2-40B4-BE49-F238E27FC236}">
              <a16:creationId xmlns:a16="http://schemas.microsoft.com/office/drawing/2014/main" id="{B4342758-9594-452B-B3FA-F34E10DDEE28}"/>
            </a:ext>
          </a:extLst>
        </xdr:cNvPr>
        <xdr:cNvPicPr>
          <a:picLocks noChangeAspect="1"/>
        </xdr:cNvPicPr>
      </xdr:nvPicPr>
      <xdr:blipFill>
        <a:blip xmlns:r="http://schemas.openxmlformats.org/officeDocument/2006/relationships" r:embed="rId2"/>
        <a:srcRect/>
        <a:stretch>
          <a:fillRect/>
        </a:stretch>
      </xdr:blipFill>
      <xdr:spPr>
        <a:xfrm>
          <a:off x="619125" y="200025"/>
          <a:ext cx="876300" cy="857250"/>
        </a:xfrm>
        <a:prstGeom prst="rect">
          <a:avLst/>
        </a:prstGeom>
      </xdr:spPr>
    </xdr:pic>
    <xdr:clientData/>
  </xdr:twoCellAnchor>
  <xdr:twoCellAnchor>
    <xdr:from>
      <xdr:col>1</xdr:col>
      <xdr:colOff>9525</xdr:colOff>
      <xdr:row>9</xdr:row>
      <xdr:rowOff>9525</xdr:rowOff>
    </xdr:from>
    <xdr:to>
      <xdr:col>1</xdr:col>
      <xdr:colOff>1724025</xdr:colOff>
      <xdr:row>9</xdr:row>
      <xdr:rowOff>1724025</xdr:rowOff>
    </xdr:to>
    <xdr:pic>
      <xdr:nvPicPr>
        <xdr:cNvPr id="3" name="Picture 2">
          <a:extLst>
            <a:ext uri="{FF2B5EF4-FFF2-40B4-BE49-F238E27FC236}">
              <a16:creationId xmlns:a16="http://schemas.microsoft.com/office/drawing/2014/main" id="{B748E5B4-7AE3-4E0C-A67B-F87AFFFEC960}"/>
            </a:ext>
          </a:extLst>
        </xdr:cNvPr>
        <xdr:cNvPicPr>
          <a:picLocks noChangeAspect="1"/>
        </xdr:cNvPicPr>
      </xdr:nvPicPr>
      <xdr:blipFill>
        <a:blip xmlns:r="http://schemas.openxmlformats.org/officeDocument/2006/relationships" r:embed="rId3"/>
        <a:srcRect/>
        <a:stretch>
          <a:fillRect/>
        </a:stretch>
      </xdr:blipFill>
      <xdr:spPr>
        <a:xfrm>
          <a:off x="619125" y="1066800"/>
          <a:ext cx="876300" cy="857250"/>
        </a:xfrm>
        <a:prstGeom prst="rect">
          <a:avLst/>
        </a:prstGeom>
      </xdr:spPr>
    </xdr:pic>
    <xdr:clientData/>
  </xdr:twoCellAnchor>
  <xdr:twoCellAnchor>
    <xdr:from>
      <xdr:col>1</xdr:col>
      <xdr:colOff>9525</xdr:colOff>
      <xdr:row>10</xdr:row>
      <xdr:rowOff>9525</xdr:rowOff>
    </xdr:from>
    <xdr:to>
      <xdr:col>1</xdr:col>
      <xdr:colOff>1724025</xdr:colOff>
      <xdr:row>10</xdr:row>
      <xdr:rowOff>1724025</xdr:rowOff>
    </xdr:to>
    <xdr:pic>
      <xdr:nvPicPr>
        <xdr:cNvPr id="5" name="Picture 3">
          <a:extLst>
            <a:ext uri="{FF2B5EF4-FFF2-40B4-BE49-F238E27FC236}">
              <a16:creationId xmlns:a16="http://schemas.microsoft.com/office/drawing/2014/main" id="{866B116A-1DD5-49DF-9C5D-69EE0C18B0B4}"/>
            </a:ext>
          </a:extLst>
        </xdr:cNvPr>
        <xdr:cNvPicPr>
          <a:picLocks noChangeAspect="1"/>
        </xdr:cNvPicPr>
      </xdr:nvPicPr>
      <xdr:blipFill>
        <a:blip xmlns:r="http://schemas.openxmlformats.org/officeDocument/2006/relationships" r:embed="rId4"/>
        <a:srcRect/>
        <a:stretch>
          <a:fillRect/>
        </a:stretch>
      </xdr:blipFill>
      <xdr:spPr>
        <a:xfrm>
          <a:off x="619125" y="1933575"/>
          <a:ext cx="876300" cy="857250"/>
        </a:xfrm>
        <a:prstGeom prst="rect">
          <a:avLst/>
        </a:prstGeom>
      </xdr:spPr>
    </xdr:pic>
    <xdr:clientData/>
  </xdr:twoCellAnchor>
  <xdr:twoCellAnchor>
    <xdr:from>
      <xdr:col>1</xdr:col>
      <xdr:colOff>9525</xdr:colOff>
      <xdr:row>11</xdr:row>
      <xdr:rowOff>9525</xdr:rowOff>
    </xdr:from>
    <xdr:to>
      <xdr:col>1</xdr:col>
      <xdr:colOff>1724025</xdr:colOff>
      <xdr:row>11</xdr:row>
      <xdr:rowOff>1724025</xdr:rowOff>
    </xdr:to>
    <xdr:pic>
      <xdr:nvPicPr>
        <xdr:cNvPr id="6" name="Picture 4">
          <a:extLst>
            <a:ext uri="{FF2B5EF4-FFF2-40B4-BE49-F238E27FC236}">
              <a16:creationId xmlns:a16="http://schemas.microsoft.com/office/drawing/2014/main" id="{EF69DB6F-3B16-4239-895F-733ADE5CBE76}"/>
            </a:ext>
          </a:extLst>
        </xdr:cNvPr>
        <xdr:cNvPicPr>
          <a:picLocks noChangeAspect="1"/>
        </xdr:cNvPicPr>
      </xdr:nvPicPr>
      <xdr:blipFill>
        <a:blip xmlns:r="http://schemas.openxmlformats.org/officeDocument/2006/relationships" r:embed="rId5"/>
        <a:srcRect/>
        <a:stretch>
          <a:fillRect/>
        </a:stretch>
      </xdr:blipFill>
      <xdr:spPr>
        <a:xfrm>
          <a:off x="619125" y="2800350"/>
          <a:ext cx="876300" cy="857250"/>
        </a:xfrm>
        <a:prstGeom prst="rect">
          <a:avLst/>
        </a:prstGeom>
      </xdr:spPr>
    </xdr:pic>
    <xdr:clientData/>
  </xdr:twoCellAnchor>
  <xdr:twoCellAnchor>
    <xdr:from>
      <xdr:col>1</xdr:col>
      <xdr:colOff>9525</xdr:colOff>
      <xdr:row>12</xdr:row>
      <xdr:rowOff>9525</xdr:rowOff>
    </xdr:from>
    <xdr:to>
      <xdr:col>1</xdr:col>
      <xdr:colOff>1724025</xdr:colOff>
      <xdr:row>12</xdr:row>
      <xdr:rowOff>1724025</xdr:rowOff>
    </xdr:to>
    <xdr:pic>
      <xdr:nvPicPr>
        <xdr:cNvPr id="7" name="Picture 5">
          <a:extLst>
            <a:ext uri="{FF2B5EF4-FFF2-40B4-BE49-F238E27FC236}">
              <a16:creationId xmlns:a16="http://schemas.microsoft.com/office/drawing/2014/main" id="{79851609-610F-4CA2-BDC0-8477AEEE20DA}"/>
            </a:ext>
          </a:extLst>
        </xdr:cNvPr>
        <xdr:cNvPicPr>
          <a:picLocks noChangeAspect="1"/>
        </xdr:cNvPicPr>
      </xdr:nvPicPr>
      <xdr:blipFill>
        <a:blip xmlns:r="http://schemas.openxmlformats.org/officeDocument/2006/relationships" r:embed="rId6"/>
        <a:srcRect/>
        <a:stretch>
          <a:fillRect/>
        </a:stretch>
      </xdr:blipFill>
      <xdr:spPr>
        <a:xfrm>
          <a:off x="619125" y="3667125"/>
          <a:ext cx="876300" cy="857250"/>
        </a:xfrm>
        <a:prstGeom prst="rect">
          <a:avLst/>
        </a:prstGeom>
      </xdr:spPr>
    </xdr:pic>
    <xdr:clientData/>
  </xdr:twoCellAnchor>
  <xdr:twoCellAnchor>
    <xdr:from>
      <xdr:col>1</xdr:col>
      <xdr:colOff>9525</xdr:colOff>
      <xdr:row>13</xdr:row>
      <xdr:rowOff>9525</xdr:rowOff>
    </xdr:from>
    <xdr:to>
      <xdr:col>1</xdr:col>
      <xdr:colOff>1724025</xdr:colOff>
      <xdr:row>13</xdr:row>
      <xdr:rowOff>1724025</xdr:rowOff>
    </xdr:to>
    <xdr:pic>
      <xdr:nvPicPr>
        <xdr:cNvPr id="8" name="Picture 6">
          <a:extLst>
            <a:ext uri="{FF2B5EF4-FFF2-40B4-BE49-F238E27FC236}">
              <a16:creationId xmlns:a16="http://schemas.microsoft.com/office/drawing/2014/main" id="{456530EA-8E53-4D1A-AAFD-B65C4B1B157D}"/>
            </a:ext>
          </a:extLst>
        </xdr:cNvPr>
        <xdr:cNvPicPr>
          <a:picLocks noChangeAspect="1"/>
        </xdr:cNvPicPr>
      </xdr:nvPicPr>
      <xdr:blipFill>
        <a:blip xmlns:r="http://schemas.openxmlformats.org/officeDocument/2006/relationships" r:embed="rId7"/>
        <a:srcRect/>
        <a:stretch>
          <a:fillRect/>
        </a:stretch>
      </xdr:blipFill>
      <xdr:spPr>
        <a:xfrm>
          <a:off x="619125" y="4533900"/>
          <a:ext cx="876300" cy="857250"/>
        </a:xfrm>
        <a:prstGeom prst="rect">
          <a:avLst/>
        </a:prstGeom>
      </xdr:spPr>
    </xdr:pic>
    <xdr:clientData/>
  </xdr:twoCellAnchor>
  <xdr:twoCellAnchor>
    <xdr:from>
      <xdr:col>1</xdr:col>
      <xdr:colOff>9525</xdr:colOff>
      <xdr:row>14</xdr:row>
      <xdr:rowOff>9525</xdr:rowOff>
    </xdr:from>
    <xdr:to>
      <xdr:col>1</xdr:col>
      <xdr:colOff>1724025</xdr:colOff>
      <xdr:row>14</xdr:row>
      <xdr:rowOff>1724025</xdr:rowOff>
    </xdr:to>
    <xdr:pic>
      <xdr:nvPicPr>
        <xdr:cNvPr id="9" name="Picture 7">
          <a:extLst>
            <a:ext uri="{FF2B5EF4-FFF2-40B4-BE49-F238E27FC236}">
              <a16:creationId xmlns:a16="http://schemas.microsoft.com/office/drawing/2014/main" id="{F2F6F7FB-6ACF-41FA-99C5-C8A3E791F224}"/>
            </a:ext>
          </a:extLst>
        </xdr:cNvPr>
        <xdr:cNvPicPr>
          <a:picLocks noChangeAspect="1"/>
        </xdr:cNvPicPr>
      </xdr:nvPicPr>
      <xdr:blipFill>
        <a:blip xmlns:r="http://schemas.openxmlformats.org/officeDocument/2006/relationships" r:embed="rId8"/>
        <a:srcRect/>
        <a:stretch>
          <a:fillRect/>
        </a:stretch>
      </xdr:blipFill>
      <xdr:spPr>
        <a:xfrm>
          <a:off x="619125" y="5400675"/>
          <a:ext cx="876300" cy="857250"/>
        </a:xfrm>
        <a:prstGeom prst="rect">
          <a:avLst/>
        </a:prstGeom>
      </xdr:spPr>
    </xdr:pic>
    <xdr:clientData/>
  </xdr:twoCellAnchor>
  <xdr:twoCellAnchor>
    <xdr:from>
      <xdr:col>1</xdr:col>
      <xdr:colOff>9525</xdr:colOff>
      <xdr:row>15</xdr:row>
      <xdr:rowOff>9525</xdr:rowOff>
    </xdr:from>
    <xdr:to>
      <xdr:col>1</xdr:col>
      <xdr:colOff>1724025</xdr:colOff>
      <xdr:row>15</xdr:row>
      <xdr:rowOff>1724025</xdr:rowOff>
    </xdr:to>
    <xdr:pic>
      <xdr:nvPicPr>
        <xdr:cNvPr id="10" name="Picture 8">
          <a:extLst>
            <a:ext uri="{FF2B5EF4-FFF2-40B4-BE49-F238E27FC236}">
              <a16:creationId xmlns:a16="http://schemas.microsoft.com/office/drawing/2014/main" id="{6237AEC2-9766-46E0-96B8-6AA5EF7E363B}"/>
            </a:ext>
          </a:extLst>
        </xdr:cNvPr>
        <xdr:cNvPicPr>
          <a:picLocks noChangeAspect="1"/>
        </xdr:cNvPicPr>
      </xdr:nvPicPr>
      <xdr:blipFill>
        <a:blip xmlns:r="http://schemas.openxmlformats.org/officeDocument/2006/relationships" r:embed="rId9"/>
        <a:srcRect/>
        <a:stretch>
          <a:fillRect/>
        </a:stretch>
      </xdr:blipFill>
      <xdr:spPr>
        <a:xfrm>
          <a:off x="619125" y="6267450"/>
          <a:ext cx="876300" cy="857250"/>
        </a:xfrm>
        <a:prstGeom prst="rect">
          <a:avLst/>
        </a:prstGeom>
      </xdr:spPr>
    </xdr:pic>
    <xdr:clientData/>
  </xdr:twoCellAnchor>
  <xdr:twoCellAnchor>
    <xdr:from>
      <xdr:col>1</xdr:col>
      <xdr:colOff>9525</xdr:colOff>
      <xdr:row>16</xdr:row>
      <xdr:rowOff>9525</xdr:rowOff>
    </xdr:from>
    <xdr:to>
      <xdr:col>1</xdr:col>
      <xdr:colOff>1724025</xdr:colOff>
      <xdr:row>16</xdr:row>
      <xdr:rowOff>1724025</xdr:rowOff>
    </xdr:to>
    <xdr:pic>
      <xdr:nvPicPr>
        <xdr:cNvPr id="11" name="Picture 9">
          <a:extLst>
            <a:ext uri="{FF2B5EF4-FFF2-40B4-BE49-F238E27FC236}">
              <a16:creationId xmlns:a16="http://schemas.microsoft.com/office/drawing/2014/main" id="{F292E226-2042-443F-9F2E-E90DEC1C4414}"/>
            </a:ext>
          </a:extLst>
        </xdr:cNvPr>
        <xdr:cNvPicPr>
          <a:picLocks noChangeAspect="1"/>
        </xdr:cNvPicPr>
      </xdr:nvPicPr>
      <xdr:blipFill>
        <a:blip xmlns:r="http://schemas.openxmlformats.org/officeDocument/2006/relationships" r:embed="rId10"/>
        <a:srcRect/>
        <a:stretch>
          <a:fillRect/>
        </a:stretch>
      </xdr:blipFill>
      <xdr:spPr>
        <a:xfrm>
          <a:off x="619125" y="7134225"/>
          <a:ext cx="876300" cy="857250"/>
        </a:xfrm>
        <a:prstGeom prst="rect">
          <a:avLst/>
        </a:prstGeom>
      </xdr:spPr>
    </xdr:pic>
    <xdr:clientData/>
  </xdr:twoCellAnchor>
  <xdr:twoCellAnchor>
    <xdr:from>
      <xdr:col>1</xdr:col>
      <xdr:colOff>9525</xdr:colOff>
      <xdr:row>17</xdr:row>
      <xdr:rowOff>9525</xdr:rowOff>
    </xdr:from>
    <xdr:to>
      <xdr:col>1</xdr:col>
      <xdr:colOff>1724025</xdr:colOff>
      <xdr:row>17</xdr:row>
      <xdr:rowOff>1724025</xdr:rowOff>
    </xdr:to>
    <xdr:pic>
      <xdr:nvPicPr>
        <xdr:cNvPr id="12" name="Picture 10">
          <a:extLst>
            <a:ext uri="{FF2B5EF4-FFF2-40B4-BE49-F238E27FC236}">
              <a16:creationId xmlns:a16="http://schemas.microsoft.com/office/drawing/2014/main" id="{89D84A20-28A8-4B4B-97EA-3B9D330FCCAF}"/>
            </a:ext>
          </a:extLst>
        </xdr:cNvPr>
        <xdr:cNvPicPr>
          <a:picLocks noChangeAspect="1"/>
        </xdr:cNvPicPr>
      </xdr:nvPicPr>
      <xdr:blipFill>
        <a:blip xmlns:r="http://schemas.openxmlformats.org/officeDocument/2006/relationships" r:embed="rId11"/>
        <a:srcRect/>
        <a:stretch>
          <a:fillRect/>
        </a:stretch>
      </xdr:blipFill>
      <xdr:spPr>
        <a:xfrm>
          <a:off x="619125" y="8001000"/>
          <a:ext cx="876300" cy="857250"/>
        </a:xfrm>
        <a:prstGeom prst="rect">
          <a:avLst/>
        </a:prstGeom>
      </xdr:spPr>
    </xdr:pic>
    <xdr:clientData/>
  </xdr:twoCellAnchor>
  <xdr:twoCellAnchor>
    <xdr:from>
      <xdr:col>1</xdr:col>
      <xdr:colOff>9525</xdr:colOff>
      <xdr:row>18</xdr:row>
      <xdr:rowOff>9525</xdr:rowOff>
    </xdr:from>
    <xdr:to>
      <xdr:col>1</xdr:col>
      <xdr:colOff>1724025</xdr:colOff>
      <xdr:row>18</xdr:row>
      <xdr:rowOff>1724025</xdr:rowOff>
    </xdr:to>
    <xdr:pic>
      <xdr:nvPicPr>
        <xdr:cNvPr id="13" name="Picture 11">
          <a:extLst>
            <a:ext uri="{FF2B5EF4-FFF2-40B4-BE49-F238E27FC236}">
              <a16:creationId xmlns:a16="http://schemas.microsoft.com/office/drawing/2014/main" id="{6D1AE504-FC8A-4F53-A164-7A9FB17CADD4}"/>
            </a:ext>
          </a:extLst>
        </xdr:cNvPr>
        <xdr:cNvPicPr>
          <a:picLocks noChangeAspect="1"/>
        </xdr:cNvPicPr>
      </xdr:nvPicPr>
      <xdr:blipFill>
        <a:blip xmlns:r="http://schemas.openxmlformats.org/officeDocument/2006/relationships" r:embed="rId12"/>
        <a:srcRect/>
        <a:stretch>
          <a:fillRect/>
        </a:stretch>
      </xdr:blipFill>
      <xdr:spPr>
        <a:xfrm>
          <a:off x="619125" y="8867775"/>
          <a:ext cx="876300" cy="857250"/>
        </a:xfrm>
        <a:prstGeom prst="rect">
          <a:avLst/>
        </a:prstGeom>
      </xdr:spPr>
    </xdr:pic>
    <xdr:clientData/>
  </xdr:twoCellAnchor>
  <xdr:twoCellAnchor>
    <xdr:from>
      <xdr:col>1</xdr:col>
      <xdr:colOff>9525</xdr:colOff>
      <xdr:row>19</xdr:row>
      <xdr:rowOff>9525</xdr:rowOff>
    </xdr:from>
    <xdr:to>
      <xdr:col>1</xdr:col>
      <xdr:colOff>1724025</xdr:colOff>
      <xdr:row>19</xdr:row>
      <xdr:rowOff>1724025</xdr:rowOff>
    </xdr:to>
    <xdr:pic>
      <xdr:nvPicPr>
        <xdr:cNvPr id="14" name="Picture 12">
          <a:extLst>
            <a:ext uri="{FF2B5EF4-FFF2-40B4-BE49-F238E27FC236}">
              <a16:creationId xmlns:a16="http://schemas.microsoft.com/office/drawing/2014/main" id="{2E2D3BF8-4D42-46FA-BC34-C243C83CF3A6}"/>
            </a:ext>
          </a:extLst>
        </xdr:cNvPr>
        <xdr:cNvPicPr>
          <a:picLocks noChangeAspect="1"/>
        </xdr:cNvPicPr>
      </xdr:nvPicPr>
      <xdr:blipFill>
        <a:blip xmlns:r="http://schemas.openxmlformats.org/officeDocument/2006/relationships" r:embed="rId13"/>
        <a:srcRect/>
        <a:stretch>
          <a:fillRect/>
        </a:stretch>
      </xdr:blipFill>
      <xdr:spPr>
        <a:xfrm>
          <a:off x="619125" y="9734550"/>
          <a:ext cx="876300" cy="857250"/>
        </a:xfrm>
        <a:prstGeom prst="rect">
          <a:avLst/>
        </a:prstGeom>
      </xdr:spPr>
    </xdr:pic>
    <xdr:clientData/>
  </xdr:twoCellAnchor>
  <xdr:twoCellAnchor>
    <xdr:from>
      <xdr:col>1</xdr:col>
      <xdr:colOff>9525</xdr:colOff>
      <xdr:row>20</xdr:row>
      <xdr:rowOff>9525</xdr:rowOff>
    </xdr:from>
    <xdr:to>
      <xdr:col>1</xdr:col>
      <xdr:colOff>1724025</xdr:colOff>
      <xdr:row>20</xdr:row>
      <xdr:rowOff>1724025</xdr:rowOff>
    </xdr:to>
    <xdr:pic>
      <xdr:nvPicPr>
        <xdr:cNvPr id="15" name="Picture 13">
          <a:extLst>
            <a:ext uri="{FF2B5EF4-FFF2-40B4-BE49-F238E27FC236}">
              <a16:creationId xmlns:a16="http://schemas.microsoft.com/office/drawing/2014/main" id="{DAE9CE88-A87C-4B07-9C33-B49CC9E4B390}"/>
            </a:ext>
          </a:extLst>
        </xdr:cNvPr>
        <xdr:cNvPicPr>
          <a:picLocks noChangeAspect="1"/>
        </xdr:cNvPicPr>
      </xdr:nvPicPr>
      <xdr:blipFill>
        <a:blip xmlns:r="http://schemas.openxmlformats.org/officeDocument/2006/relationships" r:embed="rId14"/>
        <a:srcRect/>
        <a:stretch>
          <a:fillRect/>
        </a:stretch>
      </xdr:blipFill>
      <xdr:spPr>
        <a:xfrm>
          <a:off x="619125" y="10601325"/>
          <a:ext cx="876300" cy="857250"/>
        </a:xfrm>
        <a:prstGeom prst="rect">
          <a:avLst/>
        </a:prstGeom>
      </xdr:spPr>
    </xdr:pic>
    <xdr:clientData/>
  </xdr:twoCellAnchor>
  <xdr:twoCellAnchor>
    <xdr:from>
      <xdr:col>1</xdr:col>
      <xdr:colOff>9525</xdr:colOff>
      <xdr:row>21</xdr:row>
      <xdr:rowOff>9525</xdr:rowOff>
    </xdr:from>
    <xdr:to>
      <xdr:col>1</xdr:col>
      <xdr:colOff>1724025</xdr:colOff>
      <xdr:row>21</xdr:row>
      <xdr:rowOff>1724025</xdr:rowOff>
    </xdr:to>
    <xdr:pic>
      <xdr:nvPicPr>
        <xdr:cNvPr id="16" name="Picture 14">
          <a:extLst>
            <a:ext uri="{FF2B5EF4-FFF2-40B4-BE49-F238E27FC236}">
              <a16:creationId xmlns:a16="http://schemas.microsoft.com/office/drawing/2014/main" id="{634806F0-C926-4E3F-9863-BE83F8C8990E}"/>
            </a:ext>
          </a:extLst>
        </xdr:cNvPr>
        <xdr:cNvPicPr>
          <a:picLocks noChangeAspect="1"/>
        </xdr:cNvPicPr>
      </xdr:nvPicPr>
      <xdr:blipFill>
        <a:blip xmlns:r="http://schemas.openxmlformats.org/officeDocument/2006/relationships" r:embed="rId15"/>
        <a:srcRect/>
        <a:stretch>
          <a:fillRect/>
        </a:stretch>
      </xdr:blipFill>
      <xdr:spPr>
        <a:xfrm>
          <a:off x="619125" y="11468100"/>
          <a:ext cx="876300" cy="857250"/>
        </a:xfrm>
        <a:prstGeom prst="rect">
          <a:avLst/>
        </a:prstGeom>
      </xdr:spPr>
    </xdr:pic>
    <xdr:clientData/>
  </xdr:twoCellAnchor>
  <xdr:twoCellAnchor>
    <xdr:from>
      <xdr:col>1</xdr:col>
      <xdr:colOff>9525</xdr:colOff>
      <xdr:row>23</xdr:row>
      <xdr:rowOff>9525</xdr:rowOff>
    </xdr:from>
    <xdr:to>
      <xdr:col>1</xdr:col>
      <xdr:colOff>1724025</xdr:colOff>
      <xdr:row>23</xdr:row>
      <xdr:rowOff>1724025</xdr:rowOff>
    </xdr:to>
    <xdr:pic>
      <xdr:nvPicPr>
        <xdr:cNvPr id="17" name="Picture 15">
          <a:extLst>
            <a:ext uri="{FF2B5EF4-FFF2-40B4-BE49-F238E27FC236}">
              <a16:creationId xmlns:a16="http://schemas.microsoft.com/office/drawing/2014/main" id="{E5434C7A-361F-4EDC-A00F-0B9F60F8F658}"/>
            </a:ext>
          </a:extLst>
        </xdr:cNvPr>
        <xdr:cNvPicPr>
          <a:picLocks noChangeAspect="1"/>
        </xdr:cNvPicPr>
      </xdr:nvPicPr>
      <xdr:blipFill>
        <a:blip xmlns:r="http://schemas.openxmlformats.org/officeDocument/2006/relationships" r:embed="rId15"/>
        <a:srcRect/>
        <a:stretch>
          <a:fillRect/>
        </a:stretch>
      </xdr:blipFill>
      <xdr:spPr>
        <a:xfrm>
          <a:off x="619125" y="12525375"/>
          <a:ext cx="876300" cy="857250"/>
        </a:xfrm>
        <a:prstGeom prst="rect">
          <a:avLst/>
        </a:prstGeom>
      </xdr:spPr>
    </xdr:pic>
    <xdr:clientData/>
  </xdr:twoCellAnchor>
  <xdr:twoCellAnchor>
    <xdr:from>
      <xdr:col>1</xdr:col>
      <xdr:colOff>9525</xdr:colOff>
      <xdr:row>24</xdr:row>
      <xdr:rowOff>9525</xdr:rowOff>
    </xdr:from>
    <xdr:to>
      <xdr:col>1</xdr:col>
      <xdr:colOff>1724025</xdr:colOff>
      <xdr:row>24</xdr:row>
      <xdr:rowOff>1724025</xdr:rowOff>
    </xdr:to>
    <xdr:pic>
      <xdr:nvPicPr>
        <xdr:cNvPr id="18" name="Picture 16">
          <a:extLst>
            <a:ext uri="{FF2B5EF4-FFF2-40B4-BE49-F238E27FC236}">
              <a16:creationId xmlns:a16="http://schemas.microsoft.com/office/drawing/2014/main" id="{E0C22B64-343A-429D-AE8A-08B126D406A6}"/>
            </a:ext>
          </a:extLst>
        </xdr:cNvPr>
        <xdr:cNvPicPr>
          <a:picLocks noChangeAspect="1"/>
        </xdr:cNvPicPr>
      </xdr:nvPicPr>
      <xdr:blipFill>
        <a:blip xmlns:r="http://schemas.openxmlformats.org/officeDocument/2006/relationships" r:embed="rId15"/>
        <a:srcRect/>
        <a:stretch>
          <a:fillRect/>
        </a:stretch>
      </xdr:blipFill>
      <xdr:spPr>
        <a:xfrm>
          <a:off x="619125" y="13392150"/>
          <a:ext cx="876300" cy="857250"/>
        </a:xfrm>
        <a:prstGeom prst="rect">
          <a:avLst/>
        </a:prstGeom>
      </xdr:spPr>
    </xdr:pic>
    <xdr:clientData/>
  </xdr:twoCellAnchor>
  <xdr:twoCellAnchor>
    <xdr:from>
      <xdr:col>1</xdr:col>
      <xdr:colOff>9525</xdr:colOff>
      <xdr:row>25</xdr:row>
      <xdr:rowOff>9525</xdr:rowOff>
    </xdr:from>
    <xdr:to>
      <xdr:col>1</xdr:col>
      <xdr:colOff>1724025</xdr:colOff>
      <xdr:row>25</xdr:row>
      <xdr:rowOff>1724025</xdr:rowOff>
    </xdr:to>
    <xdr:pic>
      <xdr:nvPicPr>
        <xdr:cNvPr id="19" name="Picture 17">
          <a:extLst>
            <a:ext uri="{FF2B5EF4-FFF2-40B4-BE49-F238E27FC236}">
              <a16:creationId xmlns:a16="http://schemas.microsoft.com/office/drawing/2014/main" id="{C17A363B-95FD-406D-BB01-08E5A2EED99C}"/>
            </a:ext>
          </a:extLst>
        </xdr:cNvPr>
        <xdr:cNvPicPr>
          <a:picLocks noChangeAspect="1"/>
        </xdr:cNvPicPr>
      </xdr:nvPicPr>
      <xdr:blipFill>
        <a:blip xmlns:r="http://schemas.openxmlformats.org/officeDocument/2006/relationships" r:embed="rId15"/>
        <a:srcRect/>
        <a:stretch>
          <a:fillRect/>
        </a:stretch>
      </xdr:blipFill>
      <xdr:spPr>
        <a:xfrm>
          <a:off x="619125" y="14258925"/>
          <a:ext cx="876300" cy="857250"/>
        </a:xfrm>
        <a:prstGeom prst="rect">
          <a:avLst/>
        </a:prstGeom>
      </xdr:spPr>
    </xdr:pic>
    <xdr:clientData/>
  </xdr:twoCellAnchor>
  <xdr:twoCellAnchor>
    <xdr:from>
      <xdr:col>1</xdr:col>
      <xdr:colOff>9525</xdr:colOff>
      <xdr:row>26</xdr:row>
      <xdr:rowOff>9525</xdr:rowOff>
    </xdr:from>
    <xdr:to>
      <xdr:col>1</xdr:col>
      <xdr:colOff>1724025</xdr:colOff>
      <xdr:row>26</xdr:row>
      <xdr:rowOff>1724025</xdr:rowOff>
    </xdr:to>
    <xdr:pic>
      <xdr:nvPicPr>
        <xdr:cNvPr id="20" name="Picture 18">
          <a:extLst>
            <a:ext uri="{FF2B5EF4-FFF2-40B4-BE49-F238E27FC236}">
              <a16:creationId xmlns:a16="http://schemas.microsoft.com/office/drawing/2014/main" id="{CED9E73D-FB72-47A1-88EB-17E6C3D72B00}"/>
            </a:ext>
          </a:extLst>
        </xdr:cNvPr>
        <xdr:cNvPicPr>
          <a:picLocks noChangeAspect="1"/>
        </xdr:cNvPicPr>
      </xdr:nvPicPr>
      <xdr:blipFill>
        <a:blip xmlns:r="http://schemas.openxmlformats.org/officeDocument/2006/relationships" r:embed="rId15"/>
        <a:srcRect/>
        <a:stretch>
          <a:fillRect/>
        </a:stretch>
      </xdr:blipFill>
      <xdr:spPr>
        <a:xfrm>
          <a:off x="619125" y="15125700"/>
          <a:ext cx="876300" cy="857250"/>
        </a:xfrm>
        <a:prstGeom prst="rect">
          <a:avLst/>
        </a:prstGeom>
      </xdr:spPr>
    </xdr:pic>
    <xdr:clientData/>
  </xdr:twoCellAnchor>
  <xdr:twoCellAnchor>
    <xdr:from>
      <xdr:col>1</xdr:col>
      <xdr:colOff>9525</xdr:colOff>
      <xdr:row>27</xdr:row>
      <xdr:rowOff>9525</xdr:rowOff>
    </xdr:from>
    <xdr:to>
      <xdr:col>1</xdr:col>
      <xdr:colOff>1724025</xdr:colOff>
      <xdr:row>27</xdr:row>
      <xdr:rowOff>1724025</xdr:rowOff>
    </xdr:to>
    <xdr:pic>
      <xdr:nvPicPr>
        <xdr:cNvPr id="21" name="Picture 19">
          <a:extLst>
            <a:ext uri="{FF2B5EF4-FFF2-40B4-BE49-F238E27FC236}">
              <a16:creationId xmlns:a16="http://schemas.microsoft.com/office/drawing/2014/main" id="{E1AD89F8-FF44-4BD5-BD3E-75D9BC60578B}"/>
            </a:ext>
          </a:extLst>
        </xdr:cNvPr>
        <xdr:cNvPicPr>
          <a:picLocks noChangeAspect="1"/>
        </xdr:cNvPicPr>
      </xdr:nvPicPr>
      <xdr:blipFill>
        <a:blip xmlns:r="http://schemas.openxmlformats.org/officeDocument/2006/relationships" r:embed="rId16"/>
        <a:srcRect/>
        <a:stretch>
          <a:fillRect/>
        </a:stretch>
      </xdr:blipFill>
      <xdr:spPr>
        <a:xfrm>
          <a:off x="619125" y="15992475"/>
          <a:ext cx="876300" cy="857250"/>
        </a:xfrm>
        <a:prstGeom prst="rect">
          <a:avLst/>
        </a:prstGeom>
      </xdr:spPr>
    </xdr:pic>
    <xdr:clientData/>
  </xdr:twoCellAnchor>
  <xdr:twoCellAnchor>
    <xdr:from>
      <xdr:col>1</xdr:col>
      <xdr:colOff>9525</xdr:colOff>
      <xdr:row>28</xdr:row>
      <xdr:rowOff>9525</xdr:rowOff>
    </xdr:from>
    <xdr:to>
      <xdr:col>1</xdr:col>
      <xdr:colOff>1724025</xdr:colOff>
      <xdr:row>28</xdr:row>
      <xdr:rowOff>1724025</xdr:rowOff>
    </xdr:to>
    <xdr:pic>
      <xdr:nvPicPr>
        <xdr:cNvPr id="22" name="Picture 20">
          <a:extLst>
            <a:ext uri="{FF2B5EF4-FFF2-40B4-BE49-F238E27FC236}">
              <a16:creationId xmlns:a16="http://schemas.microsoft.com/office/drawing/2014/main" id="{33CDBF28-B5CB-4CA6-853A-270F97FA592E}"/>
            </a:ext>
          </a:extLst>
        </xdr:cNvPr>
        <xdr:cNvPicPr>
          <a:picLocks noChangeAspect="1"/>
        </xdr:cNvPicPr>
      </xdr:nvPicPr>
      <xdr:blipFill>
        <a:blip xmlns:r="http://schemas.openxmlformats.org/officeDocument/2006/relationships" r:embed="rId16"/>
        <a:srcRect/>
        <a:stretch>
          <a:fillRect/>
        </a:stretch>
      </xdr:blipFill>
      <xdr:spPr>
        <a:xfrm>
          <a:off x="619125" y="16859250"/>
          <a:ext cx="876300" cy="857250"/>
        </a:xfrm>
        <a:prstGeom prst="rect">
          <a:avLst/>
        </a:prstGeom>
      </xdr:spPr>
    </xdr:pic>
    <xdr:clientData/>
  </xdr:twoCellAnchor>
  <xdr:twoCellAnchor>
    <xdr:from>
      <xdr:col>1</xdr:col>
      <xdr:colOff>9525</xdr:colOff>
      <xdr:row>29</xdr:row>
      <xdr:rowOff>9525</xdr:rowOff>
    </xdr:from>
    <xdr:to>
      <xdr:col>1</xdr:col>
      <xdr:colOff>1724025</xdr:colOff>
      <xdr:row>29</xdr:row>
      <xdr:rowOff>1724025</xdr:rowOff>
    </xdr:to>
    <xdr:pic>
      <xdr:nvPicPr>
        <xdr:cNvPr id="23" name="Picture 21">
          <a:extLst>
            <a:ext uri="{FF2B5EF4-FFF2-40B4-BE49-F238E27FC236}">
              <a16:creationId xmlns:a16="http://schemas.microsoft.com/office/drawing/2014/main" id="{30D1650B-D96D-4CF3-BBB6-31B1BC759524}"/>
            </a:ext>
          </a:extLst>
        </xdr:cNvPr>
        <xdr:cNvPicPr>
          <a:picLocks noChangeAspect="1"/>
        </xdr:cNvPicPr>
      </xdr:nvPicPr>
      <xdr:blipFill>
        <a:blip xmlns:r="http://schemas.openxmlformats.org/officeDocument/2006/relationships" r:embed="rId16"/>
        <a:srcRect/>
        <a:stretch>
          <a:fillRect/>
        </a:stretch>
      </xdr:blipFill>
      <xdr:spPr>
        <a:xfrm>
          <a:off x="619125" y="17726025"/>
          <a:ext cx="876300" cy="857250"/>
        </a:xfrm>
        <a:prstGeom prst="rect">
          <a:avLst/>
        </a:prstGeom>
      </xdr:spPr>
    </xdr:pic>
    <xdr:clientData/>
  </xdr:twoCellAnchor>
  <xdr:twoCellAnchor>
    <xdr:from>
      <xdr:col>1</xdr:col>
      <xdr:colOff>9525</xdr:colOff>
      <xdr:row>30</xdr:row>
      <xdr:rowOff>9525</xdr:rowOff>
    </xdr:from>
    <xdr:to>
      <xdr:col>1</xdr:col>
      <xdr:colOff>1724025</xdr:colOff>
      <xdr:row>30</xdr:row>
      <xdr:rowOff>1724025</xdr:rowOff>
    </xdr:to>
    <xdr:pic>
      <xdr:nvPicPr>
        <xdr:cNvPr id="24" name="Picture 22">
          <a:extLst>
            <a:ext uri="{FF2B5EF4-FFF2-40B4-BE49-F238E27FC236}">
              <a16:creationId xmlns:a16="http://schemas.microsoft.com/office/drawing/2014/main" id="{2AE2A4F7-6FA0-4F56-8798-8723F7834348}"/>
            </a:ext>
          </a:extLst>
        </xdr:cNvPr>
        <xdr:cNvPicPr>
          <a:picLocks noChangeAspect="1"/>
        </xdr:cNvPicPr>
      </xdr:nvPicPr>
      <xdr:blipFill>
        <a:blip xmlns:r="http://schemas.openxmlformats.org/officeDocument/2006/relationships" r:embed="rId17"/>
        <a:srcRect/>
        <a:stretch>
          <a:fillRect/>
        </a:stretch>
      </xdr:blipFill>
      <xdr:spPr>
        <a:xfrm>
          <a:off x="619125" y="18592800"/>
          <a:ext cx="876300" cy="857250"/>
        </a:xfrm>
        <a:prstGeom prst="rect">
          <a:avLst/>
        </a:prstGeom>
      </xdr:spPr>
    </xdr:pic>
    <xdr:clientData/>
  </xdr:twoCellAnchor>
  <xdr:twoCellAnchor>
    <xdr:from>
      <xdr:col>1</xdr:col>
      <xdr:colOff>9525</xdr:colOff>
      <xdr:row>31</xdr:row>
      <xdr:rowOff>9525</xdr:rowOff>
    </xdr:from>
    <xdr:to>
      <xdr:col>1</xdr:col>
      <xdr:colOff>1724025</xdr:colOff>
      <xdr:row>31</xdr:row>
      <xdr:rowOff>1724025</xdr:rowOff>
    </xdr:to>
    <xdr:pic>
      <xdr:nvPicPr>
        <xdr:cNvPr id="25" name="Picture 23">
          <a:extLst>
            <a:ext uri="{FF2B5EF4-FFF2-40B4-BE49-F238E27FC236}">
              <a16:creationId xmlns:a16="http://schemas.microsoft.com/office/drawing/2014/main" id="{E8FFA5F4-4C81-41DA-A036-604409861CCA}"/>
            </a:ext>
          </a:extLst>
        </xdr:cNvPr>
        <xdr:cNvPicPr>
          <a:picLocks noChangeAspect="1"/>
        </xdr:cNvPicPr>
      </xdr:nvPicPr>
      <xdr:blipFill>
        <a:blip xmlns:r="http://schemas.openxmlformats.org/officeDocument/2006/relationships" r:embed="rId17"/>
        <a:srcRect/>
        <a:stretch>
          <a:fillRect/>
        </a:stretch>
      </xdr:blipFill>
      <xdr:spPr>
        <a:xfrm>
          <a:off x="619125" y="19459575"/>
          <a:ext cx="876300" cy="857250"/>
        </a:xfrm>
        <a:prstGeom prst="rect">
          <a:avLst/>
        </a:prstGeom>
      </xdr:spPr>
    </xdr:pic>
    <xdr:clientData/>
  </xdr:twoCellAnchor>
  <xdr:twoCellAnchor>
    <xdr:from>
      <xdr:col>1</xdr:col>
      <xdr:colOff>9525</xdr:colOff>
      <xdr:row>32</xdr:row>
      <xdr:rowOff>9525</xdr:rowOff>
    </xdr:from>
    <xdr:to>
      <xdr:col>1</xdr:col>
      <xdr:colOff>1724025</xdr:colOff>
      <xdr:row>32</xdr:row>
      <xdr:rowOff>1724025</xdr:rowOff>
    </xdr:to>
    <xdr:pic>
      <xdr:nvPicPr>
        <xdr:cNvPr id="26" name="Picture 24">
          <a:extLst>
            <a:ext uri="{FF2B5EF4-FFF2-40B4-BE49-F238E27FC236}">
              <a16:creationId xmlns:a16="http://schemas.microsoft.com/office/drawing/2014/main" id="{1D52F8E2-A496-40F3-9570-C0F21AB02545}"/>
            </a:ext>
          </a:extLst>
        </xdr:cNvPr>
        <xdr:cNvPicPr>
          <a:picLocks noChangeAspect="1"/>
        </xdr:cNvPicPr>
      </xdr:nvPicPr>
      <xdr:blipFill>
        <a:blip xmlns:r="http://schemas.openxmlformats.org/officeDocument/2006/relationships" r:embed="rId17"/>
        <a:srcRect/>
        <a:stretch>
          <a:fillRect/>
        </a:stretch>
      </xdr:blipFill>
      <xdr:spPr>
        <a:xfrm>
          <a:off x="619125" y="20326350"/>
          <a:ext cx="876300" cy="857250"/>
        </a:xfrm>
        <a:prstGeom prst="rect">
          <a:avLst/>
        </a:prstGeom>
      </xdr:spPr>
    </xdr:pic>
    <xdr:clientData/>
  </xdr:twoCellAnchor>
  <xdr:twoCellAnchor>
    <xdr:from>
      <xdr:col>1</xdr:col>
      <xdr:colOff>9525</xdr:colOff>
      <xdr:row>33</xdr:row>
      <xdr:rowOff>9525</xdr:rowOff>
    </xdr:from>
    <xdr:to>
      <xdr:col>1</xdr:col>
      <xdr:colOff>1724025</xdr:colOff>
      <xdr:row>33</xdr:row>
      <xdr:rowOff>1724025</xdr:rowOff>
    </xdr:to>
    <xdr:pic>
      <xdr:nvPicPr>
        <xdr:cNvPr id="27" name="Picture 25">
          <a:extLst>
            <a:ext uri="{FF2B5EF4-FFF2-40B4-BE49-F238E27FC236}">
              <a16:creationId xmlns:a16="http://schemas.microsoft.com/office/drawing/2014/main" id="{28CBFF38-5C20-4737-979A-0B39BE27EF09}"/>
            </a:ext>
          </a:extLst>
        </xdr:cNvPr>
        <xdr:cNvPicPr>
          <a:picLocks noChangeAspect="1"/>
        </xdr:cNvPicPr>
      </xdr:nvPicPr>
      <xdr:blipFill>
        <a:blip xmlns:r="http://schemas.openxmlformats.org/officeDocument/2006/relationships" r:embed="rId17"/>
        <a:srcRect/>
        <a:stretch>
          <a:fillRect/>
        </a:stretch>
      </xdr:blipFill>
      <xdr:spPr>
        <a:xfrm>
          <a:off x="619125" y="21193125"/>
          <a:ext cx="876300" cy="857250"/>
        </a:xfrm>
        <a:prstGeom prst="rect">
          <a:avLst/>
        </a:prstGeom>
      </xdr:spPr>
    </xdr:pic>
    <xdr:clientData/>
  </xdr:twoCellAnchor>
  <xdr:twoCellAnchor>
    <xdr:from>
      <xdr:col>1</xdr:col>
      <xdr:colOff>9525</xdr:colOff>
      <xdr:row>34</xdr:row>
      <xdr:rowOff>9525</xdr:rowOff>
    </xdr:from>
    <xdr:to>
      <xdr:col>1</xdr:col>
      <xdr:colOff>1724025</xdr:colOff>
      <xdr:row>34</xdr:row>
      <xdr:rowOff>1724025</xdr:rowOff>
    </xdr:to>
    <xdr:pic>
      <xdr:nvPicPr>
        <xdr:cNvPr id="28" name="Picture 26">
          <a:extLst>
            <a:ext uri="{FF2B5EF4-FFF2-40B4-BE49-F238E27FC236}">
              <a16:creationId xmlns:a16="http://schemas.microsoft.com/office/drawing/2014/main" id="{FE3D37FB-23D7-436B-87BA-B0C428B9C79E}"/>
            </a:ext>
          </a:extLst>
        </xdr:cNvPr>
        <xdr:cNvPicPr>
          <a:picLocks noChangeAspect="1"/>
        </xdr:cNvPicPr>
      </xdr:nvPicPr>
      <xdr:blipFill>
        <a:blip xmlns:r="http://schemas.openxmlformats.org/officeDocument/2006/relationships" r:embed="rId17"/>
        <a:srcRect/>
        <a:stretch>
          <a:fillRect/>
        </a:stretch>
      </xdr:blipFill>
      <xdr:spPr>
        <a:xfrm>
          <a:off x="619125" y="22059900"/>
          <a:ext cx="876300" cy="857250"/>
        </a:xfrm>
        <a:prstGeom prst="rect">
          <a:avLst/>
        </a:prstGeom>
      </xdr:spPr>
    </xdr:pic>
    <xdr:clientData/>
  </xdr:twoCellAnchor>
  <xdr:twoCellAnchor>
    <xdr:from>
      <xdr:col>1</xdr:col>
      <xdr:colOff>9525</xdr:colOff>
      <xdr:row>35</xdr:row>
      <xdr:rowOff>9525</xdr:rowOff>
    </xdr:from>
    <xdr:to>
      <xdr:col>1</xdr:col>
      <xdr:colOff>1724025</xdr:colOff>
      <xdr:row>35</xdr:row>
      <xdr:rowOff>1724025</xdr:rowOff>
    </xdr:to>
    <xdr:pic>
      <xdr:nvPicPr>
        <xdr:cNvPr id="29" name="Picture 27">
          <a:extLst>
            <a:ext uri="{FF2B5EF4-FFF2-40B4-BE49-F238E27FC236}">
              <a16:creationId xmlns:a16="http://schemas.microsoft.com/office/drawing/2014/main" id="{4E3A137F-3C51-4239-B9DF-72D8663FFB8E}"/>
            </a:ext>
          </a:extLst>
        </xdr:cNvPr>
        <xdr:cNvPicPr>
          <a:picLocks noChangeAspect="1"/>
        </xdr:cNvPicPr>
      </xdr:nvPicPr>
      <xdr:blipFill>
        <a:blip xmlns:r="http://schemas.openxmlformats.org/officeDocument/2006/relationships" r:embed="rId17"/>
        <a:srcRect/>
        <a:stretch>
          <a:fillRect/>
        </a:stretch>
      </xdr:blipFill>
      <xdr:spPr>
        <a:xfrm>
          <a:off x="619125" y="22926675"/>
          <a:ext cx="876300" cy="857250"/>
        </a:xfrm>
        <a:prstGeom prst="rect">
          <a:avLst/>
        </a:prstGeom>
      </xdr:spPr>
    </xdr:pic>
    <xdr:clientData/>
  </xdr:twoCellAnchor>
  <xdr:twoCellAnchor>
    <xdr:from>
      <xdr:col>1</xdr:col>
      <xdr:colOff>9525</xdr:colOff>
      <xdr:row>36</xdr:row>
      <xdr:rowOff>9525</xdr:rowOff>
    </xdr:from>
    <xdr:to>
      <xdr:col>1</xdr:col>
      <xdr:colOff>1724025</xdr:colOff>
      <xdr:row>36</xdr:row>
      <xdr:rowOff>1724025</xdr:rowOff>
    </xdr:to>
    <xdr:pic>
      <xdr:nvPicPr>
        <xdr:cNvPr id="30" name="Picture 28">
          <a:extLst>
            <a:ext uri="{FF2B5EF4-FFF2-40B4-BE49-F238E27FC236}">
              <a16:creationId xmlns:a16="http://schemas.microsoft.com/office/drawing/2014/main" id="{0C8B899A-1FB4-4647-8C5E-B46C2CDAB1CC}"/>
            </a:ext>
          </a:extLst>
        </xdr:cNvPr>
        <xdr:cNvPicPr>
          <a:picLocks noChangeAspect="1"/>
        </xdr:cNvPicPr>
      </xdr:nvPicPr>
      <xdr:blipFill>
        <a:blip xmlns:r="http://schemas.openxmlformats.org/officeDocument/2006/relationships" r:embed="rId17"/>
        <a:srcRect/>
        <a:stretch>
          <a:fillRect/>
        </a:stretch>
      </xdr:blipFill>
      <xdr:spPr>
        <a:xfrm>
          <a:off x="619125" y="23793450"/>
          <a:ext cx="876300" cy="857250"/>
        </a:xfrm>
        <a:prstGeom prst="rect">
          <a:avLst/>
        </a:prstGeom>
      </xdr:spPr>
    </xdr:pic>
    <xdr:clientData/>
  </xdr:twoCellAnchor>
  <xdr:twoCellAnchor>
    <xdr:from>
      <xdr:col>1</xdr:col>
      <xdr:colOff>9525</xdr:colOff>
      <xdr:row>37</xdr:row>
      <xdr:rowOff>9525</xdr:rowOff>
    </xdr:from>
    <xdr:to>
      <xdr:col>1</xdr:col>
      <xdr:colOff>1724025</xdr:colOff>
      <xdr:row>37</xdr:row>
      <xdr:rowOff>1724025</xdr:rowOff>
    </xdr:to>
    <xdr:pic>
      <xdr:nvPicPr>
        <xdr:cNvPr id="31" name="Picture 29">
          <a:extLst>
            <a:ext uri="{FF2B5EF4-FFF2-40B4-BE49-F238E27FC236}">
              <a16:creationId xmlns:a16="http://schemas.microsoft.com/office/drawing/2014/main" id="{C3742C52-CD29-454E-926B-B33D18709468}"/>
            </a:ext>
          </a:extLst>
        </xdr:cNvPr>
        <xdr:cNvPicPr>
          <a:picLocks noChangeAspect="1"/>
        </xdr:cNvPicPr>
      </xdr:nvPicPr>
      <xdr:blipFill>
        <a:blip xmlns:r="http://schemas.openxmlformats.org/officeDocument/2006/relationships" r:embed="rId17"/>
        <a:srcRect/>
        <a:stretch>
          <a:fillRect/>
        </a:stretch>
      </xdr:blipFill>
      <xdr:spPr>
        <a:xfrm>
          <a:off x="619125" y="24660225"/>
          <a:ext cx="876300" cy="857250"/>
        </a:xfrm>
        <a:prstGeom prst="rect">
          <a:avLst/>
        </a:prstGeom>
      </xdr:spPr>
    </xdr:pic>
    <xdr:clientData/>
  </xdr:twoCellAnchor>
  <xdr:twoCellAnchor>
    <xdr:from>
      <xdr:col>1</xdr:col>
      <xdr:colOff>9525</xdr:colOff>
      <xdr:row>38</xdr:row>
      <xdr:rowOff>9525</xdr:rowOff>
    </xdr:from>
    <xdr:to>
      <xdr:col>1</xdr:col>
      <xdr:colOff>1724025</xdr:colOff>
      <xdr:row>38</xdr:row>
      <xdr:rowOff>1724025</xdr:rowOff>
    </xdr:to>
    <xdr:pic>
      <xdr:nvPicPr>
        <xdr:cNvPr id="32" name="Picture 30">
          <a:extLst>
            <a:ext uri="{FF2B5EF4-FFF2-40B4-BE49-F238E27FC236}">
              <a16:creationId xmlns:a16="http://schemas.microsoft.com/office/drawing/2014/main" id="{4C8DC157-2424-438F-9096-4283BF1DCD50}"/>
            </a:ext>
          </a:extLst>
        </xdr:cNvPr>
        <xdr:cNvPicPr>
          <a:picLocks noChangeAspect="1"/>
        </xdr:cNvPicPr>
      </xdr:nvPicPr>
      <xdr:blipFill>
        <a:blip xmlns:r="http://schemas.openxmlformats.org/officeDocument/2006/relationships" r:embed="rId17"/>
        <a:srcRect/>
        <a:stretch>
          <a:fillRect/>
        </a:stretch>
      </xdr:blipFill>
      <xdr:spPr>
        <a:xfrm>
          <a:off x="619125" y="25527000"/>
          <a:ext cx="876300" cy="857250"/>
        </a:xfrm>
        <a:prstGeom prst="rect">
          <a:avLst/>
        </a:prstGeom>
      </xdr:spPr>
    </xdr:pic>
    <xdr:clientData/>
  </xdr:twoCellAnchor>
  <xdr:twoCellAnchor>
    <xdr:from>
      <xdr:col>1</xdr:col>
      <xdr:colOff>9525</xdr:colOff>
      <xdr:row>39</xdr:row>
      <xdr:rowOff>9525</xdr:rowOff>
    </xdr:from>
    <xdr:to>
      <xdr:col>1</xdr:col>
      <xdr:colOff>1724025</xdr:colOff>
      <xdr:row>39</xdr:row>
      <xdr:rowOff>1724025</xdr:rowOff>
    </xdr:to>
    <xdr:pic>
      <xdr:nvPicPr>
        <xdr:cNvPr id="33" name="Picture 31">
          <a:extLst>
            <a:ext uri="{FF2B5EF4-FFF2-40B4-BE49-F238E27FC236}">
              <a16:creationId xmlns:a16="http://schemas.microsoft.com/office/drawing/2014/main" id="{2BF078A9-2CFA-4B06-89F3-DA5F0A343B6D}"/>
            </a:ext>
          </a:extLst>
        </xdr:cNvPr>
        <xdr:cNvPicPr>
          <a:picLocks noChangeAspect="1"/>
        </xdr:cNvPicPr>
      </xdr:nvPicPr>
      <xdr:blipFill>
        <a:blip xmlns:r="http://schemas.openxmlformats.org/officeDocument/2006/relationships" r:embed="rId17"/>
        <a:srcRect/>
        <a:stretch>
          <a:fillRect/>
        </a:stretch>
      </xdr:blipFill>
      <xdr:spPr>
        <a:xfrm>
          <a:off x="619125" y="26393775"/>
          <a:ext cx="876300" cy="857250"/>
        </a:xfrm>
        <a:prstGeom prst="rect">
          <a:avLst/>
        </a:prstGeom>
      </xdr:spPr>
    </xdr:pic>
    <xdr:clientData/>
  </xdr:twoCellAnchor>
  <xdr:twoCellAnchor>
    <xdr:from>
      <xdr:col>1</xdr:col>
      <xdr:colOff>9525</xdr:colOff>
      <xdr:row>40</xdr:row>
      <xdr:rowOff>9525</xdr:rowOff>
    </xdr:from>
    <xdr:to>
      <xdr:col>1</xdr:col>
      <xdr:colOff>1724025</xdr:colOff>
      <xdr:row>40</xdr:row>
      <xdr:rowOff>1724025</xdr:rowOff>
    </xdr:to>
    <xdr:pic>
      <xdr:nvPicPr>
        <xdr:cNvPr id="34" name="Picture 32">
          <a:extLst>
            <a:ext uri="{FF2B5EF4-FFF2-40B4-BE49-F238E27FC236}">
              <a16:creationId xmlns:a16="http://schemas.microsoft.com/office/drawing/2014/main" id="{DC832148-16CE-49E9-8347-F456D6C0936C}"/>
            </a:ext>
          </a:extLst>
        </xdr:cNvPr>
        <xdr:cNvPicPr>
          <a:picLocks noChangeAspect="1"/>
        </xdr:cNvPicPr>
      </xdr:nvPicPr>
      <xdr:blipFill>
        <a:blip xmlns:r="http://schemas.openxmlformats.org/officeDocument/2006/relationships" r:embed="rId17"/>
        <a:srcRect/>
        <a:stretch>
          <a:fillRect/>
        </a:stretch>
      </xdr:blipFill>
      <xdr:spPr>
        <a:xfrm>
          <a:off x="619125" y="27260550"/>
          <a:ext cx="876300" cy="857250"/>
        </a:xfrm>
        <a:prstGeom prst="rect">
          <a:avLst/>
        </a:prstGeom>
      </xdr:spPr>
    </xdr:pic>
    <xdr:clientData/>
  </xdr:twoCellAnchor>
  <xdr:twoCellAnchor>
    <xdr:from>
      <xdr:col>1</xdr:col>
      <xdr:colOff>9525</xdr:colOff>
      <xdr:row>41</xdr:row>
      <xdr:rowOff>9525</xdr:rowOff>
    </xdr:from>
    <xdr:to>
      <xdr:col>1</xdr:col>
      <xdr:colOff>1724025</xdr:colOff>
      <xdr:row>41</xdr:row>
      <xdr:rowOff>1724025</xdr:rowOff>
    </xdr:to>
    <xdr:pic>
      <xdr:nvPicPr>
        <xdr:cNvPr id="35" name="Picture 33">
          <a:extLst>
            <a:ext uri="{FF2B5EF4-FFF2-40B4-BE49-F238E27FC236}">
              <a16:creationId xmlns:a16="http://schemas.microsoft.com/office/drawing/2014/main" id="{4A9EFFFA-05E9-478F-90B9-271EB64277D9}"/>
            </a:ext>
          </a:extLst>
        </xdr:cNvPr>
        <xdr:cNvPicPr>
          <a:picLocks noChangeAspect="1"/>
        </xdr:cNvPicPr>
      </xdr:nvPicPr>
      <xdr:blipFill>
        <a:blip xmlns:r="http://schemas.openxmlformats.org/officeDocument/2006/relationships" r:embed="rId17"/>
        <a:srcRect/>
        <a:stretch>
          <a:fillRect/>
        </a:stretch>
      </xdr:blipFill>
      <xdr:spPr>
        <a:xfrm>
          <a:off x="619125" y="28127325"/>
          <a:ext cx="876300" cy="857250"/>
        </a:xfrm>
        <a:prstGeom prst="rect">
          <a:avLst/>
        </a:prstGeom>
      </xdr:spPr>
    </xdr:pic>
    <xdr:clientData/>
  </xdr:twoCellAnchor>
  <xdr:twoCellAnchor>
    <xdr:from>
      <xdr:col>1</xdr:col>
      <xdr:colOff>9525</xdr:colOff>
      <xdr:row>42</xdr:row>
      <xdr:rowOff>9525</xdr:rowOff>
    </xdr:from>
    <xdr:to>
      <xdr:col>1</xdr:col>
      <xdr:colOff>1724025</xdr:colOff>
      <xdr:row>42</xdr:row>
      <xdr:rowOff>1724025</xdr:rowOff>
    </xdr:to>
    <xdr:pic>
      <xdr:nvPicPr>
        <xdr:cNvPr id="36" name="Picture 34">
          <a:extLst>
            <a:ext uri="{FF2B5EF4-FFF2-40B4-BE49-F238E27FC236}">
              <a16:creationId xmlns:a16="http://schemas.microsoft.com/office/drawing/2014/main" id="{F76CB682-8A22-48CE-926E-E4695752ABA7}"/>
            </a:ext>
          </a:extLst>
        </xdr:cNvPr>
        <xdr:cNvPicPr>
          <a:picLocks noChangeAspect="1"/>
        </xdr:cNvPicPr>
      </xdr:nvPicPr>
      <xdr:blipFill>
        <a:blip xmlns:r="http://schemas.openxmlformats.org/officeDocument/2006/relationships" r:embed="rId17"/>
        <a:srcRect/>
        <a:stretch>
          <a:fillRect/>
        </a:stretch>
      </xdr:blipFill>
      <xdr:spPr>
        <a:xfrm>
          <a:off x="619125" y="28994100"/>
          <a:ext cx="876300" cy="857250"/>
        </a:xfrm>
        <a:prstGeom prst="rect">
          <a:avLst/>
        </a:prstGeom>
      </xdr:spPr>
    </xdr:pic>
    <xdr:clientData/>
  </xdr:twoCellAnchor>
  <xdr:twoCellAnchor>
    <xdr:from>
      <xdr:col>1</xdr:col>
      <xdr:colOff>9525</xdr:colOff>
      <xdr:row>43</xdr:row>
      <xdr:rowOff>9525</xdr:rowOff>
    </xdr:from>
    <xdr:to>
      <xdr:col>1</xdr:col>
      <xdr:colOff>1724025</xdr:colOff>
      <xdr:row>43</xdr:row>
      <xdr:rowOff>1724025</xdr:rowOff>
    </xdr:to>
    <xdr:pic>
      <xdr:nvPicPr>
        <xdr:cNvPr id="37" name="Picture 35">
          <a:extLst>
            <a:ext uri="{FF2B5EF4-FFF2-40B4-BE49-F238E27FC236}">
              <a16:creationId xmlns:a16="http://schemas.microsoft.com/office/drawing/2014/main" id="{AE8F8943-E9EF-407E-AA6B-5A96C8EADE1A}"/>
            </a:ext>
          </a:extLst>
        </xdr:cNvPr>
        <xdr:cNvPicPr>
          <a:picLocks noChangeAspect="1"/>
        </xdr:cNvPicPr>
      </xdr:nvPicPr>
      <xdr:blipFill>
        <a:blip xmlns:r="http://schemas.openxmlformats.org/officeDocument/2006/relationships" r:embed="rId17"/>
        <a:srcRect/>
        <a:stretch>
          <a:fillRect/>
        </a:stretch>
      </xdr:blipFill>
      <xdr:spPr>
        <a:xfrm>
          <a:off x="619125" y="29860875"/>
          <a:ext cx="876300" cy="857250"/>
        </a:xfrm>
        <a:prstGeom prst="rect">
          <a:avLst/>
        </a:prstGeom>
      </xdr:spPr>
    </xdr:pic>
    <xdr:clientData/>
  </xdr:twoCellAnchor>
  <xdr:twoCellAnchor>
    <xdr:from>
      <xdr:col>1</xdr:col>
      <xdr:colOff>9525</xdr:colOff>
      <xdr:row>44</xdr:row>
      <xdr:rowOff>9525</xdr:rowOff>
    </xdr:from>
    <xdr:to>
      <xdr:col>1</xdr:col>
      <xdr:colOff>1724025</xdr:colOff>
      <xdr:row>44</xdr:row>
      <xdr:rowOff>1724025</xdr:rowOff>
    </xdr:to>
    <xdr:pic>
      <xdr:nvPicPr>
        <xdr:cNvPr id="38" name="Picture 36">
          <a:extLst>
            <a:ext uri="{FF2B5EF4-FFF2-40B4-BE49-F238E27FC236}">
              <a16:creationId xmlns:a16="http://schemas.microsoft.com/office/drawing/2014/main" id="{3EBED98D-2AC3-4DF1-A77E-0448557DE18B}"/>
            </a:ext>
          </a:extLst>
        </xdr:cNvPr>
        <xdr:cNvPicPr>
          <a:picLocks noChangeAspect="1"/>
        </xdr:cNvPicPr>
      </xdr:nvPicPr>
      <xdr:blipFill>
        <a:blip xmlns:r="http://schemas.openxmlformats.org/officeDocument/2006/relationships" r:embed="rId18"/>
        <a:srcRect/>
        <a:stretch>
          <a:fillRect/>
        </a:stretch>
      </xdr:blipFill>
      <xdr:spPr>
        <a:xfrm>
          <a:off x="619125" y="30727650"/>
          <a:ext cx="876300" cy="857250"/>
        </a:xfrm>
        <a:prstGeom prst="rect">
          <a:avLst/>
        </a:prstGeom>
      </xdr:spPr>
    </xdr:pic>
    <xdr:clientData/>
  </xdr:twoCellAnchor>
  <xdr:twoCellAnchor>
    <xdr:from>
      <xdr:col>1</xdr:col>
      <xdr:colOff>9525</xdr:colOff>
      <xdr:row>45</xdr:row>
      <xdr:rowOff>9525</xdr:rowOff>
    </xdr:from>
    <xdr:to>
      <xdr:col>1</xdr:col>
      <xdr:colOff>1724025</xdr:colOff>
      <xdr:row>45</xdr:row>
      <xdr:rowOff>1724025</xdr:rowOff>
    </xdr:to>
    <xdr:pic>
      <xdr:nvPicPr>
        <xdr:cNvPr id="39" name="Picture 37">
          <a:extLst>
            <a:ext uri="{FF2B5EF4-FFF2-40B4-BE49-F238E27FC236}">
              <a16:creationId xmlns:a16="http://schemas.microsoft.com/office/drawing/2014/main" id="{E9723CA2-38F2-4CA1-9A72-B21754AAE4CE}"/>
            </a:ext>
          </a:extLst>
        </xdr:cNvPr>
        <xdr:cNvPicPr>
          <a:picLocks noChangeAspect="1"/>
        </xdr:cNvPicPr>
      </xdr:nvPicPr>
      <xdr:blipFill>
        <a:blip xmlns:r="http://schemas.openxmlformats.org/officeDocument/2006/relationships" r:embed="rId18"/>
        <a:srcRect/>
        <a:stretch>
          <a:fillRect/>
        </a:stretch>
      </xdr:blipFill>
      <xdr:spPr>
        <a:xfrm>
          <a:off x="619125" y="31594425"/>
          <a:ext cx="876300" cy="857250"/>
        </a:xfrm>
        <a:prstGeom prst="rect">
          <a:avLst/>
        </a:prstGeom>
      </xdr:spPr>
    </xdr:pic>
    <xdr:clientData/>
  </xdr:twoCellAnchor>
  <xdr:twoCellAnchor>
    <xdr:from>
      <xdr:col>1</xdr:col>
      <xdr:colOff>9525</xdr:colOff>
      <xdr:row>46</xdr:row>
      <xdr:rowOff>9525</xdr:rowOff>
    </xdr:from>
    <xdr:to>
      <xdr:col>1</xdr:col>
      <xdr:colOff>1724025</xdr:colOff>
      <xdr:row>46</xdr:row>
      <xdr:rowOff>1724025</xdr:rowOff>
    </xdr:to>
    <xdr:pic>
      <xdr:nvPicPr>
        <xdr:cNvPr id="40" name="Picture 38">
          <a:extLst>
            <a:ext uri="{FF2B5EF4-FFF2-40B4-BE49-F238E27FC236}">
              <a16:creationId xmlns:a16="http://schemas.microsoft.com/office/drawing/2014/main" id="{086DC55C-0686-4C50-97ED-072024CE058A}"/>
            </a:ext>
          </a:extLst>
        </xdr:cNvPr>
        <xdr:cNvPicPr>
          <a:picLocks noChangeAspect="1"/>
        </xdr:cNvPicPr>
      </xdr:nvPicPr>
      <xdr:blipFill>
        <a:blip xmlns:r="http://schemas.openxmlformats.org/officeDocument/2006/relationships" r:embed="rId18"/>
        <a:srcRect/>
        <a:stretch>
          <a:fillRect/>
        </a:stretch>
      </xdr:blipFill>
      <xdr:spPr>
        <a:xfrm>
          <a:off x="619125" y="32461200"/>
          <a:ext cx="876300" cy="857250"/>
        </a:xfrm>
        <a:prstGeom prst="rect">
          <a:avLst/>
        </a:prstGeom>
      </xdr:spPr>
    </xdr:pic>
    <xdr:clientData/>
  </xdr:twoCellAnchor>
  <xdr:twoCellAnchor>
    <xdr:from>
      <xdr:col>1</xdr:col>
      <xdr:colOff>9525</xdr:colOff>
      <xdr:row>47</xdr:row>
      <xdr:rowOff>9525</xdr:rowOff>
    </xdr:from>
    <xdr:to>
      <xdr:col>1</xdr:col>
      <xdr:colOff>1724025</xdr:colOff>
      <xdr:row>47</xdr:row>
      <xdr:rowOff>1724025</xdr:rowOff>
    </xdr:to>
    <xdr:pic>
      <xdr:nvPicPr>
        <xdr:cNvPr id="41" name="Picture 39">
          <a:extLst>
            <a:ext uri="{FF2B5EF4-FFF2-40B4-BE49-F238E27FC236}">
              <a16:creationId xmlns:a16="http://schemas.microsoft.com/office/drawing/2014/main" id="{C7D0B404-9DBC-49EB-97F7-518143266640}"/>
            </a:ext>
          </a:extLst>
        </xdr:cNvPr>
        <xdr:cNvPicPr>
          <a:picLocks noChangeAspect="1"/>
        </xdr:cNvPicPr>
      </xdr:nvPicPr>
      <xdr:blipFill>
        <a:blip xmlns:r="http://schemas.openxmlformats.org/officeDocument/2006/relationships" r:embed="rId18"/>
        <a:srcRect/>
        <a:stretch>
          <a:fillRect/>
        </a:stretch>
      </xdr:blipFill>
      <xdr:spPr>
        <a:xfrm>
          <a:off x="619125" y="33327975"/>
          <a:ext cx="876300" cy="857250"/>
        </a:xfrm>
        <a:prstGeom prst="rect">
          <a:avLst/>
        </a:prstGeom>
      </xdr:spPr>
    </xdr:pic>
    <xdr:clientData/>
  </xdr:twoCellAnchor>
  <xdr:twoCellAnchor>
    <xdr:from>
      <xdr:col>1</xdr:col>
      <xdr:colOff>9525</xdr:colOff>
      <xdr:row>48</xdr:row>
      <xdr:rowOff>9525</xdr:rowOff>
    </xdr:from>
    <xdr:to>
      <xdr:col>1</xdr:col>
      <xdr:colOff>1724025</xdr:colOff>
      <xdr:row>48</xdr:row>
      <xdr:rowOff>1724025</xdr:rowOff>
    </xdr:to>
    <xdr:pic>
      <xdr:nvPicPr>
        <xdr:cNvPr id="42" name="Picture 40">
          <a:extLst>
            <a:ext uri="{FF2B5EF4-FFF2-40B4-BE49-F238E27FC236}">
              <a16:creationId xmlns:a16="http://schemas.microsoft.com/office/drawing/2014/main" id="{D22D4B95-82FC-437F-8D95-B529B59B08FE}"/>
            </a:ext>
          </a:extLst>
        </xdr:cNvPr>
        <xdr:cNvPicPr>
          <a:picLocks noChangeAspect="1"/>
        </xdr:cNvPicPr>
      </xdr:nvPicPr>
      <xdr:blipFill>
        <a:blip xmlns:r="http://schemas.openxmlformats.org/officeDocument/2006/relationships" r:embed="rId18"/>
        <a:srcRect/>
        <a:stretch>
          <a:fillRect/>
        </a:stretch>
      </xdr:blipFill>
      <xdr:spPr>
        <a:xfrm>
          <a:off x="619125" y="34194750"/>
          <a:ext cx="876300" cy="857250"/>
        </a:xfrm>
        <a:prstGeom prst="rect">
          <a:avLst/>
        </a:prstGeom>
      </xdr:spPr>
    </xdr:pic>
    <xdr:clientData/>
  </xdr:twoCellAnchor>
  <xdr:twoCellAnchor>
    <xdr:from>
      <xdr:col>1</xdr:col>
      <xdr:colOff>9525</xdr:colOff>
      <xdr:row>49</xdr:row>
      <xdr:rowOff>9525</xdr:rowOff>
    </xdr:from>
    <xdr:to>
      <xdr:col>1</xdr:col>
      <xdr:colOff>1724025</xdr:colOff>
      <xdr:row>49</xdr:row>
      <xdr:rowOff>1724025</xdr:rowOff>
    </xdr:to>
    <xdr:pic>
      <xdr:nvPicPr>
        <xdr:cNvPr id="43" name="Picture 41">
          <a:extLst>
            <a:ext uri="{FF2B5EF4-FFF2-40B4-BE49-F238E27FC236}">
              <a16:creationId xmlns:a16="http://schemas.microsoft.com/office/drawing/2014/main" id="{768FBA23-4E0C-4307-AC4C-F5612CC4D400}"/>
            </a:ext>
          </a:extLst>
        </xdr:cNvPr>
        <xdr:cNvPicPr>
          <a:picLocks noChangeAspect="1"/>
        </xdr:cNvPicPr>
      </xdr:nvPicPr>
      <xdr:blipFill>
        <a:blip xmlns:r="http://schemas.openxmlformats.org/officeDocument/2006/relationships" r:embed="rId18"/>
        <a:srcRect/>
        <a:stretch>
          <a:fillRect/>
        </a:stretch>
      </xdr:blipFill>
      <xdr:spPr>
        <a:xfrm>
          <a:off x="619125" y="35061525"/>
          <a:ext cx="876300" cy="857250"/>
        </a:xfrm>
        <a:prstGeom prst="rect">
          <a:avLst/>
        </a:prstGeom>
      </xdr:spPr>
    </xdr:pic>
    <xdr:clientData/>
  </xdr:twoCellAnchor>
  <xdr:twoCellAnchor>
    <xdr:from>
      <xdr:col>1</xdr:col>
      <xdr:colOff>9525</xdr:colOff>
      <xdr:row>50</xdr:row>
      <xdr:rowOff>9525</xdr:rowOff>
    </xdr:from>
    <xdr:to>
      <xdr:col>1</xdr:col>
      <xdr:colOff>1724025</xdr:colOff>
      <xdr:row>50</xdr:row>
      <xdr:rowOff>1724025</xdr:rowOff>
    </xdr:to>
    <xdr:pic>
      <xdr:nvPicPr>
        <xdr:cNvPr id="44" name="Picture 42">
          <a:extLst>
            <a:ext uri="{FF2B5EF4-FFF2-40B4-BE49-F238E27FC236}">
              <a16:creationId xmlns:a16="http://schemas.microsoft.com/office/drawing/2014/main" id="{5C567EDF-65E7-4E97-861B-5E9E5F639DA9}"/>
            </a:ext>
          </a:extLst>
        </xdr:cNvPr>
        <xdr:cNvPicPr>
          <a:picLocks noChangeAspect="1"/>
        </xdr:cNvPicPr>
      </xdr:nvPicPr>
      <xdr:blipFill>
        <a:blip xmlns:r="http://schemas.openxmlformats.org/officeDocument/2006/relationships" r:embed="rId19"/>
        <a:srcRect/>
        <a:stretch>
          <a:fillRect/>
        </a:stretch>
      </xdr:blipFill>
      <xdr:spPr>
        <a:xfrm>
          <a:off x="619125" y="35928300"/>
          <a:ext cx="876300" cy="857250"/>
        </a:xfrm>
        <a:prstGeom prst="rect">
          <a:avLst/>
        </a:prstGeom>
      </xdr:spPr>
    </xdr:pic>
    <xdr:clientData/>
  </xdr:twoCellAnchor>
  <xdr:twoCellAnchor>
    <xdr:from>
      <xdr:col>1</xdr:col>
      <xdr:colOff>9525</xdr:colOff>
      <xdr:row>51</xdr:row>
      <xdr:rowOff>9525</xdr:rowOff>
    </xdr:from>
    <xdr:to>
      <xdr:col>1</xdr:col>
      <xdr:colOff>1724025</xdr:colOff>
      <xdr:row>51</xdr:row>
      <xdr:rowOff>1724025</xdr:rowOff>
    </xdr:to>
    <xdr:pic>
      <xdr:nvPicPr>
        <xdr:cNvPr id="45" name="Picture 43">
          <a:extLst>
            <a:ext uri="{FF2B5EF4-FFF2-40B4-BE49-F238E27FC236}">
              <a16:creationId xmlns:a16="http://schemas.microsoft.com/office/drawing/2014/main" id="{E12CC72F-CEC6-4D62-BFC2-682FB2CCC394}"/>
            </a:ext>
          </a:extLst>
        </xdr:cNvPr>
        <xdr:cNvPicPr>
          <a:picLocks noChangeAspect="1"/>
        </xdr:cNvPicPr>
      </xdr:nvPicPr>
      <xdr:blipFill>
        <a:blip xmlns:r="http://schemas.openxmlformats.org/officeDocument/2006/relationships" r:embed="rId20"/>
        <a:srcRect/>
        <a:stretch>
          <a:fillRect/>
        </a:stretch>
      </xdr:blipFill>
      <xdr:spPr>
        <a:xfrm>
          <a:off x="619125" y="36795075"/>
          <a:ext cx="876300" cy="857250"/>
        </a:xfrm>
        <a:prstGeom prst="rect">
          <a:avLst/>
        </a:prstGeom>
      </xdr:spPr>
    </xdr:pic>
    <xdr:clientData/>
  </xdr:twoCellAnchor>
  <xdr:twoCellAnchor>
    <xdr:from>
      <xdr:col>1</xdr:col>
      <xdr:colOff>9525</xdr:colOff>
      <xdr:row>52</xdr:row>
      <xdr:rowOff>9525</xdr:rowOff>
    </xdr:from>
    <xdr:to>
      <xdr:col>1</xdr:col>
      <xdr:colOff>1724025</xdr:colOff>
      <xdr:row>52</xdr:row>
      <xdr:rowOff>1724025</xdr:rowOff>
    </xdr:to>
    <xdr:pic>
      <xdr:nvPicPr>
        <xdr:cNvPr id="46" name="Picture 44">
          <a:extLst>
            <a:ext uri="{FF2B5EF4-FFF2-40B4-BE49-F238E27FC236}">
              <a16:creationId xmlns:a16="http://schemas.microsoft.com/office/drawing/2014/main" id="{3D62C1E0-0DBE-4FB5-B3FF-8BCF3EDC4D38}"/>
            </a:ext>
          </a:extLst>
        </xdr:cNvPr>
        <xdr:cNvPicPr>
          <a:picLocks noChangeAspect="1"/>
        </xdr:cNvPicPr>
      </xdr:nvPicPr>
      <xdr:blipFill>
        <a:blip xmlns:r="http://schemas.openxmlformats.org/officeDocument/2006/relationships" r:embed="rId20"/>
        <a:srcRect/>
        <a:stretch>
          <a:fillRect/>
        </a:stretch>
      </xdr:blipFill>
      <xdr:spPr>
        <a:xfrm>
          <a:off x="619125" y="37661850"/>
          <a:ext cx="876300" cy="857250"/>
        </a:xfrm>
        <a:prstGeom prst="rect">
          <a:avLst/>
        </a:prstGeom>
      </xdr:spPr>
    </xdr:pic>
    <xdr:clientData/>
  </xdr:twoCellAnchor>
  <xdr:twoCellAnchor>
    <xdr:from>
      <xdr:col>1</xdr:col>
      <xdr:colOff>9525</xdr:colOff>
      <xdr:row>53</xdr:row>
      <xdr:rowOff>9525</xdr:rowOff>
    </xdr:from>
    <xdr:to>
      <xdr:col>1</xdr:col>
      <xdr:colOff>1724025</xdr:colOff>
      <xdr:row>53</xdr:row>
      <xdr:rowOff>1724025</xdr:rowOff>
    </xdr:to>
    <xdr:pic>
      <xdr:nvPicPr>
        <xdr:cNvPr id="47" name="Picture 45">
          <a:extLst>
            <a:ext uri="{FF2B5EF4-FFF2-40B4-BE49-F238E27FC236}">
              <a16:creationId xmlns:a16="http://schemas.microsoft.com/office/drawing/2014/main" id="{BAB2EAC2-D480-459E-959A-56D3845C6B43}"/>
            </a:ext>
          </a:extLst>
        </xdr:cNvPr>
        <xdr:cNvPicPr>
          <a:picLocks noChangeAspect="1"/>
        </xdr:cNvPicPr>
      </xdr:nvPicPr>
      <xdr:blipFill>
        <a:blip xmlns:r="http://schemas.openxmlformats.org/officeDocument/2006/relationships" r:embed="rId20"/>
        <a:srcRect/>
        <a:stretch>
          <a:fillRect/>
        </a:stretch>
      </xdr:blipFill>
      <xdr:spPr>
        <a:xfrm>
          <a:off x="619125" y="38528625"/>
          <a:ext cx="876300" cy="857250"/>
        </a:xfrm>
        <a:prstGeom prst="rect">
          <a:avLst/>
        </a:prstGeom>
      </xdr:spPr>
    </xdr:pic>
    <xdr:clientData/>
  </xdr:twoCellAnchor>
  <xdr:twoCellAnchor>
    <xdr:from>
      <xdr:col>1</xdr:col>
      <xdr:colOff>9525</xdr:colOff>
      <xdr:row>54</xdr:row>
      <xdr:rowOff>9525</xdr:rowOff>
    </xdr:from>
    <xdr:to>
      <xdr:col>1</xdr:col>
      <xdr:colOff>1724025</xdr:colOff>
      <xdr:row>54</xdr:row>
      <xdr:rowOff>1724025</xdr:rowOff>
    </xdr:to>
    <xdr:pic>
      <xdr:nvPicPr>
        <xdr:cNvPr id="48" name="Picture 46">
          <a:extLst>
            <a:ext uri="{FF2B5EF4-FFF2-40B4-BE49-F238E27FC236}">
              <a16:creationId xmlns:a16="http://schemas.microsoft.com/office/drawing/2014/main" id="{BAD8B629-026D-4B3E-99B6-B55961AB9B82}"/>
            </a:ext>
          </a:extLst>
        </xdr:cNvPr>
        <xdr:cNvPicPr>
          <a:picLocks noChangeAspect="1"/>
        </xdr:cNvPicPr>
      </xdr:nvPicPr>
      <xdr:blipFill>
        <a:blip xmlns:r="http://schemas.openxmlformats.org/officeDocument/2006/relationships" r:embed="rId20"/>
        <a:srcRect/>
        <a:stretch>
          <a:fillRect/>
        </a:stretch>
      </xdr:blipFill>
      <xdr:spPr>
        <a:xfrm>
          <a:off x="619125" y="39395400"/>
          <a:ext cx="876300" cy="857250"/>
        </a:xfrm>
        <a:prstGeom prst="rect">
          <a:avLst/>
        </a:prstGeom>
      </xdr:spPr>
    </xdr:pic>
    <xdr:clientData/>
  </xdr:twoCellAnchor>
  <xdr:twoCellAnchor>
    <xdr:from>
      <xdr:col>1</xdr:col>
      <xdr:colOff>9525</xdr:colOff>
      <xdr:row>55</xdr:row>
      <xdr:rowOff>9525</xdr:rowOff>
    </xdr:from>
    <xdr:to>
      <xdr:col>1</xdr:col>
      <xdr:colOff>1724025</xdr:colOff>
      <xdr:row>55</xdr:row>
      <xdr:rowOff>1724025</xdr:rowOff>
    </xdr:to>
    <xdr:pic>
      <xdr:nvPicPr>
        <xdr:cNvPr id="49" name="Picture 47">
          <a:extLst>
            <a:ext uri="{FF2B5EF4-FFF2-40B4-BE49-F238E27FC236}">
              <a16:creationId xmlns:a16="http://schemas.microsoft.com/office/drawing/2014/main" id="{A29697AB-45B7-4539-85F9-AF246C2A93FB}"/>
            </a:ext>
          </a:extLst>
        </xdr:cNvPr>
        <xdr:cNvPicPr>
          <a:picLocks noChangeAspect="1"/>
        </xdr:cNvPicPr>
      </xdr:nvPicPr>
      <xdr:blipFill>
        <a:blip xmlns:r="http://schemas.openxmlformats.org/officeDocument/2006/relationships" r:embed="rId21"/>
        <a:srcRect/>
        <a:stretch>
          <a:fillRect/>
        </a:stretch>
      </xdr:blipFill>
      <xdr:spPr>
        <a:xfrm>
          <a:off x="619125" y="40262175"/>
          <a:ext cx="876300" cy="857250"/>
        </a:xfrm>
        <a:prstGeom prst="rect">
          <a:avLst/>
        </a:prstGeom>
      </xdr:spPr>
    </xdr:pic>
    <xdr:clientData/>
  </xdr:twoCellAnchor>
  <xdr:twoCellAnchor>
    <xdr:from>
      <xdr:col>1</xdr:col>
      <xdr:colOff>9525</xdr:colOff>
      <xdr:row>56</xdr:row>
      <xdr:rowOff>9525</xdr:rowOff>
    </xdr:from>
    <xdr:to>
      <xdr:col>1</xdr:col>
      <xdr:colOff>1724025</xdr:colOff>
      <xdr:row>56</xdr:row>
      <xdr:rowOff>1724025</xdr:rowOff>
    </xdr:to>
    <xdr:pic>
      <xdr:nvPicPr>
        <xdr:cNvPr id="50" name="Picture 48">
          <a:extLst>
            <a:ext uri="{FF2B5EF4-FFF2-40B4-BE49-F238E27FC236}">
              <a16:creationId xmlns:a16="http://schemas.microsoft.com/office/drawing/2014/main" id="{E24917F5-F543-4917-A9D9-79F1DFA84981}"/>
            </a:ext>
          </a:extLst>
        </xdr:cNvPr>
        <xdr:cNvPicPr>
          <a:picLocks noChangeAspect="1"/>
        </xdr:cNvPicPr>
      </xdr:nvPicPr>
      <xdr:blipFill>
        <a:blip xmlns:r="http://schemas.openxmlformats.org/officeDocument/2006/relationships" r:embed="rId22"/>
        <a:srcRect/>
        <a:stretch>
          <a:fillRect/>
        </a:stretch>
      </xdr:blipFill>
      <xdr:spPr>
        <a:xfrm>
          <a:off x="619125" y="41128950"/>
          <a:ext cx="876300" cy="857250"/>
        </a:xfrm>
        <a:prstGeom prst="rect">
          <a:avLst/>
        </a:prstGeom>
      </xdr:spPr>
    </xdr:pic>
    <xdr:clientData/>
  </xdr:twoCellAnchor>
  <xdr:twoCellAnchor>
    <xdr:from>
      <xdr:col>1</xdr:col>
      <xdr:colOff>9525</xdr:colOff>
      <xdr:row>57</xdr:row>
      <xdr:rowOff>9525</xdr:rowOff>
    </xdr:from>
    <xdr:to>
      <xdr:col>1</xdr:col>
      <xdr:colOff>1724025</xdr:colOff>
      <xdr:row>57</xdr:row>
      <xdr:rowOff>1724025</xdr:rowOff>
    </xdr:to>
    <xdr:pic>
      <xdr:nvPicPr>
        <xdr:cNvPr id="51" name="Picture 49">
          <a:extLst>
            <a:ext uri="{FF2B5EF4-FFF2-40B4-BE49-F238E27FC236}">
              <a16:creationId xmlns:a16="http://schemas.microsoft.com/office/drawing/2014/main" id="{8B10CA14-5EF6-40B6-8780-8F2943F88703}"/>
            </a:ext>
          </a:extLst>
        </xdr:cNvPr>
        <xdr:cNvPicPr>
          <a:picLocks noChangeAspect="1"/>
        </xdr:cNvPicPr>
      </xdr:nvPicPr>
      <xdr:blipFill>
        <a:blip xmlns:r="http://schemas.openxmlformats.org/officeDocument/2006/relationships" r:embed="rId23"/>
        <a:srcRect/>
        <a:stretch>
          <a:fillRect/>
        </a:stretch>
      </xdr:blipFill>
      <xdr:spPr>
        <a:xfrm>
          <a:off x="619125" y="41995725"/>
          <a:ext cx="876300" cy="857250"/>
        </a:xfrm>
        <a:prstGeom prst="rect">
          <a:avLst/>
        </a:prstGeom>
      </xdr:spPr>
    </xdr:pic>
    <xdr:clientData/>
  </xdr:twoCellAnchor>
  <xdr:twoCellAnchor>
    <xdr:from>
      <xdr:col>1</xdr:col>
      <xdr:colOff>9525</xdr:colOff>
      <xdr:row>58</xdr:row>
      <xdr:rowOff>9525</xdr:rowOff>
    </xdr:from>
    <xdr:to>
      <xdr:col>1</xdr:col>
      <xdr:colOff>1724025</xdr:colOff>
      <xdr:row>58</xdr:row>
      <xdr:rowOff>1724025</xdr:rowOff>
    </xdr:to>
    <xdr:pic>
      <xdr:nvPicPr>
        <xdr:cNvPr id="52" name="Picture 50">
          <a:extLst>
            <a:ext uri="{FF2B5EF4-FFF2-40B4-BE49-F238E27FC236}">
              <a16:creationId xmlns:a16="http://schemas.microsoft.com/office/drawing/2014/main" id="{4E122F9F-FD82-454A-B0AB-BB0ADEE18B2B}"/>
            </a:ext>
          </a:extLst>
        </xdr:cNvPr>
        <xdr:cNvPicPr>
          <a:picLocks noChangeAspect="1"/>
        </xdr:cNvPicPr>
      </xdr:nvPicPr>
      <xdr:blipFill>
        <a:blip xmlns:r="http://schemas.openxmlformats.org/officeDocument/2006/relationships" r:embed="rId24"/>
        <a:srcRect/>
        <a:stretch>
          <a:fillRect/>
        </a:stretch>
      </xdr:blipFill>
      <xdr:spPr>
        <a:xfrm>
          <a:off x="619125" y="42862500"/>
          <a:ext cx="876300" cy="857250"/>
        </a:xfrm>
        <a:prstGeom prst="rect">
          <a:avLst/>
        </a:prstGeom>
      </xdr:spPr>
    </xdr:pic>
    <xdr:clientData/>
  </xdr:twoCellAnchor>
  <xdr:twoCellAnchor>
    <xdr:from>
      <xdr:col>1</xdr:col>
      <xdr:colOff>9525</xdr:colOff>
      <xdr:row>59</xdr:row>
      <xdr:rowOff>9525</xdr:rowOff>
    </xdr:from>
    <xdr:to>
      <xdr:col>1</xdr:col>
      <xdr:colOff>1724025</xdr:colOff>
      <xdr:row>59</xdr:row>
      <xdr:rowOff>1724025</xdr:rowOff>
    </xdr:to>
    <xdr:pic>
      <xdr:nvPicPr>
        <xdr:cNvPr id="53" name="Picture 51">
          <a:extLst>
            <a:ext uri="{FF2B5EF4-FFF2-40B4-BE49-F238E27FC236}">
              <a16:creationId xmlns:a16="http://schemas.microsoft.com/office/drawing/2014/main" id="{DACA472C-4A10-48EC-9F85-796227C6E531}"/>
            </a:ext>
          </a:extLst>
        </xdr:cNvPr>
        <xdr:cNvPicPr>
          <a:picLocks noChangeAspect="1"/>
        </xdr:cNvPicPr>
      </xdr:nvPicPr>
      <xdr:blipFill>
        <a:blip xmlns:r="http://schemas.openxmlformats.org/officeDocument/2006/relationships" r:embed="rId25"/>
        <a:srcRect/>
        <a:stretch>
          <a:fillRect/>
        </a:stretch>
      </xdr:blipFill>
      <xdr:spPr>
        <a:xfrm>
          <a:off x="619125" y="43729275"/>
          <a:ext cx="876300" cy="857250"/>
        </a:xfrm>
        <a:prstGeom prst="rect">
          <a:avLst/>
        </a:prstGeom>
      </xdr:spPr>
    </xdr:pic>
    <xdr:clientData/>
  </xdr:twoCellAnchor>
  <xdr:twoCellAnchor>
    <xdr:from>
      <xdr:col>1</xdr:col>
      <xdr:colOff>9525</xdr:colOff>
      <xdr:row>60</xdr:row>
      <xdr:rowOff>9525</xdr:rowOff>
    </xdr:from>
    <xdr:to>
      <xdr:col>1</xdr:col>
      <xdr:colOff>1724025</xdr:colOff>
      <xdr:row>60</xdr:row>
      <xdr:rowOff>1724025</xdr:rowOff>
    </xdr:to>
    <xdr:pic>
      <xdr:nvPicPr>
        <xdr:cNvPr id="54" name="Picture 52">
          <a:extLst>
            <a:ext uri="{FF2B5EF4-FFF2-40B4-BE49-F238E27FC236}">
              <a16:creationId xmlns:a16="http://schemas.microsoft.com/office/drawing/2014/main" id="{2783E843-BAD6-4C75-B5F3-E9659AFAA68A}"/>
            </a:ext>
          </a:extLst>
        </xdr:cNvPr>
        <xdr:cNvPicPr>
          <a:picLocks noChangeAspect="1"/>
        </xdr:cNvPicPr>
      </xdr:nvPicPr>
      <xdr:blipFill>
        <a:blip xmlns:r="http://schemas.openxmlformats.org/officeDocument/2006/relationships" r:embed="rId26"/>
        <a:srcRect/>
        <a:stretch>
          <a:fillRect/>
        </a:stretch>
      </xdr:blipFill>
      <xdr:spPr>
        <a:xfrm>
          <a:off x="619125" y="44596050"/>
          <a:ext cx="876300" cy="857250"/>
        </a:xfrm>
        <a:prstGeom prst="rect">
          <a:avLst/>
        </a:prstGeom>
      </xdr:spPr>
    </xdr:pic>
    <xdr:clientData/>
  </xdr:twoCellAnchor>
  <xdr:twoCellAnchor>
    <xdr:from>
      <xdr:col>1</xdr:col>
      <xdr:colOff>9525</xdr:colOff>
      <xdr:row>61</xdr:row>
      <xdr:rowOff>9525</xdr:rowOff>
    </xdr:from>
    <xdr:to>
      <xdr:col>1</xdr:col>
      <xdr:colOff>1724025</xdr:colOff>
      <xdr:row>61</xdr:row>
      <xdr:rowOff>1724025</xdr:rowOff>
    </xdr:to>
    <xdr:pic>
      <xdr:nvPicPr>
        <xdr:cNvPr id="55" name="Picture 53">
          <a:extLst>
            <a:ext uri="{FF2B5EF4-FFF2-40B4-BE49-F238E27FC236}">
              <a16:creationId xmlns:a16="http://schemas.microsoft.com/office/drawing/2014/main" id="{5A1D6E2A-7DA0-4B1C-8CDF-94FBC4C2CAE3}"/>
            </a:ext>
          </a:extLst>
        </xdr:cNvPr>
        <xdr:cNvPicPr>
          <a:picLocks noChangeAspect="1"/>
        </xdr:cNvPicPr>
      </xdr:nvPicPr>
      <xdr:blipFill>
        <a:blip xmlns:r="http://schemas.openxmlformats.org/officeDocument/2006/relationships" r:embed="rId27"/>
        <a:srcRect/>
        <a:stretch>
          <a:fillRect/>
        </a:stretch>
      </xdr:blipFill>
      <xdr:spPr>
        <a:xfrm>
          <a:off x="619125" y="45462825"/>
          <a:ext cx="876300" cy="857250"/>
        </a:xfrm>
        <a:prstGeom prst="rect">
          <a:avLst/>
        </a:prstGeom>
      </xdr:spPr>
    </xdr:pic>
    <xdr:clientData/>
  </xdr:twoCellAnchor>
  <xdr:twoCellAnchor>
    <xdr:from>
      <xdr:col>1</xdr:col>
      <xdr:colOff>9525</xdr:colOff>
      <xdr:row>62</xdr:row>
      <xdr:rowOff>9525</xdr:rowOff>
    </xdr:from>
    <xdr:to>
      <xdr:col>1</xdr:col>
      <xdr:colOff>1724025</xdr:colOff>
      <xdr:row>62</xdr:row>
      <xdr:rowOff>1724025</xdr:rowOff>
    </xdr:to>
    <xdr:pic>
      <xdr:nvPicPr>
        <xdr:cNvPr id="56" name="Picture 54">
          <a:extLst>
            <a:ext uri="{FF2B5EF4-FFF2-40B4-BE49-F238E27FC236}">
              <a16:creationId xmlns:a16="http://schemas.microsoft.com/office/drawing/2014/main" id="{C05D60F4-BB29-4131-80FE-0A327C579876}"/>
            </a:ext>
          </a:extLst>
        </xdr:cNvPr>
        <xdr:cNvPicPr>
          <a:picLocks noChangeAspect="1"/>
        </xdr:cNvPicPr>
      </xdr:nvPicPr>
      <xdr:blipFill>
        <a:blip xmlns:r="http://schemas.openxmlformats.org/officeDocument/2006/relationships" r:embed="rId28"/>
        <a:srcRect/>
        <a:stretch>
          <a:fillRect/>
        </a:stretch>
      </xdr:blipFill>
      <xdr:spPr>
        <a:xfrm>
          <a:off x="619125" y="46329600"/>
          <a:ext cx="876300" cy="857250"/>
        </a:xfrm>
        <a:prstGeom prst="rect">
          <a:avLst/>
        </a:prstGeom>
      </xdr:spPr>
    </xdr:pic>
    <xdr:clientData/>
  </xdr:twoCellAnchor>
  <xdr:twoCellAnchor>
    <xdr:from>
      <xdr:col>1</xdr:col>
      <xdr:colOff>9525</xdr:colOff>
      <xdr:row>63</xdr:row>
      <xdr:rowOff>9525</xdr:rowOff>
    </xdr:from>
    <xdr:to>
      <xdr:col>1</xdr:col>
      <xdr:colOff>1724025</xdr:colOff>
      <xdr:row>63</xdr:row>
      <xdr:rowOff>1724025</xdr:rowOff>
    </xdr:to>
    <xdr:pic>
      <xdr:nvPicPr>
        <xdr:cNvPr id="57" name="Picture 55">
          <a:extLst>
            <a:ext uri="{FF2B5EF4-FFF2-40B4-BE49-F238E27FC236}">
              <a16:creationId xmlns:a16="http://schemas.microsoft.com/office/drawing/2014/main" id="{F78D1391-CC3F-45B7-A7D9-8E9072BF2782}"/>
            </a:ext>
          </a:extLst>
        </xdr:cNvPr>
        <xdr:cNvPicPr>
          <a:picLocks noChangeAspect="1"/>
        </xdr:cNvPicPr>
      </xdr:nvPicPr>
      <xdr:blipFill>
        <a:blip xmlns:r="http://schemas.openxmlformats.org/officeDocument/2006/relationships" r:embed="rId29"/>
        <a:srcRect/>
        <a:stretch>
          <a:fillRect/>
        </a:stretch>
      </xdr:blipFill>
      <xdr:spPr>
        <a:xfrm>
          <a:off x="619125" y="47196375"/>
          <a:ext cx="876300" cy="857250"/>
        </a:xfrm>
        <a:prstGeom prst="rect">
          <a:avLst/>
        </a:prstGeom>
      </xdr:spPr>
    </xdr:pic>
    <xdr:clientData/>
  </xdr:twoCellAnchor>
  <xdr:twoCellAnchor>
    <xdr:from>
      <xdr:col>1</xdr:col>
      <xdr:colOff>9525</xdr:colOff>
      <xdr:row>64</xdr:row>
      <xdr:rowOff>9525</xdr:rowOff>
    </xdr:from>
    <xdr:to>
      <xdr:col>1</xdr:col>
      <xdr:colOff>1724025</xdr:colOff>
      <xdr:row>64</xdr:row>
      <xdr:rowOff>1724025</xdr:rowOff>
    </xdr:to>
    <xdr:pic>
      <xdr:nvPicPr>
        <xdr:cNvPr id="58" name="Picture 56">
          <a:extLst>
            <a:ext uri="{FF2B5EF4-FFF2-40B4-BE49-F238E27FC236}">
              <a16:creationId xmlns:a16="http://schemas.microsoft.com/office/drawing/2014/main" id="{6188AC7F-C152-4BF3-BAF3-D21F8D658A45}"/>
            </a:ext>
          </a:extLst>
        </xdr:cNvPr>
        <xdr:cNvPicPr>
          <a:picLocks noChangeAspect="1"/>
        </xdr:cNvPicPr>
      </xdr:nvPicPr>
      <xdr:blipFill>
        <a:blip xmlns:r="http://schemas.openxmlformats.org/officeDocument/2006/relationships" r:embed="rId30"/>
        <a:srcRect/>
        <a:stretch>
          <a:fillRect/>
        </a:stretch>
      </xdr:blipFill>
      <xdr:spPr>
        <a:xfrm>
          <a:off x="619125" y="48063150"/>
          <a:ext cx="876300" cy="857250"/>
        </a:xfrm>
        <a:prstGeom prst="rect">
          <a:avLst/>
        </a:prstGeom>
      </xdr:spPr>
    </xdr:pic>
    <xdr:clientData/>
  </xdr:twoCellAnchor>
  <xdr:twoCellAnchor>
    <xdr:from>
      <xdr:col>1</xdr:col>
      <xdr:colOff>9525</xdr:colOff>
      <xdr:row>65</xdr:row>
      <xdr:rowOff>9525</xdr:rowOff>
    </xdr:from>
    <xdr:to>
      <xdr:col>1</xdr:col>
      <xdr:colOff>1724025</xdr:colOff>
      <xdr:row>65</xdr:row>
      <xdr:rowOff>1724025</xdr:rowOff>
    </xdr:to>
    <xdr:pic>
      <xdr:nvPicPr>
        <xdr:cNvPr id="59" name="Picture 57">
          <a:extLst>
            <a:ext uri="{FF2B5EF4-FFF2-40B4-BE49-F238E27FC236}">
              <a16:creationId xmlns:a16="http://schemas.microsoft.com/office/drawing/2014/main" id="{7A05B8EB-4F3C-4822-BD5D-5155BEB441F8}"/>
            </a:ext>
          </a:extLst>
        </xdr:cNvPr>
        <xdr:cNvPicPr>
          <a:picLocks noChangeAspect="1"/>
        </xdr:cNvPicPr>
      </xdr:nvPicPr>
      <xdr:blipFill>
        <a:blip xmlns:r="http://schemas.openxmlformats.org/officeDocument/2006/relationships" r:embed="rId31"/>
        <a:srcRect/>
        <a:stretch>
          <a:fillRect/>
        </a:stretch>
      </xdr:blipFill>
      <xdr:spPr>
        <a:xfrm>
          <a:off x="619125" y="48929925"/>
          <a:ext cx="876300" cy="857250"/>
        </a:xfrm>
        <a:prstGeom prst="rect">
          <a:avLst/>
        </a:prstGeom>
      </xdr:spPr>
    </xdr:pic>
    <xdr:clientData/>
  </xdr:twoCellAnchor>
  <xdr:twoCellAnchor>
    <xdr:from>
      <xdr:col>1</xdr:col>
      <xdr:colOff>9525</xdr:colOff>
      <xdr:row>66</xdr:row>
      <xdr:rowOff>9525</xdr:rowOff>
    </xdr:from>
    <xdr:to>
      <xdr:col>1</xdr:col>
      <xdr:colOff>1724025</xdr:colOff>
      <xdr:row>66</xdr:row>
      <xdr:rowOff>1724025</xdr:rowOff>
    </xdr:to>
    <xdr:pic>
      <xdr:nvPicPr>
        <xdr:cNvPr id="60" name="Picture 58">
          <a:extLst>
            <a:ext uri="{FF2B5EF4-FFF2-40B4-BE49-F238E27FC236}">
              <a16:creationId xmlns:a16="http://schemas.microsoft.com/office/drawing/2014/main" id="{34A75D6A-D0A1-41FC-AD17-FE17133567EC}"/>
            </a:ext>
          </a:extLst>
        </xdr:cNvPr>
        <xdr:cNvPicPr>
          <a:picLocks noChangeAspect="1"/>
        </xdr:cNvPicPr>
      </xdr:nvPicPr>
      <xdr:blipFill>
        <a:blip xmlns:r="http://schemas.openxmlformats.org/officeDocument/2006/relationships" r:embed="rId32"/>
        <a:srcRect/>
        <a:stretch>
          <a:fillRect/>
        </a:stretch>
      </xdr:blipFill>
      <xdr:spPr>
        <a:xfrm>
          <a:off x="619125" y="49796700"/>
          <a:ext cx="876300" cy="857250"/>
        </a:xfrm>
        <a:prstGeom prst="rect">
          <a:avLst/>
        </a:prstGeom>
      </xdr:spPr>
    </xdr:pic>
    <xdr:clientData/>
  </xdr:twoCellAnchor>
  <xdr:twoCellAnchor>
    <xdr:from>
      <xdr:col>1</xdr:col>
      <xdr:colOff>9525</xdr:colOff>
      <xdr:row>67</xdr:row>
      <xdr:rowOff>9525</xdr:rowOff>
    </xdr:from>
    <xdr:to>
      <xdr:col>1</xdr:col>
      <xdr:colOff>1724025</xdr:colOff>
      <xdr:row>67</xdr:row>
      <xdr:rowOff>1724025</xdr:rowOff>
    </xdr:to>
    <xdr:pic>
      <xdr:nvPicPr>
        <xdr:cNvPr id="61" name="Picture 59">
          <a:extLst>
            <a:ext uri="{FF2B5EF4-FFF2-40B4-BE49-F238E27FC236}">
              <a16:creationId xmlns:a16="http://schemas.microsoft.com/office/drawing/2014/main" id="{6AB75906-2655-42B4-9F69-E1BAEB53B118}"/>
            </a:ext>
          </a:extLst>
        </xdr:cNvPr>
        <xdr:cNvPicPr>
          <a:picLocks noChangeAspect="1"/>
        </xdr:cNvPicPr>
      </xdr:nvPicPr>
      <xdr:blipFill>
        <a:blip xmlns:r="http://schemas.openxmlformats.org/officeDocument/2006/relationships" r:embed="rId33"/>
        <a:srcRect/>
        <a:stretch>
          <a:fillRect/>
        </a:stretch>
      </xdr:blipFill>
      <xdr:spPr>
        <a:xfrm>
          <a:off x="619125" y="50663475"/>
          <a:ext cx="876300" cy="857250"/>
        </a:xfrm>
        <a:prstGeom prst="rect">
          <a:avLst/>
        </a:prstGeom>
      </xdr:spPr>
    </xdr:pic>
    <xdr:clientData/>
  </xdr:twoCellAnchor>
  <xdr:twoCellAnchor>
    <xdr:from>
      <xdr:col>1</xdr:col>
      <xdr:colOff>9525</xdr:colOff>
      <xdr:row>68</xdr:row>
      <xdr:rowOff>9525</xdr:rowOff>
    </xdr:from>
    <xdr:to>
      <xdr:col>1</xdr:col>
      <xdr:colOff>1724025</xdr:colOff>
      <xdr:row>68</xdr:row>
      <xdr:rowOff>1724025</xdr:rowOff>
    </xdr:to>
    <xdr:pic>
      <xdr:nvPicPr>
        <xdr:cNvPr id="62" name="Picture 60">
          <a:extLst>
            <a:ext uri="{FF2B5EF4-FFF2-40B4-BE49-F238E27FC236}">
              <a16:creationId xmlns:a16="http://schemas.microsoft.com/office/drawing/2014/main" id="{BCF5CDFB-A590-45F5-A628-EA6D73919463}"/>
            </a:ext>
          </a:extLst>
        </xdr:cNvPr>
        <xdr:cNvPicPr>
          <a:picLocks noChangeAspect="1"/>
        </xdr:cNvPicPr>
      </xdr:nvPicPr>
      <xdr:blipFill>
        <a:blip xmlns:r="http://schemas.openxmlformats.org/officeDocument/2006/relationships" r:embed="rId34"/>
        <a:srcRect/>
        <a:stretch>
          <a:fillRect/>
        </a:stretch>
      </xdr:blipFill>
      <xdr:spPr>
        <a:xfrm>
          <a:off x="619125" y="51530250"/>
          <a:ext cx="876300" cy="857250"/>
        </a:xfrm>
        <a:prstGeom prst="rect">
          <a:avLst/>
        </a:prstGeom>
      </xdr:spPr>
    </xdr:pic>
    <xdr:clientData/>
  </xdr:twoCellAnchor>
  <xdr:twoCellAnchor>
    <xdr:from>
      <xdr:col>1</xdr:col>
      <xdr:colOff>9525</xdr:colOff>
      <xdr:row>69</xdr:row>
      <xdr:rowOff>9525</xdr:rowOff>
    </xdr:from>
    <xdr:to>
      <xdr:col>1</xdr:col>
      <xdr:colOff>1724025</xdr:colOff>
      <xdr:row>69</xdr:row>
      <xdr:rowOff>1724025</xdr:rowOff>
    </xdr:to>
    <xdr:pic>
      <xdr:nvPicPr>
        <xdr:cNvPr id="63" name="Picture 61">
          <a:extLst>
            <a:ext uri="{FF2B5EF4-FFF2-40B4-BE49-F238E27FC236}">
              <a16:creationId xmlns:a16="http://schemas.microsoft.com/office/drawing/2014/main" id="{7CBDA5A5-6959-4E93-AF13-3238EE78373A}"/>
            </a:ext>
          </a:extLst>
        </xdr:cNvPr>
        <xdr:cNvPicPr>
          <a:picLocks noChangeAspect="1"/>
        </xdr:cNvPicPr>
      </xdr:nvPicPr>
      <xdr:blipFill>
        <a:blip xmlns:r="http://schemas.openxmlformats.org/officeDocument/2006/relationships" r:embed="rId35"/>
        <a:srcRect/>
        <a:stretch>
          <a:fillRect/>
        </a:stretch>
      </xdr:blipFill>
      <xdr:spPr>
        <a:xfrm>
          <a:off x="619125" y="52397025"/>
          <a:ext cx="876300" cy="857250"/>
        </a:xfrm>
        <a:prstGeom prst="rect">
          <a:avLst/>
        </a:prstGeom>
      </xdr:spPr>
    </xdr:pic>
    <xdr:clientData/>
  </xdr:twoCellAnchor>
  <xdr:twoCellAnchor>
    <xdr:from>
      <xdr:col>1</xdr:col>
      <xdr:colOff>9525</xdr:colOff>
      <xdr:row>70</xdr:row>
      <xdr:rowOff>9525</xdr:rowOff>
    </xdr:from>
    <xdr:to>
      <xdr:col>1</xdr:col>
      <xdr:colOff>1724025</xdr:colOff>
      <xdr:row>70</xdr:row>
      <xdr:rowOff>1724025</xdr:rowOff>
    </xdr:to>
    <xdr:pic>
      <xdr:nvPicPr>
        <xdr:cNvPr id="64" name="Picture 62">
          <a:extLst>
            <a:ext uri="{FF2B5EF4-FFF2-40B4-BE49-F238E27FC236}">
              <a16:creationId xmlns:a16="http://schemas.microsoft.com/office/drawing/2014/main" id="{8E065E2B-F287-4411-9219-12FF6D047822}"/>
            </a:ext>
          </a:extLst>
        </xdr:cNvPr>
        <xdr:cNvPicPr>
          <a:picLocks noChangeAspect="1"/>
        </xdr:cNvPicPr>
      </xdr:nvPicPr>
      <xdr:blipFill>
        <a:blip xmlns:r="http://schemas.openxmlformats.org/officeDocument/2006/relationships" r:embed="rId36"/>
        <a:srcRect/>
        <a:stretch>
          <a:fillRect/>
        </a:stretch>
      </xdr:blipFill>
      <xdr:spPr>
        <a:xfrm>
          <a:off x="619125" y="53263800"/>
          <a:ext cx="876300" cy="857250"/>
        </a:xfrm>
        <a:prstGeom prst="rect">
          <a:avLst/>
        </a:prstGeom>
      </xdr:spPr>
    </xdr:pic>
    <xdr:clientData/>
  </xdr:twoCellAnchor>
  <xdr:twoCellAnchor>
    <xdr:from>
      <xdr:col>1</xdr:col>
      <xdr:colOff>9525</xdr:colOff>
      <xdr:row>71</xdr:row>
      <xdr:rowOff>9525</xdr:rowOff>
    </xdr:from>
    <xdr:to>
      <xdr:col>1</xdr:col>
      <xdr:colOff>1724025</xdr:colOff>
      <xdr:row>71</xdr:row>
      <xdr:rowOff>1724025</xdr:rowOff>
    </xdr:to>
    <xdr:pic>
      <xdr:nvPicPr>
        <xdr:cNvPr id="65" name="Picture 63">
          <a:extLst>
            <a:ext uri="{FF2B5EF4-FFF2-40B4-BE49-F238E27FC236}">
              <a16:creationId xmlns:a16="http://schemas.microsoft.com/office/drawing/2014/main" id="{5255533E-1FEF-43DC-911C-D7959C96AFB4}"/>
            </a:ext>
          </a:extLst>
        </xdr:cNvPr>
        <xdr:cNvPicPr>
          <a:picLocks noChangeAspect="1"/>
        </xdr:cNvPicPr>
      </xdr:nvPicPr>
      <xdr:blipFill>
        <a:blip xmlns:r="http://schemas.openxmlformats.org/officeDocument/2006/relationships" r:embed="rId37"/>
        <a:srcRect/>
        <a:stretch>
          <a:fillRect/>
        </a:stretch>
      </xdr:blipFill>
      <xdr:spPr>
        <a:xfrm>
          <a:off x="619125" y="54130575"/>
          <a:ext cx="876300" cy="857250"/>
        </a:xfrm>
        <a:prstGeom prst="rect">
          <a:avLst/>
        </a:prstGeom>
      </xdr:spPr>
    </xdr:pic>
    <xdr:clientData/>
  </xdr:twoCellAnchor>
  <xdr:twoCellAnchor>
    <xdr:from>
      <xdr:col>1</xdr:col>
      <xdr:colOff>9525</xdr:colOff>
      <xdr:row>72</xdr:row>
      <xdr:rowOff>9525</xdr:rowOff>
    </xdr:from>
    <xdr:to>
      <xdr:col>1</xdr:col>
      <xdr:colOff>1724025</xdr:colOff>
      <xdr:row>72</xdr:row>
      <xdr:rowOff>1724025</xdr:rowOff>
    </xdr:to>
    <xdr:pic>
      <xdr:nvPicPr>
        <xdr:cNvPr id="66" name="Picture 64">
          <a:extLst>
            <a:ext uri="{FF2B5EF4-FFF2-40B4-BE49-F238E27FC236}">
              <a16:creationId xmlns:a16="http://schemas.microsoft.com/office/drawing/2014/main" id="{FFC4B084-6497-4310-88FD-53CFDC387F38}"/>
            </a:ext>
          </a:extLst>
        </xdr:cNvPr>
        <xdr:cNvPicPr>
          <a:picLocks noChangeAspect="1"/>
        </xdr:cNvPicPr>
      </xdr:nvPicPr>
      <xdr:blipFill>
        <a:blip xmlns:r="http://schemas.openxmlformats.org/officeDocument/2006/relationships" r:embed="rId38"/>
        <a:srcRect/>
        <a:stretch>
          <a:fillRect/>
        </a:stretch>
      </xdr:blipFill>
      <xdr:spPr>
        <a:xfrm>
          <a:off x="619125" y="54997350"/>
          <a:ext cx="876300" cy="857250"/>
        </a:xfrm>
        <a:prstGeom prst="rect">
          <a:avLst/>
        </a:prstGeom>
      </xdr:spPr>
    </xdr:pic>
    <xdr:clientData/>
  </xdr:twoCellAnchor>
  <xdr:twoCellAnchor>
    <xdr:from>
      <xdr:col>1</xdr:col>
      <xdr:colOff>9525</xdr:colOff>
      <xdr:row>73</xdr:row>
      <xdr:rowOff>9525</xdr:rowOff>
    </xdr:from>
    <xdr:to>
      <xdr:col>1</xdr:col>
      <xdr:colOff>1724025</xdr:colOff>
      <xdr:row>73</xdr:row>
      <xdr:rowOff>1724025</xdr:rowOff>
    </xdr:to>
    <xdr:pic>
      <xdr:nvPicPr>
        <xdr:cNvPr id="67" name="Picture 65">
          <a:extLst>
            <a:ext uri="{FF2B5EF4-FFF2-40B4-BE49-F238E27FC236}">
              <a16:creationId xmlns:a16="http://schemas.microsoft.com/office/drawing/2014/main" id="{18829801-5EB6-4144-996B-1E0C6A9D1786}"/>
            </a:ext>
          </a:extLst>
        </xdr:cNvPr>
        <xdr:cNvPicPr>
          <a:picLocks noChangeAspect="1"/>
        </xdr:cNvPicPr>
      </xdr:nvPicPr>
      <xdr:blipFill>
        <a:blip xmlns:r="http://schemas.openxmlformats.org/officeDocument/2006/relationships" r:embed="rId39"/>
        <a:srcRect/>
        <a:stretch>
          <a:fillRect/>
        </a:stretch>
      </xdr:blipFill>
      <xdr:spPr>
        <a:xfrm>
          <a:off x="619125" y="55864125"/>
          <a:ext cx="876300" cy="857250"/>
        </a:xfrm>
        <a:prstGeom prst="rect">
          <a:avLst/>
        </a:prstGeom>
      </xdr:spPr>
    </xdr:pic>
    <xdr:clientData/>
  </xdr:twoCellAnchor>
  <xdr:twoCellAnchor>
    <xdr:from>
      <xdr:col>1</xdr:col>
      <xdr:colOff>9525</xdr:colOff>
      <xdr:row>74</xdr:row>
      <xdr:rowOff>9525</xdr:rowOff>
    </xdr:from>
    <xdr:to>
      <xdr:col>1</xdr:col>
      <xdr:colOff>1724025</xdr:colOff>
      <xdr:row>74</xdr:row>
      <xdr:rowOff>1724025</xdr:rowOff>
    </xdr:to>
    <xdr:pic>
      <xdr:nvPicPr>
        <xdr:cNvPr id="68" name="Picture 66">
          <a:extLst>
            <a:ext uri="{FF2B5EF4-FFF2-40B4-BE49-F238E27FC236}">
              <a16:creationId xmlns:a16="http://schemas.microsoft.com/office/drawing/2014/main" id="{406BD1B8-B232-4265-8704-2447A088D688}"/>
            </a:ext>
          </a:extLst>
        </xdr:cNvPr>
        <xdr:cNvPicPr>
          <a:picLocks noChangeAspect="1"/>
        </xdr:cNvPicPr>
      </xdr:nvPicPr>
      <xdr:blipFill>
        <a:blip xmlns:r="http://schemas.openxmlformats.org/officeDocument/2006/relationships" r:embed="rId40"/>
        <a:srcRect/>
        <a:stretch>
          <a:fillRect/>
        </a:stretch>
      </xdr:blipFill>
      <xdr:spPr>
        <a:xfrm>
          <a:off x="619125" y="56730900"/>
          <a:ext cx="876300" cy="857250"/>
        </a:xfrm>
        <a:prstGeom prst="rect">
          <a:avLst/>
        </a:prstGeom>
      </xdr:spPr>
    </xdr:pic>
    <xdr:clientData/>
  </xdr:twoCellAnchor>
  <xdr:twoCellAnchor>
    <xdr:from>
      <xdr:col>1</xdr:col>
      <xdr:colOff>9525</xdr:colOff>
      <xdr:row>75</xdr:row>
      <xdr:rowOff>9525</xdr:rowOff>
    </xdr:from>
    <xdr:to>
      <xdr:col>1</xdr:col>
      <xdr:colOff>1724025</xdr:colOff>
      <xdr:row>75</xdr:row>
      <xdr:rowOff>1724025</xdr:rowOff>
    </xdr:to>
    <xdr:pic>
      <xdr:nvPicPr>
        <xdr:cNvPr id="69" name="Picture 67">
          <a:extLst>
            <a:ext uri="{FF2B5EF4-FFF2-40B4-BE49-F238E27FC236}">
              <a16:creationId xmlns:a16="http://schemas.microsoft.com/office/drawing/2014/main" id="{526E3604-49A7-47CF-A354-894FA57AF833}"/>
            </a:ext>
          </a:extLst>
        </xdr:cNvPr>
        <xdr:cNvPicPr>
          <a:picLocks noChangeAspect="1"/>
        </xdr:cNvPicPr>
      </xdr:nvPicPr>
      <xdr:blipFill>
        <a:blip xmlns:r="http://schemas.openxmlformats.org/officeDocument/2006/relationships" r:embed="rId41"/>
        <a:srcRect/>
        <a:stretch>
          <a:fillRect/>
        </a:stretch>
      </xdr:blipFill>
      <xdr:spPr>
        <a:xfrm>
          <a:off x="619125" y="57597675"/>
          <a:ext cx="876300" cy="857250"/>
        </a:xfrm>
        <a:prstGeom prst="rect">
          <a:avLst/>
        </a:prstGeom>
      </xdr:spPr>
    </xdr:pic>
    <xdr:clientData/>
  </xdr:twoCellAnchor>
  <xdr:twoCellAnchor>
    <xdr:from>
      <xdr:col>1</xdr:col>
      <xdr:colOff>9525</xdr:colOff>
      <xdr:row>76</xdr:row>
      <xdr:rowOff>9525</xdr:rowOff>
    </xdr:from>
    <xdr:to>
      <xdr:col>1</xdr:col>
      <xdr:colOff>1724025</xdr:colOff>
      <xdr:row>76</xdr:row>
      <xdr:rowOff>1724025</xdr:rowOff>
    </xdr:to>
    <xdr:pic>
      <xdr:nvPicPr>
        <xdr:cNvPr id="70" name="Picture 68">
          <a:extLst>
            <a:ext uri="{FF2B5EF4-FFF2-40B4-BE49-F238E27FC236}">
              <a16:creationId xmlns:a16="http://schemas.microsoft.com/office/drawing/2014/main" id="{D3985C11-3D94-4049-A21B-F0AE38349F92}"/>
            </a:ext>
          </a:extLst>
        </xdr:cNvPr>
        <xdr:cNvPicPr>
          <a:picLocks noChangeAspect="1"/>
        </xdr:cNvPicPr>
      </xdr:nvPicPr>
      <xdr:blipFill>
        <a:blip xmlns:r="http://schemas.openxmlformats.org/officeDocument/2006/relationships" r:embed="rId42"/>
        <a:srcRect/>
        <a:stretch>
          <a:fillRect/>
        </a:stretch>
      </xdr:blipFill>
      <xdr:spPr>
        <a:xfrm>
          <a:off x="619125" y="58464450"/>
          <a:ext cx="876300" cy="857250"/>
        </a:xfrm>
        <a:prstGeom prst="rect">
          <a:avLst/>
        </a:prstGeom>
      </xdr:spPr>
    </xdr:pic>
    <xdr:clientData/>
  </xdr:twoCellAnchor>
  <xdr:twoCellAnchor>
    <xdr:from>
      <xdr:col>1</xdr:col>
      <xdr:colOff>9525</xdr:colOff>
      <xdr:row>77</xdr:row>
      <xdr:rowOff>9525</xdr:rowOff>
    </xdr:from>
    <xdr:to>
      <xdr:col>1</xdr:col>
      <xdr:colOff>1724025</xdr:colOff>
      <xdr:row>77</xdr:row>
      <xdr:rowOff>1724025</xdr:rowOff>
    </xdr:to>
    <xdr:pic>
      <xdr:nvPicPr>
        <xdr:cNvPr id="71" name="Picture 69">
          <a:extLst>
            <a:ext uri="{FF2B5EF4-FFF2-40B4-BE49-F238E27FC236}">
              <a16:creationId xmlns:a16="http://schemas.microsoft.com/office/drawing/2014/main" id="{BCF24145-1ED9-4986-B73B-0647F8CF749D}"/>
            </a:ext>
          </a:extLst>
        </xdr:cNvPr>
        <xdr:cNvPicPr>
          <a:picLocks noChangeAspect="1"/>
        </xdr:cNvPicPr>
      </xdr:nvPicPr>
      <xdr:blipFill>
        <a:blip xmlns:r="http://schemas.openxmlformats.org/officeDocument/2006/relationships" r:embed="rId43"/>
        <a:srcRect/>
        <a:stretch>
          <a:fillRect/>
        </a:stretch>
      </xdr:blipFill>
      <xdr:spPr>
        <a:xfrm>
          <a:off x="619125" y="59331225"/>
          <a:ext cx="876300" cy="857250"/>
        </a:xfrm>
        <a:prstGeom prst="rect">
          <a:avLst/>
        </a:prstGeom>
      </xdr:spPr>
    </xdr:pic>
    <xdr:clientData/>
  </xdr:twoCellAnchor>
  <xdr:twoCellAnchor>
    <xdr:from>
      <xdr:col>1</xdr:col>
      <xdr:colOff>9525</xdr:colOff>
      <xdr:row>78</xdr:row>
      <xdr:rowOff>9525</xdr:rowOff>
    </xdr:from>
    <xdr:to>
      <xdr:col>1</xdr:col>
      <xdr:colOff>1724025</xdr:colOff>
      <xdr:row>78</xdr:row>
      <xdr:rowOff>1724025</xdr:rowOff>
    </xdr:to>
    <xdr:pic>
      <xdr:nvPicPr>
        <xdr:cNvPr id="72" name="Picture 70">
          <a:extLst>
            <a:ext uri="{FF2B5EF4-FFF2-40B4-BE49-F238E27FC236}">
              <a16:creationId xmlns:a16="http://schemas.microsoft.com/office/drawing/2014/main" id="{5D762DD7-1D04-4EE2-A5DB-4E06C2F0660C}"/>
            </a:ext>
          </a:extLst>
        </xdr:cNvPr>
        <xdr:cNvPicPr>
          <a:picLocks noChangeAspect="1"/>
        </xdr:cNvPicPr>
      </xdr:nvPicPr>
      <xdr:blipFill>
        <a:blip xmlns:r="http://schemas.openxmlformats.org/officeDocument/2006/relationships" r:embed="rId44"/>
        <a:srcRect/>
        <a:stretch>
          <a:fillRect/>
        </a:stretch>
      </xdr:blipFill>
      <xdr:spPr>
        <a:xfrm>
          <a:off x="619125" y="60198000"/>
          <a:ext cx="876300" cy="857250"/>
        </a:xfrm>
        <a:prstGeom prst="rect">
          <a:avLst/>
        </a:prstGeom>
      </xdr:spPr>
    </xdr:pic>
    <xdr:clientData/>
  </xdr:twoCellAnchor>
  <xdr:twoCellAnchor>
    <xdr:from>
      <xdr:col>1</xdr:col>
      <xdr:colOff>9525</xdr:colOff>
      <xdr:row>79</xdr:row>
      <xdr:rowOff>9525</xdr:rowOff>
    </xdr:from>
    <xdr:to>
      <xdr:col>1</xdr:col>
      <xdr:colOff>1724025</xdr:colOff>
      <xdr:row>79</xdr:row>
      <xdr:rowOff>1724025</xdr:rowOff>
    </xdr:to>
    <xdr:pic>
      <xdr:nvPicPr>
        <xdr:cNvPr id="73" name="Picture 71">
          <a:extLst>
            <a:ext uri="{FF2B5EF4-FFF2-40B4-BE49-F238E27FC236}">
              <a16:creationId xmlns:a16="http://schemas.microsoft.com/office/drawing/2014/main" id="{98F3DAE4-940D-4A74-80FA-9772D63C9C26}"/>
            </a:ext>
          </a:extLst>
        </xdr:cNvPr>
        <xdr:cNvPicPr>
          <a:picLocks noChangeAspect="1"/>
        </xdr:cNvPicPr>
      </xdr:nvPicPr>
      <xdr:blipFill>
        <a:blip xmlns:r="http://schemas.openxmlformats.org/officeDocument/2006/relationships" r:embed="rId45"/>
        <a:srcRect/>
        <a:stretch>
          <a:fillRect/>
        </a:stretch>
      </xdr:blipFill>
      <xdr:spPr>
        <a:xfrm>
          <a:off x="619125" y="61064775"/>
          <a:ext cx="876300" cy="857250"/>
        </a:xfrm>
        <a:prstGeom prst="rect">
          <a:avLst/>
        </a:prstGeom>
      </xdr:spPr>
    </xdr:pic>
    <xdr:clientData/>
  </xdr:twoCellAnchor>
  <xdr:twoCellAnchor>
    <xdr:from>
      <xdr:col>1</xdr:col>
      <xdr:colOff>9525</xdr:colOff>
      <xdr:row>80</xdr:row>
      <xdr:rowOff>9525</xdr:rowOff>
    </xdr:from>
    <xdr:to>
      <xdr:col>1</xdr:col>
      <xdr:colOff>1724025</xdr:colOff>
      <xdr:row>80</xdr:row>
      <xdr:rowOff>1724025</xdr:rowOff>
    </xdr:to>
    <xdr:pic>
      <xdr:nvPicPr>
        <xdr:cNvPr id="74" name="Picture 72">
          <a:extLst>
            <a:ext uri="{FF2B5EF4-FFF2-40B4-BE49-F238E27FC236}">
              <a16:creationId xmlns:a16="http://schemas.microsoft.com/office/drawing/2014/main" id="{75A2CEC9-47FF-4B51-BBC0-F83AE3972176}"/>
            </a:ext>
          </a:extLst>
        </xdr:cNvPr>
        <xdr:cNvPicPr>
          <a:picLocks noChangeAspect="1"/>
        </xdr:cNvPicPr>
      </xdr:nvPicPr>
      <xdr:blipFill>
        <a:blip xmlns:r="http://schemas.openxmlformats.org/officeDocument/2006/relationships" r:embed="rId46"/>
        <a:srcRect/>
        <a:stretch>
          <a:fillRect/>
        </a:stretch>
      </xdr:blipFill>
      <xdr:spPr>
        <a:xfrm>
          <a:off x="619125" y="61931550"/>
          <a:ext cx="876300" cy="857250"/>
        </a:xfrm>
        <a:prstGeom prst="rect">
          <a:avLst/>
        </a:prstGeom>
      </xdr:spPr>
    </xdr:pic>
    <xdr:clientData/>
  </xdr:twoCellAnchor>
  <xdr:twoCellAnchor>
    <xdr:from>
      <xdr:col>1</xdr:col>
      <xdr:colOff>9525</xdr:colOff>
      <xdr:row>81</xdr:row>
      <xdr:rowOff>9525</xdr:rowOff>
    </xdr:from>
    <xdr:to>
      <xdr:col>1</xdr:col>
      <xdr:colOff>1724025</xdr:colOff>
      <xdr:row>81</xdr:row>
      <xdr:rowOff>1724025</xdr:rowOff>
    </xdr:to>
    <xdr:pic>
      <xdr:nvPicPr>
        <xdr:cNvPr id="75" name="Picture 73">
          <a:extLst>
            <a:ext uri="{FF2B5EF4-FFF2-40B4-BE49-F238E27FC236}">
              <a16:creationId xmlns:a16="http://schemas.microsoft.com/office/drawing/2014/main" id="{EE848982-18CE-465F-A9EC-F1F63AB9D70E}"/>
            </a:ext>
          </a:extLst>
        </xdr:cNvPr>
        <xdr:cNvPicPr>
          <a:picLocks noChangeAspect="1"/>
        </xdr:cNvPicPr>
      </xdr:nvPicPr>
      <xdr:blipFill>
        <a:blip xmlns:r="http://schemas.openxmlformats.org/officeDocument/2006/relationships" r:embed="rId47"/>
        <a:srcRect/>
        <a:stretch>
          <a:fillRect/>
        </a:stretch>
      </xdr:blipFill>
      <xdr:spPr>
        <a:xfrm>
          <a:off x="619125" y="62798325"/>
          <a:ext cx="876300" cy="857250"/>
        </a:xfrm>
        <a:prstGeom prst="rect">
          <a:avLst/>
        </a:prstGeom>
      </xdr:spPr>
    </xdr:pic>
    <xdr:clientData/>
  </xdr:twoCellAnchor>
  <xdr:twoCellAnchor>
    <xdr:from>
      <xdr:col>1</xdr:col>
      <xdr:colOff>9525</xdr:colOff>
      <xdr:row>82</xdr:row>
      <xdr:rowOff>9525</xdr:rowOff>
    </xdr:from>
    <xdr:to>
      <xdr:col>1</xdr:col>
      <xdr:colOff>1724025</xdr:colOff>
      <xdr:row>82</xdr:row>
      <xdr:rowOff>1724025</xdr:rowOff>
    </xdr:to>
    <xdr:pic>
      <xdr:nvPicPr>
        <xdr:cNvPr id="76" name="Picture 74">
          <a:extLst>
            <a:ext uri="{FF2B5EF4-FFF2-40B4-BE49-F238E27FC236}">
              <a16:creationId xmlns:a16="http://schemas.microsoft.com/office/drawing/2014/main" id="{AEF6FBD5-12B7-4E80-95A7-481ECFDEC33D}"/>
            </a:ext>
          </a:extLst>
        </xdr:cNvPr>
        <xdr:cNvPicPr>
          <a:picLocks noChangeAspect="1"/>
        </xdr:cNvPicPr>
      </xdr:nvPicPr>
      <xdr:blipFill>
        <a:blip xmlns:r="http://schemas.openxmlformats.org/officeDocument/2006/relationships" r:embed="rId48"/>
        <a:srcRect/>
        <a:stretch>
          <a:fillRect/>
        </a:stretch>
      </xdr:blipFill>
      <xdr:spPr>
        <a:xfrm>
          <a:off x="619125" y="63665100"/>
          <a:ext cx="876300" cy="857250"/>
        </a:xfrm>
        <a:prstGeom prst="rect">
          <a:avLst/>
        </a:prstGeom>
      </xdr:spPr>
    </xdr:pic>
    <xdr:clientData/>
  </xdr:twoCellAnchor>
  <xdr:twoCellAnchor>
    <xdr:from>
      <xdr:col>1</xdr:col>
      <xdr:colOff>9525</xdr:colOff>
      <xdr:row>83</xdr:row>
      <xdr:rowOff>9525</xdr:rowOff>
    </xdr:from>
    <xdr:to>
      <xdr:col>1</xdr:col>
      <xdr:colOff>1724025</xdr:colOff>
      <xdr:row>83</xdr:row>
      <xdr:rowOff>1724025</xdr:rowOff>
    </xdr:to>
    <xdr:pic>
      <xdr:nvPicPr>
        <xdr:cNvPr id="77" name="Picture 75">
          <a:extLst>
            <a:ext uri="{FF2B5EF4-FFF2-40B4-BE49-F238E27FC236}">
              <a16:creationId xmlns:a16="http://schemas.microsoft.com/office/drawing/2014/main" id="{29C09F15-9390-4F10-A988-1A44481BF687}"/>
            </a:ext>
          </a:extLst>
        </xdr:cNvPr>
        <xdr:cNvPicPr>
          <a:picLocks noChangeAspect="1"/>
        </xdr:cNvPicPr>
      </xdr:nvPicPr>
      <xdr:blipFill>
        <a:blip xmlns:r="http://schemas.openxmlformats.org/officeDocument/2006/relationships" r:embed="rId49"/>
        <a:srcRect/>
        <a:stretch>
          <a:fillRect/>
        </a:stretch>
      </xdr:blipFill>
      <xdr:spPr>
        <a:xfrm>
          <a:off x="619125" y="64531875"/>
          <a:ext cx="876300" cy="857250"/>
        </a:xfrm>
        <a:prstGeom prst="rect">
          <a:avLst/>
        </a:prstGeom>
      </xdr:spPr>
    </xdr:pic>
    <xdr:clientData/>
  </xdr:twoCellAnchor>
  <xdr:twoCellAnchor>
    <xdr:from>
      <xdr:col>1</xdr:col>
      <xdr:colOff>9525</xdr:colOff>
      <xdr:row>84</xdr:row>
      <xdr:rowOff>9525</xdr:rowOff>
    </xdr:from>
    <xdr:to>
      <xdr:col>1</xdr:col>
      <xdr:colOff>1724025</xdr:colOff>
      <xdr:row>84</xdr:row>
      <xdr:rowOff>1724025</xdr:rowOff>
    </xdr:to>
    <xdr:pic>
      <xdr:nvPicPr>
        <xdr:cNvPr id="78" name="Picture 76">
          <a:extLst>
            <a:ext uri="{FF2B5EF4-FFF2-40B4-BE49-F238E27FC236}">
              <a16:creationId xmlns:a16="http://schemas.microsoft.com/office/drawing/2014/main" id="{6804F23C-9592-42C2-92BA-DDE91B8A5DE0}"/>
            </a:ext>
          </a:extLst>
        </xdr:cNvPr>
        <xdr:cNvPicPr>
          <a:picLocks noChangeAspect="1"/>
        </xdr:cNvPicPr>
      </xdr:nvPicPr>
      <xdr:blipFill>
        <a:blip xmlns:r="http://schemas.openxmlformats.org/officeDocument/2006/relationships" r:embed="rId50"/>
        <a:srcRect/>
        <a:stretch>
          <a:fillRect/>
        </a:stretch>
      </xdr:blipFill>
      <xdr:spPr>
        <a:xfrm>
          <a:off x="619125" y="65398650"/>
          <a:ext cx="876300" cy="857250"/>
        </a:xfrm>
        <a:prstGeom prst="rect">
          <a:avLst/>
        </a:prstGeom>
      </xdr:spPr>
    </xdr:pic>
    <xdr:clientData/>
  </xdr:twoCellAnchor>
  <xdr:twoCellAnchor>
    <xdr:from>
      <xdr:col>1</xdr:col>
      <xdr:colOff>9525</xdr:colOff>
      <xdr:row>85</xdr:row>
      <xdr:rowOff>9525</xdr:rowOff>
    </xdr:from>
    <xdr:to>
      <xdr:col>1</xdr:col>
      <xdr:colOff>1724025</xdr:colOff>
      <xdr:row>85</xdr:row>
      <xdr:rowOff>1724025</xdr:rowOff>
    </xdr:to>
    <xdr:pic>
      <xdr:nvPicPr>
        <xdr:cNvPr id="79" name="Picture 77">
          <a:extLst>
            <a:ext uri="{FF2B5EF4-FFF2-40B4-BE49-F238E27FC236}">
              <a16:creationId xmlns:a16="http://schemas.microsoft.com/office/drawing/2014/main" id="{063A7BF7-5C51-4E4E-BC18-21DE52E45CD6}"/>
            </a:ext>
          </a:extLst>
        </xdr:cNvPr>
        <xdr:cNvPicPr>
          <a:picLocks noChangeAspect="1"/>
        </xdr:cNvPicPr>
      </xdr:nvPicPr>
      <xdr:blipFill>
        <a:blip xmlns:r="http://schemas.openxmlformats.org/officeDocument/2006/relationships" r:embed="rId51"/>
        <a:srcRect/>
        <a:stretch>
          <a:fillRect/>
        </a:stretch>
      </xdr:blipFill>
      <xdr:spPr>
        <a:xfrm>
          <a:off x="619125" y="66265425"/>
          <a:ext cx="876300" cy="857250"/>
        </a:xfrm>
        <a:prstGeom prst="rect">
          <a:avLst/>
        </a:prstGeom>
      </xdr:spPr>
    </xdr:pic>
    <xdr:clientData/>
  </xdr:twoCellAnchor>
  <xdr:twoCellAnchor>
    <xdr:from>
      <xdr:col>1</xdr:col>
      <xdr:colOff>9525</xdr:colOff>
      <xdr:row>86</xdr:row>
      <xdr:rowOff>9525</xdr:rowOff>
    </xdr:from>
    <xdr:to>
      <xdr:col>1</xdr:col>
      <xdr:colOff>1724025</xdr:colOff>
      <xdr:row>86</xdr:row>
      <xdr:rowOff>1724025</xdr:rowOff>
    </xdr:to>
    <xdr:pic>
      <xdr:nvPicPr>
        <xdr:cNvPr id="80" name="Picture 78">
          <a:extLst>
            <a:ext uri="{FF2B5EF4-FFF2-40B4-BE49-F238E27FC236}">
              <a16:creationId xmlns:a16="http://schemas.microsoft.com/office/drawing/2014/main" id="{7EA26D0D-1166-4C42-8E03-4D8FFBA69381}"/>
            </a:ext>
          </a:extLst>
        </xdr:cNvPr>
        <xdr:cNvPicPr>
          <a:picLocks noChangeAspect="1"/>
        </xdr:cNvPicPr>
      </xdr:nvPicPr>
      <xdr:blipFill>
        <a:blip xmlns:r="http://schemas.openxmlformats.org/officeDocument/2006/relationships" r:embed="rId52"/>
        <a:srcRect/>
        <a:stretch>
          <a:fillRect/>
        </a:stretch>
      </xdr:blipFill>
      <xdr:spPr>
        <a:xfrm>
          <a:off x="619125" y="67132200"/>
          <a:ext cx="876300" cy="857250"/>
        </a:xfrm>
        <a:prstGeom prst="rect">
          <a:avLst/>
        </a:prstGeom>
      </xdr:spPr>
    </xdr:pic>
    <xdr:clientData/>
  </xdr:twoCellAnchor>
  <xdr:twoCellAnchor>
    <xdr:from>
      <xdr:col>1</xdr:col>
      <xdr:colOff>9525</xdr:colOff>
      <xdr:row>87</xdr:row>
      <xdr:rowOff>9525</xdr:rowOff>
    </xdr:from>
    <xdr:to>
      <xdr:col>1</xdr:col>
      <xdr:colOff>1724025</xdr:colOff>
      <xdr:row>87</xdr:row>
      <xdr:rowOff>1724025</xdr:rowOff>
    </xdr:to>
    <xdr:pic>
      <xdr:nvPicPr>
        <xdr:cNvPr id="81" name="Picture 79">
          <a:extLst>
            <a:ext uri="{FF2B5EF4-FFF2-40B4-BE49-F238E27FC236}">
              <a16:creationId xmlns:a16="http://schemas.microsoft.com/office/drawing/2014/main" id="{15970A77-3BC2-4D4B-B4C3-6C472B2D3B57}"/>
            </a:ext>
          </a:extLst>
        </xdr:cNvPr>
        <xdr:cNvPicPr>
          <a:picLocks noChangeAspect="1"/>
        </xdr:cNvPicPr>
      </xdr:nvPicPr>
      <xdr:blipFill>
        <a:blip xmlns:r="http://schemas.openxmlformats.org/officeDocument/2006/relationships" r:embed="rId53"/>
        <a:srcRect/>
        <a:stretch>
          <a:fillRect/>
        </a:stretch>
      </xdr:blipFill>
      <xdr:spPr>
        <a:xfrm>
          <a:off x="619125" y="67998975"/>
          <a:ext cx="876300" cy="857250"/>
        </a:xfrm>
        <a:prstGeom prst="rect">
          <a:avLst/>
        </a:prstGeom>
      </xdr:spPr>
    </xdr:pic>
    <xdr:clientData/>
  </xdr:twoCellAnchor>
  <xdr:twoCellAnchor>
    <xdr:from>
      <xdr:col>1</xdr:col>
      <xdr:colOff>9525</xdr:colOff>
      <xdr:row>88</xdr:row>
      <xdr:rowOff>9525</xdr:rowOff>
    </xdr:from>
    <xdr:to>
      <xdr:col>1</xdr:col>
      <xdr:colOff>1724025</xdr:colOff>
      <xdr:row>88</xdr:row>
      <xdr:rowOff>1724025</xdr:rowOff>
    </xdr:to>
    <xdr:pic>
      <xdr:nvPicPr>
        <xdr:cNvPr id="82" name="Picture 80">
          <a:extLst>
            <a:ext uri="{FF2B5EF4-FFF2-40B4-BE49-F238E27FC236}">
              <a16:creationId xmlns:a16="http://schemas.microsoft.com/office/drawing/2014/main" id="{37E5A794-C018-4271-8848-ED9A32D229CE}"/>
            </a:ext>
          </a:extLst>
        </xdr:cNvPr>
        <xdr:cNvPicPr>
          <a:picLocks noChangeAspect="1"/>
        </xdr:cNvPicPr>
      </xdr:nvPicPr>
      <xdr:blipFill>
        <a:blip xmlns:r="http://schemas.openxmlformats.org/officeDocument/2006/relationships" r:embed="rId54"/>
        <a:srcRect/>
        <a:stretch>
          <a:fillRect/>
        </a:stretch>
      </xdr:blipFill>
      <xdr:spPr>
        <a:xfrm>
          <a:off x="619125" y="68865750"/>
          <a:ext cx="876300" cy="857250"/>
        </a:xfrm>
        <a:prstGeom prst="rect">
          <a:avLst/>
        </a:prstGeom>
      </xdr:spPr>
    </xdr:pic>
    <xdr:clientData/>
  </xdr:twoCellAnchor>
  <xdr:twoCellAnchor>
    <xdr:from>
      <xdr:col>1</xdr:col>
      <xdr:colOff>9525</xdr:colOff>
      <xdr:row>89</xdr:row>
      <xdr:rowOff>9525</xdr:rowOff>
    </xdr:from>
    <xdr:to>
      <xdr:col>1</xdr:col>
      <xdr:colOff>1724025</xdr:colOff>
      <xdr:row>89</xdr:row>
      <xdr:rowOff>1724025</xdr:rowOff>
    </xdr:to>
    <xdr:pic>
      <xdr:nvPicPr>
        <xdr:cNvPr id="83" name="Picture 81">
          <a:extLst>
            <a:ext uri="{FF2B5EF4-FFF2-40B4-BE49-F238E27FC236}">
              <a16:creationId xmlns:a16="http://schemas.microsoft.com/office/drawing/2014/main" id="{DBDF6737-2CD8-48DD-A2C0-797DB41AFDDD}"/>
            </a:ext>
          </a:extLst>
        </xdr:cNvPr>
        <xdr:cNvPicPr>
          <a:picLocks noChangeAspect="1"/>
        </xdr:cNvPicPr>
      </xdr:nvPicPr>
      <xdr:blipFill>
        <a:blip xmlns:r="http://schemas.openxmlformats.org/officeDocument/2006/relationships" r:embed="rId55"/>
        <a:srcRect/>
        <a:stretch>
          <a:fillRect/>
        </a:stretch>
      </xdr:blipFill>
      <xdr:spPr>
        <a:xfrm>
          <a:off x="619125" y="69732525"/>
          <a:ext cx="876300" cy="857250"/>
        </a:xfrm>
        <a:prstGeom prst="rect">
          <a:avLst/>
        </a:prstGeom>
      </xdr:spPr>
    </xdr:pic>
    <xdr:clientData/>
  </xdr:twoCellAnchor>
  <xdr:twoCellAnchor>
    <xdr:from>
      <xdr:col>1</xdr:col>
      <xdr:colOff>9525</xdr:colOff>
      <xdr:row>90</xdr:row>
      <xdr:rowOff>9525</xdr:rowOff>
    </xdr:from>
    <xdr:to>
      <xdr:col>1</xdr:col>
      <xdr:colOff>1724025</xdr:colOff>
      <xdr:row>90</xdr:row>
      <xdr:rowOff>1724025</xdr:rowOff>
    </xdr:to>
    <xdr:pic>
      <xdr:nvPicPr>
        <xdr:cNvPr id="84" name="Picture 82">
          <a:extLst>
            <a:ext uri="{FF2B5EF4-FFF2-40B4-BE49-F238E27FC236}">
              <a16:creationId xmlns:a16="http://schemas.microsoft.com/office/drawing/2014/main" id="{91546179-30E2-4627-B6AA-8B64ACE42F12}"/>
            </a:ext>
          </a:extLst>
        </xdr:cNvPr>
        <xdr:cNvPicPr>
          <a:picLocks noChangeAspect="1"/>
        </xdr:cNvPicPr>
      </xdr:nvPicPr>
      <xdr:blipFill>
        <a:blip xmlns:r="http://schemas.openxmlformats.org/officeDocument/2006/relationships" r:embed="rId56"/>
        <a:srcRect/>
        <a:stretch>
          <a:fillRect/>
        </a:stretch>
      </xdr:blipFill>
      <xdr:spPr>
        <a:xfrm>
          <a:off x="619125" y="70599300"/>
          <a:ext cx="876300" cy="857250"/>
        </a:xfrm>
        <a:prstGeom prst="rect">
          <a:avLst/>
        </a:prstGeom>
      </xdr:spPr>
    </xdr:pic>
    <xdr:clientData/>
  </xdr:twoCellAnchor>
  <xdr:twoCellAnchor>
    <xdr:from>
      <xdr:col>1</xdr:col>
      <xdr:colOff>9525</xdr:colOff>
      <xdr:row>91</xdr:row>
      <xdr:rowOff>9525</xdr:rowOff>
    </xdr:from>
    <xdr:to>
      <xdr:col>1</xdr:col>
      <xdr:colOff>1724025</xdr:colOff>
      <xdr:row>91</xdr:row>
      <xdr:rowOff>1724025</xdr:rowOff>
    </xdr:to>
    <xdr:pic>
      <xdr:nvPicPr>
        <xdr:cNvPr id="85" name="Picture 83">
          <a:extLst>
            <a:ext uri="{FF2B5EF4-FFF2-40B4-BE49-F238E27FC236}">
              <a16:creationId xmlns:a16="http://schemas.microsoft.com/office/drawing/2014/main" id="{ABA5DD08-0B3F-4974-8208-9D576955B89D}"/>
            </a:ext>
          </a:extLst>
        </xdr:cNvPr>
        <xdr:cNvPicPr>
          <a:picLocks noChangeAspect="1"/>
        </xdr:cNvPicPr>
      </xdr:nvPicPr>
      <xdr:blipFill>
        <a:blip xmlns:r="http://schemas.openxmlformats.org/officeDocument/2006/relationships" r:embed="rId57"/>
        <a:srcRect/>
        <a:stretch>
          <a:fillRect/>
        </a:stretch>
      </xdr:blipFill>
      <xdr:spPr>
        <a:xfrm>
          <a:off x="619125" y="71466075"/>
          <a:ext cx="876300" cy="857250"/>
        </a:xfrm>
        <a:prstGeom prst="rect">
          <a:avLst/>
        </a:prstGeom>
      </xdr:spPr>
    </xdr:pic>
    <xdr:clientData/>
  </xdr:twoCellAnchor>
  <xdr:twoCellAnchor>
    <xdr:from>
      <xdr:col>1</xdr:col>
      <xdr:colOff>9525</xdr:colOff>
      <xdr:row>92</xdr:row>
      <xdr:rowOff>9525</xdr:rowOff>
    </xdr:from>
    <xdr:to>
      <xdr:col>1</xdr:col>
      <xdr:colOff>1724025</xdr:colOff>
      <xdr:row>92</xdr:row>
      <xdr:rowOff>1724025</xdr:rowOff>
    </xdr:to>
    <xdr:pic>
      <xdr:nvPicPr>
        <xdr:cNvPr id="86" name="Picture 84">
          <a:extLst>
            <a:ext uri="{FF2B5EF4-FFF2-40B4-BE49-F238E27FC236}">
              <a16:creationId xmlns:a16="http://schemas.microsoft.com/office/drawing/2014/main" id="{0946DFB5-111B-41C1-836C-A6335F379738}"/>
            </a:ext>
          </a:extLst>
        </xdr:cNvPr>
        <xdr:cNvPicPr>
          <a:picLocks noChangeAspect="1"/>
        </xdr:cNvPicPr>
      </xdr:nvPicPr>
      <xdr:blipFill>
        <a:blip xmlns:r="http://schemas.openxmlformats.org/officeDocument/2006/relationships" r:embed="rId58"/>
        <a:srcRect/>
        <a:stretch>
          <a:fillRect/>
        </a:stretch>
      </xdr:blipFill>
      <xdr:spPr>
        <a:xfrm>
          <a:off x="619125" y="72332850"/>
          <a:ext cx="876300" cy="857250"/>
        </a:xfrm>
        <a:prstGeom prst="rect">
          <a:avLst/>
        </a:prstGeom>
      </xdr:spPr>
    </xdr:pic>
    <xdr:clientData/>
  </xdr:twoCellAnchor>
  <xdr:twoCellAnchor>
    <xdr:from>
      <xdr:col>1</xdr:col>
      <xdr:colOff>9525</xdr:colOff>
      <xdr:row>93</xdr:row>
      <xdr:rowOff>9525</xdr:rowOff>
    </xdr:from>
    <xdr:to>
      <xdr:col>1</xdr:col>
      <xdr:colOff>1724025</xdr:colOff>
      <xdr:row>93</xdr:row>
      <xdr:rowOff>1724025</xdr:rowOff>
    </xdr:to>
    <xdr:pic>
      <xdr:nvPicPr>
        <xdr:cNvPr id="87" name="Picture 85">
          <a:extLst>
            <a:ext uri="{FF2B5EF4-FFF2-40B4-BE49-F238E27FC236}">
              <a16:creationId xmlns:a16="http://schemas.microsoft.com/office/drawing/2014/main" id="{ADE82976-05A5-418D-B7C2-7FEF54165EAD}"/>
            </a:ext>
          </a:extLst>
        </xdr:cNvPr>
        <xdr:cNvPicPr>
          <a:picLocks noChangeAspect="1"/>
        </xdr:cNvPicPr>
      </xdr:nvPicPr>
      <xdr:blipFill>
        <a:blip xmlns:r="http://schemas.openxmlformats.org/officeDocument/2006/relationships" r:embed="rId59"/>
        <a:srcRect/>
        <a:stretch>
          <a:fillRect/>
        </a:stretch>
      </xdr:blipFill>
      <xdr:spPr>
        <a:xfrm>
          <a:off x="619125" y="73199625"/>
          <a:ext cx="876300" cy="857250"/>
        </a:xfrm>
        <a:prstGeom prst="rect">
          <a:avLst/>
        </a:prstGeom>
      </xdr:spPr>
    </xdr:pic>
    <xdr:clientData/>
  </xdr:twoCellAnchor>
  <xdr:twoCellAnchor>
    <xdr:from>
      <xdr:col>1</xdr:col>
      <xdr:colOff>9525</xdr:colOff>
      <xdr:row>94</xdr:row>
      <xdr:rowOff>9525</xdr:rowOff>
    </xdr:from>
    <xdr:to>
      <xdr:col>1</xdr:col>
      <xdr:colOff>1724025</xdr:colOff>
      <xdr:row>94</xdr:row>
      <xdr:rowOff>1724025</xdr:rowOff>
    </xdr:to>
    <xdr:pic>
      <xdr:nvPicPr>
        <xdr:cNvPr id="88" name="Picture 86">
          <a:extLst>
            <a:ext uri="{FF2B5EF4-FFF2-40B4-BE49-F238E27FC236}">
              <a16:creationId xmlns:a16="http://schemas.microsoft.com/office/drawing/2014/main" id="{F4321CD2-6855-4A88-902C-6CDAB467407C}"/>
            </a:ext>
          </a:extLst>
        </xdr:cNvPr>
        <xdr:cNvPicPr>
          <a:picLocks noChangeAspect="1"/>
        </xdr:cNvPicPr>
      </xdr:nvPicPr>
      <xdr:blipFill>
        <a:blip xmlns:r="http://schemas.openxmlformats.org/officeDocument/2006/relationships" r:embed="rId60"/>
        <a:srcRect/>
        <a:stretch>
          <a:fillRect/>
        </a:stretch>
      </xdr:blipFill>
      <xdr:spPr>
        <a:xfrm>
          <a:off x="619125" y="74066400"/>
          <a:ext cx="876300" cy="857250"/>
        </a:xfrm>
        <a:prstGeom prst="rect">
          <a:avLst/>
        </a:prstGeom>
      </xdr:spPr>
    </xdr:pic>
    <xdr:clientData/>
  </xdr:twoCellAnchor>
  <xdr:twoCellAnchor>
    <xdr:from>
      <xdr:col>1</xdr:col>
      <xdr:colOff>9525</xdr:colOff>
      <xdr:row>95</xdr:row>
      <xdr:rowOff>9525</xdr:rowOff>
    </xdr:from>
    <xdr:to>
      <xdr:col>1</xdr:col>
      <xdr:colOff>1724025</xdr:colOff>
      <xdr:row>95</xdr:row>
      <xdr:rowOff>1724025</xdr:rowOff>
    </xdr:to>
    <xdr:pic>
      <xdr:nvPicPr>
        <xdr:cNvPr id="89" name="Picture 87">
          <a:extLst>
            <a:ext uri="{FF2B5EF4-FFF2-40B4-BE49-F238E27FC236}">
              <a16:creationId xmlns:a16="http://schemas.microsoft.com/office/drawing/2014/main" id="{1891EB06-B9D1-4D52-8C9C-5AF5E06D8E9E}"/>
            </a:ext>
          </a:extLst>
        </xdr:cNvPr>
        <xdr:cNvPicPr>
          <a:picLocks noChangeAspect="1"/>
        </xdr:cNvPicPr>
      </xdr:nvPicPr>
      <xdr:blipFill>
        <a:blip xmlns:r="http://schemas.openxmlformats.org/officeDocument/2006/relationships" r:embed="rId61"/>
        <a:srcRect/>
        <a:stretch>
          <a:fillRect/>
        </a:stretch>
      </xdr:blipFill>
      <xdr:spPr>
        <a:xfrm>
          <a:off x="619125" y="74933175"/>
          <a:ext cx="876300" cy="857250"/>
        </a:xfrm>
        <a:prstGeom prst="rect">
          <a:avLst/>
        </a:prstGeom>
      </xdr:spPr>
    </xdr:pic>
    <xdr:clientData/>
  </xdr:twoCellAnchor>
  <xdr:twoCellAnchor>
    <xdr:from>
      <xdr:col>1</xdr:col>
      <xdr:colOff>9525</xdr:colOff>
      <xdr:row>96</xdr:row>
      <xdr:rowOff>9525</xdr:rowOff>
    </xdr:from>
    <xdr:to>
      <xdr:col>1</xdr:col>
      <xdr:colOff>1724025</xdr:colOff>
      <xdr:row>96</xdr:row>
      <xdr:rowOff>1724025</xdr:rowOff>
    </xdr:to>
    <xdr:pic>
      <xdr:nvPicPr>
        <xdr:cNvPr id="90" name="Picture 88">
          <a:extLst>
            <a:ext uri="{FF2B5EF4-FFF2-40B4-BE49-F238E27FC236}">
              <a16:creationId xmlns:a16="http://schemas.microsoft.com/office/drawing/2014/main" id="{B0D03733-3257-4148-970F-072600493D2F}"/>
            </a:ext>
          </a:extLst>
        </xdr:cNvPr>
        <xdr:cNvPicPr>
          <a:picLocks noChangeAspect="1"/>
        </xdr:cNvPicPr>
      </xdr:nvPicPr>
      <xdr:blipFill>
        <a:blip xmlns:r="http://schemas.openxmlformats.org/officeDocument/2006/relationships" r:embed="rId62"/>
        <a:srcRect/>
        <a:stretch>
          <a:fillRect/>
        </a:stretch>
      </xdr:blipFill>
      <xdr:spPr>
        <a:xfrm>
          <a:off x="619125" y="75799950"/>
          <a:ext cx="876300" cy="857250"/>
        </a:xfrm>
        <a:prstGeom prst="rect">
          <a:avLst/>
        </a:prstGeom>
      </xdr:spPr>
    </xdr:pic>
    <xdr:clientData/>
  </xdr:twoCellAnchor>
  <xdr:twoCellAnchor>
    <xdr:from>
      <xdr:col>1</xdr:col>
      <xdr:colOff>9525</xdr:colOff>
      <xdr:row>97</xdr:row>
      <xdr:rowOff>9525</xdr:rowOff>
    </xdr:from>
    <xdr:to>
      <xdr:col>1</xdr:col>
      <xdr:colOff>1724025</xdr:colOff>
      <xdr:row>97</xdr:row>
      <xdr:rowOff>1724025</xdr:rowOff>
    </xdr:to>
    <xdr:pic>
      <xdr:nvPicPr>
        <xdr:cNvPr id="91" name="Picture 89">
          <a:extLst>
            <a:ext uri="{FF2B5EF4-FFF2-40B4-BE49-F238E27FC236}">
              <a16:creationId xmlns:a16="http://schemas.microsoft.com/office/drawing/2014/main" id="{E2A41EBE-B2E5-42FC-840F-367C60A16A96}"/>
            </a:ext>
          </a:extLst>
        </xdr:cNvPr>
        <xdr:cNvPicPr>
          <a:picLocks noChangeAspect="1"/>
        </xdr:cNvPicPr>
      </xdr:nvPicPr>
      <xdr:blipFill>
        <a:blip xmlns:r="http://schemas.openxmlformats.org/officeDocument/2006/relationships" r:embed="rId63"/>
        <a:srcRect/>
        <a:stretch>
          <a:fillRect/>
        </a:stretch>
      </xdr:blipFill>
      <xdr:spPr>
        <a:xfrm>
          <a:off x="619125" y="76666725"/>
          <a:ext cx="876300" cy="857250"/>
        </a:xfrm>
        <a:prstGeom prst="rect">
          <a:avLst/>
        </a:prstGeom>
      </xdr:spPr>
    </xdr:pic>
    <xdr:clientData/>
  </xdr:twoCellAnchor>
  <xdr:twoCellAnchor>
    <xdr:from>
      <xdr:col>1</xdr:col>
      <xdr:colOff>9525</xdr:colOff>
      <xdr:row>98</xdr:row>
      <xdr:rowOff>9525</xdr:rowOff>
    </xdr:from>
    <xdr:to>
      <xdr:col>1</xdr:col>
      <xdr:colOff>1724025</xdr:colOff>
      <xdr:row>98</xdr:row>
      <xdr:rowOff>1724025</xdr:rowOff>
    </xdr:to>
    <xdr:pic>
      <xdr:nvPicPr>
        <xdr:cNvPr id="92" name="Picture 90">
          <a:extLst>
            <a:ext uri="{FF2B5EF4-FFF2-40B4-BE49-F238E27FC236}">
              <a16:creationId xmlns:a16="http://schemas.microsoft.com/office/drawing/2014/main" id="{8F464517-206F-43A5-920B-E8860573D8A0}"/>
            </a:ext>
          </a:extLst>
        </xdr:cNvPr>
        <xdr:cNvPicPr>
          <a:picLocks noChangeAspect="1"/>
        </xdr:cNvPicPr>
      </xdr:nvPicPr>
      <xdr:blipFill>
        <a:blip xmlns:r="http://schemas.openxmlformats.org/officeDocument/2006/relationships" r:embed="rId64"/>
        <a:srcRect/>
        <a:stretch>
          <a:fillRect/>
        </a:stretch>
      </xdr:blipFill>
      <xdr:spPr>
        <a:xfrm>
          <a:off x="619125" y="77533500"/>
          <a:ext cx="876300" cy="857250"/>
        </a:xfrm>
        <a:prstGeom prst="rect">
          <a:avLst/>
        </a:prstGeom>
      </xdr:spPr>
    </xdr:pic>
    <xdr:clientData/>
  </xdr:twoCellAnchor>
  <xdr:twoCellAnchor>
    <xdr:from>
      <xdr:col>1</xdr:col>
      <xdr:colOff>9525</xdr:colOff>
      <xdr:row>99</xdr:row>
      <xdr:rowOff>9525</xdr:rowOff>
    </xdr:from>
    <xdr:to>
      <xdr:col>1</xdr:col>
      <xdr:colOff>1724025</xdr:colOff>
      <xdr:row>99</xdr:row>
      <xdr:rowOff>1724025</xdr:rowOff>
    </xdr:to>
    <xdr:pic>
      <xdr:nvPicPr>
        <xdr:cNvPr id="93" name="Picture 91">
          <a:extLst>
            <a:ext uri="{FF2B5EF4-FFF2-40B4-BE49-F238E27FC236}">
              <a16:creationId xmlns:a16="http://schemas.microsoft.com/office/drawing/2014/main" id="{F7E02675-CD7F-42FB-94B7-C6C3B3D4CD80}"/>
            </a:ext>
          </a:extLst>
        </xdr:cNvPr>
        <xdr:cNvPicPr>
          <a:picLocks noChangeAspect="1"/>
        </xdr:cNvPicPr>
      </xdr:nvPicPr>
      <xdr:blipFill>
        <a:blip xmlns:r="http://schemas.openxmlformats.org/officeDocument/2006/relationships" r:embed="rId65"/>
        <a:srcRect/>
        <a:stretch>
          <a:fillRect/>
        </a:stretch>
      </xdr:blipFill>
      <xdr:spPr>
        <a:xfrm>
          <a:off x="619125" y="78400275"/>
          <a:ext cx="876300" cy="857250"/>
        </a:xfrm>
        <a:prstGeom prst="rect">
          <a:avLst/>
        </a:prstGeom>
      </xdr:spPr>
    </xdr:pic>
    <xdr:clientData/>
  </xdr:twoCellAnchor>
  <xdr:twoCellAnchor>
    <xdr:from>
      <xdr:col>1</xdr:col>
      <xdr:colOff>9525</xdr:colOff>
      <xdr:row>100</xdr:row>
      <xdr:rowOff>9525</xdr:rowOff>
    </xdr:from>
    <xdr:to>
      <xdr:col>1</xdr:col>
      <xdr:colOff>1724025</xdr:colOff>
      <xdr:row>100</xdr:row>
      <xdr:rowOff>1724025</xdr:rowOff>
    </xdr:to>
    <xdr:pic>
      <xdr:nvPicPr>
        <xdr:cNvPr id="94" name="Picture 92">
          <a:extLst>
            <a:ext uri="{FF2B5EF4-FFF2-40B4-BE49-F238E27FC236}">
              <a16:creationId xmlns:a16="http://schemas.microsoft.com/office/drawing/2014/main" id="{0C6E358A-C6CA-4ADC-A08F-54776886DA39}"/>
            </a:ext>
          </a:extLst>
        </xdr:cNvPr>
        <xdr:cNvPicPr>
          <a:picLocks noChangeAspect="1"/>
        </xdr:cNvPicPr>
      </xdr:nvPicPr>
      <xdr:blipFill>
        <a:blip xmlns:r="http://schemas.openxmlformats.org/officeDocument/2006/relationships" r:embed="rId66"/>
        <a:srcRect/>
        <a:stretch>
          <a:fillRect/>
        </a:stretch>
      </xdr:blipFill>
      <xdr:spPr>
        <a:xfrm>
          <a:off x="619125" y="79267050"/>
          <a:ext cx="876300" cy="857250"/>
        </a:xfrm>
        <a:prstGeom prst="rect">
          <a:avLst/>
        </a:prstGeom>
      </xdr:spPr>
    </xdr:pic>
    <xdr:clientData/>
  </xdr:twoCellAnchor>
  <xdr:twoCellAnchor>
    <xdr:from>
      <xdr:col>1</xdr:col>
      <xdr:colOff>9525</xdr:colOff>
      <xdr:row>101</xdr:row>
      <xdr:rowOff>9525</xdr:rowOff>
    </xdr:from>
    <xdr:to>
      <xdr:col>1</xdr:col>
      <xdr:colOff>1724025</xdr:colOff>
      <xdr:row>101</xdr:row>
      <xdr:rowOff>1724025</xdr:rowOff>
    </xdr:to>
    <xdr:pic>
      <xdr:nvPicPr>
        <xdr:cNvPr id="95" name="Picture 93">
          <a:extLst>
            <a:ext uri="{FF2B5EF4-FFF2-40B4-BE49-F238E27FC236}">
              <a16:creationId xmlns:a16="http://schemas.microsoft.com/office/drawing/2014/main" id="{16D90F09-F260-473C-861B-178910766DBF}"/>
            </a:ext>
          </a:extLst>
        </xdr:cNvPr>
        <xdr:cNvPicPr>
          <a:picLocks noChangeAspect="1"/>
        </xdr:cNvPicPr>
      </xdr:nvPicPr>
      <xdr:blipFill>
        <a:blip xmlns:r="http://schemas.openxmlformats.org/officeDocument/2006/relationships" r:embed="rId67"/>
        <a:srcRect/>
        <a:stretch>
          <a:fillRect/>
        </a:stretch>
      </xdr:blipFill>
      <xdr:spPr>
        <a:xfrm>
          <a:off x="619125" y="80133825"/>
          <a:ext cx="876300" cy="857250"/>
        </a:xfrm>
        <a:prstGeom prst="rect">
          <a:avLst/>
        </a:prstGeom>
      </xdr:spPr>
    </xdr:pic>
    <xdr:clientData/>
  </xdr:twoCellAnchor>
  <xdr:twoCellAnchor>
    <xdr:from>
      <xdr:col>1</xdr:col>
      <xdr:colOff>9525</xdr:colOff>
      <xdr:row>102</xdr:row>
      <xdr:rowOff>9525</xdr:rowOff>
    </xdr:from>
    <xdr:to>
      <xdr:col>1</xdr:col>
      <xdr:colOff>1724025</xdr:colOff>
      <xdr:row>102</xdr:row>
      <xdr:rowOff>1724025</xdr:rowOff>
    </xdr:to>
    <xdr:pic>
      <xdr:nvPicPr>
        <xdr:cNvPr id="96" name="Picture 94">
          <a:extLst>
            <a:ext uri="{FF2B5EF4-FFF2-40B4-BE49-F238E27FC236}">
              <a16:creationId xmlns:a16="http://schemas.microsoft.com/office/drawing/2014/main" id="{E29B9686-2882-4458-B290-D3D5D48858B8}"/>
            </a:ext>
          </a:extLst>
        </xdr:cNvPr>
        <xdr:cNvPicPr>
          <a:picLocks noChangeAspect="1"/>
        </xdr:cNvPicPr>
      </xdr:nvPicPr>
      <xdr:blipFill>
        <a:blip xmlns:r="http://schemas.openxmlformats.org/officeDocument/2006/relationships" r:embed="rId68"/>
        <a:srcRect/>
        <a:stretch>
          <a:fillRect/>
        </a:stretch>
      </xdr:blipFill>
      <xdr:spPr>
        <a:xfrm>
          <a:off x="619125" y="81000600"/>
          <a:ext cx="876300" cy="857250"/>
        </a:xfrm>
        <a:prstGeom prst="rect">
          <a:avLst/>
        </a:prstGeom>
      </xdr:spPr>
    </xdr:pic>
    <xdr:clientData/>
  </xdr:twoCellAnchor>
  <xdr:twoCellAnchor>
    <xdr:from>
      <xdr:col>1</xdr:col>
      <xdr:colOff>9525</xdr:colOff>
      <xdr:row>103</xdr:row>
      <xdr:rowOff>9525</xdr:rowOff>
    </xdr:from>
    <xdr:to>
      <xdr:col>1</xdr:col>
      <xdr:colOff>1724025</xdr:colOff>
      <xdr:row>103</xdr:row>
      <xdr:rowOff>1724025</xdr:rowOff>
    </xdr:to>
    <xdr:pic>
      <xdr:nvPicPr>
        <xdr:cNvPr id="97" name="Picture 95">
          <a:extLst>
            <a:ext uri="{FF2B5EF4-FFF2-40B4-BE49-F238E27FC236}">
              <a16:creationId xmlns:a16="http://schemas.microsoft.com/office/drawing/2014/main" id="{FF496B94-C0CC-438F-B2A5-90E7DF11A655}"/>
            </a:ext>
          </a:extLst>
        </xdr:cNvPr>
        <xdr:cNvPicPr>
          <a:picLocks noChangeAspect="1"/>
        </xdr:cNvPicPr>
      </xdr:nvPicPr>
      <xdr:blipFill>
        <a:blip xmlns:r="http://schemas.openxmlformats.org/officeDocument/2006/relationships" r:embed="rId69"/>
        <a:srcRect/>
        <a:stretch>
          <a:fillRect/>
        </a:stretch>
      </xdr:blipFill>
      <xdr:spPr>
        <a:xfrm>
          <a:off x="619125" y="81867375"/>
          <a:ext cx="876300" cy="857250"/>
        </a:xfrm>
        <a:prstGeom prst="rect">
          <a:avLst/>
        </a:prstGeom>
      </xdr:spPr>
    </xdr:pic>
    <xdr:clientData/>
  </xdr:twoCellAnchor>
  <xdr:twoCellAnchor>
    <xdr:from>
      <xdr:col>1</xdr:col>
      <xdr:colOff>9525</xdr:colOff>
      <xdr:row>104</xdr:row>
      <xdr:rowOff>9525</xdr:rowOff>
    </xdr:from>
    <xdr:to>
      <xdr:col>1</xdr:col>
      <xdr:colOff>1724025</xdr:colOff>
      <xdr:row>104</xdr:row>
      <xdr:rowOff>1724025</xdr:rowOff>
    </xdr:to>
    <xdr:pic>
      <xdr:nvPicPr>
        <xdr:cNvPr id="98" name="Picture 96">
          <a:extLst>
            <a:ext uri="{FF2B5EF4-FFF2-40B4-BE49-F238E27FC236}">
              <a16:creationId xmlns:a16="http://schemas.microsoft.com/office/drawing/2014/main" id="{00E16FA0-DB0F-44F3-B56D-A0432447047C}"/>
            </a:ext>
          </a:extLst>
        </xdr:cNvPr>
        <xdr:cNvPicPr>
          <a:picLocks noChangeAspect="1"/>
        </xdr:cNvPicPr>
      </xdr:nvPicPr>
      <xdr:blipFill>
        <a:blip xmlns:r="http://schemas.openxmlformats.org/officeDocument/2006/relationships" r:embed="rId70"/>
        <a:srcRect/>
        <a:stretch>
          <a:fillRect/>
        </a:stretch>
      </xdr:blipFill>
      <xdr:spPr>
        <a:xfrm>
          <a:off x="619125" y="82734150"/>
          <a:ext cx="876300" cy="857250"/>
        </a:xfrm>
        <a:prstGeom prst="rect">
          <a:avLst/>
        </a:prstGeom>
      </xdr:spPr>
    </xdr:pic>
    <xdr:clientData/>
  </xdr:twoCellAnchor>
  <xdr:twoCellAnchor>
    <xdr:from>
      <xdr:col>1</xdr:col>
      <xdr:colOff>9525</xdr:colOff>
      <xdr:row>105</xdr:row>
      <xdr:rowOff>9525</xdr:rowOff>
    </xdr:from>
    <xdr:to>
      <xdr:col>1</xdr:col>
      <xdr:colOff>1724025</xdr:colOff>
      <xdr:row>105</xdr:row>
      <xdr:rowOff>1724025</xdr:rowOff>
    </xdr:to>
    <xdr:pic>
      <xdr:nvPicPr>
        <xdr:cNvPr id="99" name="Picture 97">
          <a:extLst>
            <a:ext uri="{FF2B5EF4-FFF2-40B4-BE49-F238E27FC236}">
              <a16:creationId xmlns:a16="http://schemas.microsoft.com/office/drawing/2014/main" id="{19328B9A-8057-4C5A-8CA1-337230E7FA36}"/>
            </a:ext>
          </a:extLst>
        </xdr:cNvPr>
        <xdr:cNvPicPr>
          <a:picLocks noChangeAspect="1"/>
        </xdr:cNvPicPr>
      </xdr:nvPicPr>
      <xdr:blipFill>
        <a:blip xmlns:r="http://schemas.openxmlformats.org/officeDocument/2006/relationships" r:embed="rId71"/>
        <a:srcRect/>
        <a:stretch>
          <a:fillRect/>
        </a:stretch>
      </xdr:blipFill>
      <xdr:spPr>
        <a:xfrm>
          <a:off x="619125" y="83600925"/>
          <a:ext cx="876300" cy="857250"/>
        </a:xfrm>
        <a:prstGeom prst="rect">
          <a:avLst/>
        </a:prstGeom>
      </xdr:spPr>
    </xdr:pic>
    <xdr:clientData/>
  </xdr:twoCellAnchor>
  <xdr:twoCellAnchor>
    <xdr:from>
      <xdr:col>1</xdr:col>
      <xdr:colOff>9525</xdr:colOff>
      <xdr:row>106</xdr:row>
      <xdr:rowOff>9525</xdr:rowOff>
    </xdr:from>
    <xdr:to>
      <xdr:col>1</xdr:col>
      <xdr:colOff>1724025</xdr:colOff>
      <xdr:row>106</xdr:row>
      <xdr:rowOff>1724025</xdr:rowOff>
    </xdr:to>
    <xdr:pic>
      <xdr:nvPicPr>
        <xdr:cNvPr id="100" name="Picture 98">
          <a:extLst>
            <a:ext uri="{FF2B5EF4-FFF2-40B4-BE49-F238E27FC236}">
              <a16:creationId xmlns:a16="http://schemas.microsoft.com/office/drawing/2014/main" id="{C04D4F8C-EFC1-4B0D-AE58-03BB3EB85A66}"/>
            </a:ext>
          </a:extLst>
        </xdr:cNvPr>
        <xdr:cNvPicPr>
          <a:picLocks noChangeAspect="1"/>
        </xdr:cNvPicPr>
      </xdr:nvPicPr>
      <xdr:blipFill>
        <a:blip xmlns:r="http://schemas.openxmlformats.org/officeDocument/2006/relationships" r:embed="rId72"/>
        <a:srcRect/>
        <a:stretch>
          <a:fillRect/>
        </a:stretch>
      </xdr:blipFill>
      <xdr:spPr>
        <a:xfrm>
          <a:off x="619125" y="84467700"/>
          <a:ext cx="876300" cy="857250"/>
        </a:xfrm>
        <a:prstGeom prst="rect">
          <a:avLst/>
        </a:prstGeom>
      </xdr:spPr>
    </xdr:pic>
    <xdr:clientData/>
  </xdr:twoCellAnchor>
  <xdr:twoCellAnchor>
    <xdr:from>
      <xdr:col>1</xdr:col>
      <xdr:colOff>9525</xdr:colOff>
      <xdr:row>107</xdr:row>
      <xdr:rowOff>9525</xdr:rowOff>
    </xdr:from>
    <xdr:to>
      <xdr:col>1</xdr:col>
      <xdr:colOff>1724025</xdr:colOff>
      <xdr:row>107</xdr:row>
      <xdr:rowOff>1724025</xdr:rowOff>
    </xdr:to>
    <xdr:pic>
      <xdr:nvPicPr>
        <xdr:cNvPr id="101" name="Picture 99">
          <a:extLst>
            <a:ext uri="{FF2B5EF4-FFF2-40B4-BE49-F238E27FC236}">
              <a16:creationId xmlns:a16="http://schemas.microsoft.com/office/drawing/2014/main" id="{B0DE412B-1D28-454F-8F2E-B2A6D1FD3007}"/>
            </a:ext>
          </a:extLst>
        </xdr:cNvPr>
        <xdr:cNvPicPr>
          <a:picLocks noChangeAspect="1"/>
        </xdr:cNvPicPr>
      </xdr:nvPicPr>
      <xdr:blipFill>
        <a:blip xmlns:r="http://schemas.openxmlformats.org/officeDocument/2006/relationships" r:embed="rId73"/>
        <a:srcRect/>
        <a:stretch>
          <a:fillRect/>
        </a:stretch>
      </xdr:blipFill>
      <xdr:spPr>
        <a:xfrm>
          <a:off x="619125" y="85334475"/>
          <a:ext cx="876300" cy="857250"/>
        </a:xfrm>
        <a:prstGeom prst="rect">
          <a:avLst/>
        </a:prstGeom>
      </xdr:spPr>
    </xdr:pic>
    <xdr:clientData/>
  </xdr:twoCellAnchor>
  <xdr:twoCellAnchor>
    <xdr:from>
      <xdr:col>1</xdr:col>
      <xdr:colOff>9525</xdr:colOff>
      <xdr:row>108</xdr:row>
      <xdr:rowOff>9525</xdr:rowOff>
    </xdr:from>
    <xdr:to>
      <xdr:col>1</xdr:col>
      <xdr:colOff>1724025</xdr:colOff>
      <xdr:row>108</xdr:row>
      <xdr:rowOff>1724025</xdr:rowOff>
    </xdr:to>
    <xdr:pic>
      <xdr:nvPicPr>
        <xdr:cNvPr id="102" name="Picture 100">
          <a:extLst>
            <a:ext uri="{FF2B5EF4-FFF2-40B4-BE49-F238E27FC236}">
              <a16:creationId xmlns:a16="http://schemas.microsoft.com/office/drawing/2014/main" id="{E59CEA22-4578-419F-AB06-309BAC7AB929}"/>
            </a:ext>
          </a:extLst>
        </xdr:cNvPr>
        <xdr:cNvPicPr>
          <a:picLocks noChangeAspect="1"/>
        </xdr:cNvPicPr>
      </xdr:nvPicPr>
      <xdr:blipFill>
        <a:blip xmlns:r="http://schemas.openxmlformats.org/officeDocument/2006/relationships" r:embed="rId74"/>
        <a:srcRect/>
        <a:stretch>
          <a:fillRect/>
        </a:stretch>
      </xdr:blipFill>
      <xdr:spPr>
        <a:xfrm>
          <a:off x="619125" y="86201250"/>
          <a:ext cx="876300" cy="857250"/>
        </a:xfrm>
        <a:prstGeom prst="rect">
          <a:avLst/>
        </a:prstGeom>
      </xdr:spPr>
    </xdr:pic>
    <xdr:clientData/>
  </xdr:twoCellAnchor>
  <xdr:twoCellAnchor>
    <xdr:from>
      <xdr:col>1</xdr:col>
      <xdr:colOff>9525</xdr:colOff>
      <xdr:row>109</xdr:row>
      <xdr:rowOff>9525</xdr:rowOff>
    </xdr:from>
    <xdr:to>
      <xdr:col>1</xdr:col>
      <xdr:colOff>1724025</xdr:colOff>
      <xdr:row>109</xdr:row>
      <xdr:rowOff>1724025</xdr:rowOff>
    </xdr:to>
    <xdr:pic>
      <xdr:nvPicPr>
        <xdr:cNvPr id="103" name="Picture 101">
          <a:extLst>
            <a:ext uri="{FF2B5EF4-FFF2-40B4-BE49-F238E27FC236}">
              <a16:creationId xmlns:a16="http://schemas.microsoft.com/office/drawing/2014/main" id="{6342B4E2-358B-4C29-A410-658E50DBC680}"/>
            </a:ext>
          </a:extLst>
        </xdr:cNvPr>
        <xdr:cNvPicPr>
          <a:picLocks noChangeAspect="1"/>
        </xdr:cNvPicPr>
      </xdr:nvPicPr>
      <xdr:blipFill>
        <a:blip xmlns:r="http://schemas.openxmlformats.org/officeDocument/2006/relationships" r:embed="rId75"/>
        <a:srcRect/>
        <a:stretch>
          <a:fillRect/>
        </a:stretch>
      </xdr:blipFill>
      <xdr:spPr>
        <a:xfrm>
          <a:off x="619125" y="87068025"/>
          <a:ext cx="876300" cy="857250"/>
        </a:xfrm>
        <a:prstGeom prst="rect">
          <a:avLst/>
        </a:prstGeom>
      </xdr:spPr>
    </xdr:pic>
    <xdr:clientData/>
  </xdr:twoCellAnchor>
  <xdr:twoCellAnchor>
    <xdr:from>
      <xdr:col>1</xdr:col>
      <xdr:colOff>9525</xdr:colOff>
      <xdr:row>110</xdr:row>
      <xdr:rowOff>9525</xdr:rowOff>
    </xdr:from>
    <xdr:to>
      <xdr:col>1</xdr:col>
      <xdr:colOff>1724025</xdr:colOff>
      <xdr:row>110</xdr:row>
      <xdr:rowOff>1724025</xdr:rowOff>
    </xdr:to>
    <xdr:pic>
      <xdr:nvPicPr>
        <xdr:cNvPr id="104" name="Picture 102">
          <a:extLst>
            <a:ext uri="{FF2B5EF4-FFF2-40B4-BE49-F238E27FC236}">
              <a16:creationId xmlns:a16="http://schemas.microsoft.com/office/drawing/2014/main" id="{8F594B7D-06F1-4AAC-88DC-349542AC946D}"/>
            </a:ext>
          </a:extLst>
        </xdr:cNvPr>
        <xdr:cNvPicPr>
          <a:picLocks noChangeAspect="1"/>
        </xdr:cNvPicPr>
      </xdr:nvPicPr>
      <xdr:blipFill>
        <a:blip xmlns:r="http://schemas.openxmlformats.org/officeDocument/2006/relationships" r:embed="rId76"/>
        <a:srcRect/>
        <a:stretch>
          <a:fillRect/>
        </a:stretch>
      </xdr:blipFill>
      <xdr:spPr>
        <a:xfrm>
          <a:off x="619125" y="87934800"/>
          <a:ext cx="876300" cy="857250"/>
        </a:xfrm>
        <a:prstGeom prst="rect">
          <a:avLst/>
        </a:prstGeom>
      </xdr:spPr>
    </xdr:pic>
    <xdr:clientData/>
  </xdr:twoCellAnchor>
  <xdr:twoCellAnchor>
    <xdr:from>
      <xdr:col>1</xdr:col>
      <xdr:colOff>9525</xdr:colOff>
      <xdr:row>111</xdr:row>
      <xdr:rowOff>9525</xdr:rowOff>
    </xdr:from>
    <xdr:to>
      <xdr:col>1</xdr:col>
      <xdr:colOff>1724025</xdr:colOff>
      <xdr:row>111</xdr:row>
      <xdr:rowOff>1724025</xdr:rowOff>
    </xdr:to>
    <xdr:pic>
      <xdr:nvPicPr>
        <xdr:cNvPr id="105" name="Picture 103">
          <a:extLst>
            <a:ext uri="{FF2B5EF4-FFF2-40B4-BE49-F238E27FC236}">
              <a16:creationId xmlns:a16="http://schemas.microsoft.com/office/drawing/2014/main" id="{A77EF22D-C82D-4DBF-A1B8-4A34A80BF5A5}"/>
            </a:ext>
          </a:extLst>
        </xdr:cNvPr>
        <xdr:cNvPicPr>
          <a:picLocks noChangeAspect="1"/>
        </xdr:cNvPicPr>
      </xdr:nvPicPr>
      <xdr:blipFill>
        <a:blip xmlns:r="http://schemas.openxmlformats.org/officeDocument/2006/relationships" r:embed="rId77"/>
        <a:srcRect/>
        <a:stretch>
          <a:fillRect/>
        </a:stretch>
      </xdr:blipFill>
      <xdr:spPr>
        <a:xfrm>
          <a:off x="619125" y="88801575"/>
          <a:ext cx="876300" cy="857250"/>
        </a:xfrm>
        <a:prstGeom prst="rect">
          <a:avLst/>
        </a:prstGeom>
      </xdr:spPr>
    </xdr:pic>
    <xdr:clientData/>
  </xdr:twoCellAnchor>
  <xdr:twoCellAnchor>
    <xdr:from>
      <xdr:col>1</xdr:col>
      <xdr:colOff>9525</xdr:colOff>
      <xdr:row>112</xdr:row>
      <xdr:rowOff>9525</xdr:rowOff>
    </xdr:from>
    <xdr:to>
      <xdr:col>1</xdr:col>
      <xdr:colOff>1724025</xdr:colOff>
      <xdr:row>112</xdr:row>
      <xdr:rowOff>1724025</xdr:rowOff>
    </xdr:to>
    <xdr:pic>
      <xdr:nvPicPr>
        <xdr:cNvPr id="106" name="Picture 104">
          <a:extLst>
            <a:ext uri="{FF2B5EF4-FFF2-40B4-BE49-F238E27FC236}">
              <a16:creationId xmlns:a16="http://schemas.microsoft.com/office/drawing/2014/main" id="{EFF112B7-41B8-4676-8E5B-2A2AC7789817}"/>
            </a:ext>
          </a:extLst>
        </xdr:cNvPr>
        <xdr:cNvPicPr>
          <a:picLocks noChangeAspect="1"/>
        </xdr:cNvPicPr>
      </xdr:nvPicPr>
      <xdr:blipFill>
        <a:blip xmlns:r="http://schemas.openxmlformats.org/officeDocument/2006/relationships" r:embed="rId78"/>
        <a:srcRect/>
        <a:stretch>
          <a:fillRect/>
        </a:stretch>
      </xdr:blipFill>
      <xdr:spPr>
        <a:xfrm>
          <a:off x="619125" y="89668350"/>
          <a:ext cx="876300" cy="857250"/>
        </a:xfrm>
        <a:prstGeom prst="rect">
          <a:avLst/>
        </a:prstGeom>
      </xdr:spPr>
    </xdr:pic>
    <xdr:clientData/>
  </xdr:twoCellAnchor>
  <xdr:twoCellAnchor>
    <xdr:from>
      <xdr:col>1</xdr:col>
      <xdr:colOff>9525</xdr:colOff>
      <xdr:row>113</xdr:row>
      <xdr:rowOff>9525</xdr:rowOff>
    </xdr:from>
    <xdr:to>
      <xdr:col>1</xdr:col>
      <xdr:colOff>1724025</xdr:colOff>
      <xdr:row>113</xdr:row>
      <xdr:rowOff>1724025</xdr:rowOff>
    </xdr:to>
    <xdr:pic>
      <xdr:nvPicPr>
        <xdr:cNvPr id="107" name="Picture 105">
          <a:extLst>
            <a:ext uri="{FF2B5EF4-FFF2-40B4-BE49-F238E27FC236}">
              <a16:creationId xmlns:a16="http://schemas.microsoft.com/office/drawing/2014/main" id="{5C6605FD-EA2E-4C4F-8A11-321AB4B52B61}"/>
            </a:ext>
          </a:extLst>
        </xdr:cNvPr>
        <xdr:cNvPicPr>
          <a:picLocks noChangeAspect="1"/>
        </xdr:cNvPicPr>
      </xdr:nvPicPr>
      <xdr:blipFill>
        <a:blip xmlns:r="http://schemas.openxmlformats.org/officeDocument/2006/relationships" r:embed="rId79"/>
        <a:srcRect/>
        <a:stretch>
          <a:fillRect/>
        </a:stretch>
      </xdr:blipFill>
      <xdr:spPr>
        <a:xfrm>
          <a:off x="619125" y="90535125"/>
          <a:ext cx="876300" cy="857250"/>
        </a:xfrm>
        <a:prstGeom prst="rect">
          <a:avLst/>
        </a:prstGeom>
      </xdr:spPr>
    </xdr:pic>
    <xdr:clientData/>
  </xdr:twoCellAnchor>
  <xdr:twoCellAnchor>
    <xdr:from>
      <xdr:col>1</xdr:col>
      <xdr:colOff>9525</xdr:colOff>
      <xdr:row>114</xdr:row>
      <xdr:rowOff>9525</xdr:rowOff>
    </xdr:from>
    <xdr:to>
      <xdr:col>1</xdr:col>
      <xdr:colOff>1724025</xdr:colOff>
      <xdr:row>114</xdr:row>
      <xdr:rowOff>1724025</xdr:rowOff>
    </xdr:to>
    <xdr:pic>
      <xdr:nvPicPr>
        <xdr:cNvPr id="108" name="Picture 106">
          <a:extLst>
            <a:ext uri="{FF2B5EF4-FFF2-40B4-BE49-F238E27FC236}">
              <a16:creationId xmlns:a16="http://schemas.microsoft.com/office/drawing/2014/main" id="{A5031BB2-B0A7-4310-867D-061F432385EA}"/>
            </a:ext>
          </a:extLst>
        </xdr:cNvPr>
        <xdr:cNvPicPr>
          <a:picLocks noChangeAspect="1"/>
        </xdr:cNvPicPr>
      </xdr:nvPicPr>
      <xdr:blipFill>
        <a:blip xmlns:r="http://schemas.openxmlformats.org/officeDocument/2006/relationships" r:embed="rId80"/>
        <a:srcRect/>
        <a:stretch>
          <a:fillRect/>
        </a:stretch>
      </xdr:blipFill>
      <xdr:spPr>
        <a:xfrm>
          <a:off x="619125" y="91401900"/>
          <a:ext cx="876300" cy="857250"/>
        </a:xfrm>
        <a:prstGeom prst="rect">
          <a:avLst/>
        </a:prstGeom>
      </xdr:spPr>
    </xdr:pic>
    <xdr:clientData/>
  </xdr:twoCellAnchor>
  <xdr:twoCellAnchor>
    <xdr:from>
      <xdr:col>1</xdr:col>
      <xdr:colOff>9525</xdr:colOff>
      <xdr:row>115</xdr:row>
      <xdr:rowOff>9525</xdr:rowOff>
    </xdr:from>
    <xdr:to>
      <xdr:col>1</xdr:col>
      <xdr:colOff>1724025</xdr:colOff>
      <xdr:row>115</xdr:row>
      <xdr:rowOff>1724025</xdr:rowOff>
    </xdr:to>
    <xdr:pic>
      <xdr:nvPicPr>
        <xdr:cNvPr id="109" name="Picture 107">
          <a:extLst>
            <a:ext uri="{FF2B5EF4-FFF2-40B4-BE49-F238E27FC236}">
              <a16:creationId xmlns:a16="http://schemas.microsoft.com/office/drawing/2014/main" id="{6A17717F-B94D-4CB2-AE3D-C19A8A78B907}"/>
            </a:ext>
          </a:extLst>
        </xdr:cNvPr>
        <xdr:cNvPicPr>
          <a:picLocks noChangeAspect="1"/>
        </xdr:cNvPicPr>
      </xdr:nvPicPr>
      <xdr:blipFill>
        <a:blip xmlns:r="http://schemas.openxmlformats.org/officeDocument/2006/relationships" r:embed="rId81"/>
        <a:srcRect/>
        <a:stretch>
          <a:fillRect/>
        </a:stretch>
      </xdr:blipFill>
      <xdr:spPr>
        <a:xfrm>
          <a:off x="619125" y="92268675"/>
          <a:ext cx="876300" cy="857250"/>
        </a:xfrm>
        <a:prstGeom prst="rect">
          <a:avLst/>
        </a:prstGeom>
      </xdr:spPr>
    </xdr:pic>
    <xdr:clientData/>
  </xdr:twoCellAnchor>
  <xdr:twoCellAnchor>
    <xdr:from>
      <xdr:col>1</xdr:col>
      <xdr:colOff>9525</xdr:colOff>
      <xdr:row>116</xdr:row>
      <xdr:rowOff>9525</xdr:rowOff>
    </xdr:from>
    <xdr:to>
      <xdr:col>1</xdr:col>
      <xdr:colOff>1724025</xdr:colOff>
      <xdr:row>116</xdr:row>
      <xdr:rowOff>1724025</xdr:rowOff>
    </xdr:to>
    <xdr:pic>
      <xdr:nvPicPr>
        <xdr:cNvPr id="110" name="Picture 108">
          <a:extLst>
            <a:ext uri="{FF2B5EF4-FFF2-40B4-BE49-F238E27FC236}">
              <a16:creationId xmlns:a16="http://schemas.microsoft.com/office/drawing/2014/main" id="{591E4ACF-0873-4C45-81DC-E0A7F854A717}"/>
            </a:ext>
          </a:extLst>
        </xdr:cNvPr>
        <xdr:cNvPicPr>
          <a:picLocks noChangeAspect="1"/>
        </xdr:cNvPicPr>
      </xdr:nvPicPr>
      <xdr:blipFill>
        <a:blip xmlns:r="http://schemas.openxmlformats.org/officeDocument/2006/relationships" r:embed="rId82"/>
        <a:srcRect/>
        <a:stretch>
          <a:fillRect/>
        </a:stretch>
      </xdr:blipFill>
      <xdr:spPr>
        <a:xfrm>
          <a:off x="619125" y="93135450"/>
          <a:ext cx="876300" cy="857250"/>
        </a:xfrm>
        <a:prstGeom prst="rect">
          <a:avLst/>
        </a:prstGeom>
      </xdr:spPr>
    </xdr:pic>
    <xdr:clientData/>
  </xdr:twoCellAnchor>
  <xdr:twoCellAnchor>
    <xdr:from>
      <xdr:col>1</xdr:col>
      <xdr:colOff>9525</xdr:colOff>
      <xdr:row>117</xdr:row>
      <xdr:rowOff>9525</xdr:rowOff>
    </xdr:from>
    <xdr:to>
      <xdr:col>1</xdr:col>
      <xdr:colOff>1724025</xdr:colOff>
      <xdr:row>117</xdr:row>
      <xdr:rowOff>1724025</xdr:rowOff>
    </xdr:to>
    <xdr:pic>
      <xdr:nvPicPr>
        <xdr:cNvPr id="111" name="Picture 109">
          <a:extLst>
            <a:ext uri="{FF2B5EF4-FFF2-40B4-BE49-F238E27FC236}">
              <a16:creationId xmlns:a16="http://schemas.microsoft.com/office/drawing/2014/main" id="{4F17866D-ABAE-46FD-840D-E2478FBDA0AE}"/>
            </a:ext>
          </a:extLst>
        </xdr:cNvPr>
        <xdr:cNvPicPr>
          <a:picLocks noChangeAspect="1"/>
        </xdr:cNvPicPr>
      </xdr:nvPicPr>
      <xdr:blipFill>
        <a:blip xmlns:r="http://schemas.openxmlformats.org/officeDocument/2006/relationships" r:embed="rId75"/>
        <a:srcRect/>
        <a:stretch>
          <a:fillRect/>
        </a:stretch>
      </xdr:blipFill>
      <xdr:spPr>
        <a:xfrm>
          <a:off x="619125" y="94002225"/>
          <a:ext cx="876300" cy="857250"/>
        </a:xfrm>
        <a:prstGeom prst="rect">
          <a:avLst/>
        </a:prstGeom>
      </xdr:spPr>
    </xdr:pic>
    <xdr:clientData/>
  </xdr:twoCellAnchor>
  <xdr:twoCellAnchor>
    <xdr:from>
      <xdr:col>1</xdr:col>
      <xdr:colOff>9525</xdr:colOff>
      <xdr:row>118</xdr:row>
      <xdr:rowOff>9525</xdr:rowOff>
    </xdr:from>
    <xdr:to>
      <xdr:col>1</xdr:col>
      <xdr:colOff>1724025</xdr:colOff>
      <xdr:row>118</xdr:row>
      <xdr:rowOff>1724025</xdr:rowOff>
    </xdr:to>
    <xdr:pic>
      <xdr:nvPicPr>
        <xdr:cNvPr id="112" name="Picture 110">
          <a:extLst>
            <a:ext uri="{FF2B5EF4-FFF2-40B4-BE49-F238E27FC236}">
              <a16:creationId xmlns:a16="http://schemas.microsoft.com/office/drawing/2014/main" id="{0AEC0C4A-240F-4CBD-99BB-A9617D764DDC}"/>
            </a:ext>
          </a:extLst>
        </xdr:cNvPr>
        <xdr:cNvPicPr>
          <a:picLocks noChangeAspect="1"/>
        </xdr:cNvPicPr>
      </xdr:nvPicPr>
      <xdr:blipFill>
        <a:blip xmlns:r="http://schemas.openxmlformats.org/officeDocument/2006/relationships" r:embed="rId83"/>
        <a:srcRect/>
        <a:stretch>
          <a:fillRect/>
        </a:stretch>
      </xdr:blipFill>
      <xdr:spPr>
        <a:xfrm>
          <a:off x="619125" y="94869000"/>
          <a:ext cx="876300" cy="857250"/>
        </a:xfrm>
        <a:prstGeom prst="rect">
          <a:avLst/>
        </a:prstGeom>
      </xdr:spPr>
    </xdr:pic>
    <xdr:clientData/>
  </xdr:twoCellAnchor>
  <xdr:twoCellAnchor>
    <xdr:from>
      <xdr:col>1</xdr:col>
      <xdr:colOff>9525</xdr:colOff>
      <xdr:row>119</xdr:row>
      <xdr:rowOff>9525</xdr:rowOff>
    </xdr:from>
    <xdr:to>
      <xdr:col>1</xdr:col>
      <xdr:colOff>1724025</xdr:colOff>
      <xdr:row>119</xdr:row>
      <xdr:rowOff>1724025</xdr:rowOff>
    </xdr:to>
    <xdr:pic>
      <xdr:nvPicPr>
        <xdr:cNvPr id="113" name="Picture 111">
          <a:extLst>
            <a:ext uri="{FF2B5EF4-FFF2-40B4-BE49-F238E27FC236}">
              <a16:creationId xmlns:a16="http://schemas.microsoft.com/office/drawing/2014/main" id="{7EF6FBFC-333B-4C62-B21A-F7D407DBFFD8}"/>
            </a:ext>
          </a:extLst>
        </xdr:cNvPr>
        <xdr:cNvPicPr>
          <a:picLocks noChangeAspect="1"/>
        </xdr:cNvPicPr>
      </xdr:nvPicPr>
      <xdr:blipFill>
        <a:blip xmlns:r="http://schemas.openxmlformats.org/officeDocument/2006/relationships" r:embed="rId84"/>
        <a:srcRect/>
        <a:stretch>
          <a:fillRect/>
        </a:stretch>
      </xdr:blipFill>
      <xdr:spPr>
        <a:xfrm>
          <a:off x="619125" y="95735775"/>
          <a:ext cx="876300" cy="857250"/>
        </a:xfrm>
        <a:prstGeom prst="rect">
          <a:avLst/>
        </a:prstGeom>
      </xdr:spPr>
    </xdr:pic>
    <xdr:clientData/>
  </xdr:twoCellAnchor>
  <xdr:twoCellAnchor>
    <xdr:from>
      <xdr:col>1</xdr:col>
      <xdr:colOff>9525</xdr:colOff>
      <xdr:row>120</xdr:row>
      <xdr:rowOff>9525</xdr:rowOff>
    </xdr:from>
    <xdr:to>
      <xdr:col>1</xdr:col>
      <xdr:colOff>1724025</xdr:colOff>
      <xdr:row>120</xdr:row>
      <xdr:rowOff>1724025</xdr:rowOff>
    </xdr:to>
    <xdr:pic>
      <xdr:nvPicPr>
        <xdr:cNvPr id="114" name="Picture 112">
          <a:extLst>
            <a:ext uri="{FF2B5EF4-FFF2-40B4-BE49-F238E27FC236}">
              <a16:creationId xmlns:a16="http://schemas.microsoft.com/office/drawing/2014/main" id="{4972718B-AB2E-4796-AD4E-DC44FF92A157}"/>
            </a:ext>
          </a:extLst>
        </xdr:cNvPr>
        <xdr:cNvPicPr>
          <a:picLocks noChangeAspect="1"/>
        </xdr:cNvPicPr>
      </xdr:nvPicPr>
      <xdr:blipFill>
        <a:blip xmlns:r="http://schemas.openxmlformats.org/officeDocument/2006/relationships" r:embed="rId85"/>
        <a:srcRect/>
        <a:stretch>
          <a:fillRect/>
        </a:stretch>
      </xdr:blipFill>
      <xdr:spPr>
        <a:xfrm>
          <a:off x="619125" y="96602550"/>
          <a:ext cx="876300" cy="857250"/>
        </a:xfrm>
        <a:prstGeom prst="rect">
          <a:avLst/>
        </a:prstGeom>
      </xdr:spPr>
    </xdr:pic>
    <xdr:clientData/>
  </xdr:twoCellAnchor>
  <xdr:twoCellAnchor>
    <xdr:from>
      <xdr:col>1</xdr:col>
      <xdr:colOff>9525</xdr:colOff>
      <xdr:row>121</xdr:row>
      <xdr:rowOff>9525</xdr:rowOff>
    </xdr:from>
    <xdr:to>
      <xdr:col>1</xdr:col>
      <xdr:colOff>1724025</xdr:colOff>
      <xdr:row>121</xdr:row>
      <xdr:rowOff>1724025</xdr:rowOff>
    </xdr:to>
    <xdr:pic>
      <xdr:nvPicPr>
        <xdr:cNvPr id="115" name="Picture 113">
          <a:extLst>
            <a:ext uri="{FF2B5EF4-FFF2-40B4-BE49-F238E27FC236}">
              <a16:creationId xmlns:a16="http://schemas.microsoft.com/office/drawing/2014/main" id="{6F58907E-3946-4F05-8C1D-E5BDC31A3FB2}"/>
            </a:ext>
          </a:extLst>
        </xdr:cNvPr>
        <xdr:cNvPicPr>
          <a:picLocks noChangeAspect="1"/>
        </xdr:cNvPicPr>
      </xdr:nvPicPr>
      <xdr:blipFill>
        <a:blip xmlns:r="http://schemas.openxmlformats.org/officeDocument/2006/relationships" r:embed="rId86"/>
        <a:srcRect/>
        <a:stretch>
          <a:fillRect/>
        </a:stretch>
      </xdr:blipFill>
      <xdr:spPr>
        <a:xfrm>
          <a:off x="619125" y="97469325"/>
          <a:ext cx="876300" cy="857250"/>
        </a:xfrm>
        <a:prstGeom prst="rect">
          <a:avLst/>
        </a:prstGeom>
      </xdr:spPr>
    </xdr:pic>
    <xdr:clientData/>
  </xdr:twoCellAnchor>
  <xdr:twoCellAnchor>
    <xdr:from>
      <xdr:col>1</xdr:col>
      <xdr:colOff>9525</xdr:colOff>
      <xdr:row>122</xdr:row>
      <xdr:rowOff>9525</xdr:rowOff>
    </xdr:from>
    <xdr:to>
      <xdr:col>1</xdr:col>
      <xdr:colOff>1724025</xdr:colOff>
      <xdr:row>122</xdr:row>
      <xdr:rowOff>1724025</xdr:rowOff>
    </xdr:to>
    <xdr:pic>
      <xdr:nvPicPr>
        <xdr:cNvPr id="116" name="Picture 114">
          <a:extLst>
            <a:ext uri="{FF2B5EF4-FFF2-40B4-BE49-F238E27FC236}">
              <a16:creationId xmlns:a16="http://schemas.microsoft.com/office/drawing/2014/main" id="{51E197C4-190A-4597-A024-DDEF4139E8B4}"/>
            </a:ext>
          </a:extLst>
        </xdr:cNvPr>
        <xdr:cNvPicPr>
          <a:picLocks noChangeAspect="1"/>
        </xdr:cNvPicPr>
      </xdr:nvPicPr>
      <xdr:blipFill>
        <a:blip xmlns:r="http://schemas.openxmlformats.org/officeDocument/2006/relationships" r:embed="rId87"/>
        <a:srcRect/>
        <a:stretch>
          <a:fillRect/>
        </a:stretch>
      </xdr:blipFill>
      <xdr:spPr>
        <a:xfrm>
          <a:off x="619125" y="98336100"/>
          <a:ext cx="876300" cy="857250"/>
        </a:xfrm>
        <a:prstGeom prst="rect">
          <a:avLst/>
        </a:prstGeom>
      </xdr:spPr>
    </xdr:pic>
    <xdr:clientData/>
  </xdr:twoCellAnchor>
  <xdr:twoCellAnchor>
    <xdr:from>
      <xdr:col>1</xdr:col>
      <xdr:colOff>9525</xdr:colOff>
      <xdr:row>123</xdr:row>
      <xdr:rowOff>9525</xdr:rowOff>
    </xdr:from>
    <xdr:to>
      <xdr:col>1</xdr:col>
      <xdr:colOff>1724025</xdr:colOff>
      <xdr:row>123</xdr:row>
      <xdr:rowOff>1724025</xdr:rowOff>
    </xdr:to>
    <xdr:pic>
      <xdr:nvPicPr>
        <xdr:cNvPr id="117" name="Picture 115">
          <a:extLst>
            <a:ext uri="{FF2B5EF4-FFF2-40B4-BE49-F238E27FC236}">
              <a16:creationId xmlns:a16="http://schemas.microsoft.com/office/drawing/2014/main" id="{0578A96A-59AD-44E9-AF78-F9563233B3E1}"/>
            </a:ext>
          </a:extLst>
        </xdr:cNvPr>
        <xdr:cNvPicPr>
          <a:picLocks noChangeAspect="1"/>
        </xdr:cNvPicPr>
      </xdr:nvPicPr>
      <xdr:blipFill>
        <a:blip xmlns:r="http://schemas.openxmlformats.org/officeDocument/2006/relationships" r:embed="rId88"/>
        <a:srcRect/>
        <a:stretch>
          <a:fillRect/>
        </a:stretch>
      </xdr:blipFill>
      <xdr:spPr>
        <a:xfrm>
          <a:off x="619125" y="99202875"/>
          <a:ext cx="876300" cy="857250"/>
        </a:xfrm>
        <a:prstGeom prst="rect">
          <a:avLst/>
        </a:prstGeom>
      </xdr:spPr>
    </xdr:pic>
    <xdr:clientData/>
  </xdr:twoCellAnchor>
  <xdr:twoCellAnchor>
    <xdr:from>
      <xdr:col>1</xdr:col>
      <xdr:colOff>9525</xdr:colOff>
      <xdr:row>124</xdr:row>
      <xdr:rowOff>9525</xdr:rowOff>
    </xdr:from>
    <xdr:to>
      <xdr:col>1</xdr:col>
      <xdr:colOff>1724025</xdr:colOff>
      <xdr:row>124</xdr:row>
      <xdr:rowOff>1724025</xdr:rowOff>
    </xdr:to>
    <xdr:pic>
      <xdr:nvPicPr>
        <xdr:cNvPr id="118" name="Picture 116">
          <a:extLst>
            <a:ext uri="{FF2B5EF4-FFF2-40B4-BE49-F238E27FC236}">
              <a16:creationId xmlns:a16="http://schemas.microsoft.com/office/drawing/2014/main" id="{0538883E-AE7E-40C5-BC37-F2098D38EB1A}"/>
            </a:ext>
          </a:extLst>
        </xdr:cNvPr>
        <xdr:cNvPicPr>
          <a:picLocks noChangeAspect="1"/>
        </xdr:cNvPicPr>
      </xdr:nvPicPr>
      <xdr:blipFill>
        <a:blip xmlns:r="http://schemas.openxmlformats.org/officeDocument/2006/relationships" r:embed="rId89"/>
        <a:srcRect/>
        <a:stretch>
          <a:fillRect/>
        </a:stretch>
      </xdr:blipFill>
      <xdr:spPr>
        <a:xfrm>
          <a:off x="619125" y="100069650"/>
          <a:ext cx="876300" cy="857250"/>
        </a:xfrm>
        <a:prstGeom prst="rect">
          <a:avLst/>
        </a:prstGeom>
      </xdr:spPr>
    </xdr:pic>
    <xdr:clientData/>
  </xdr:twoCellAnchor>
  <xdr:twoCellAnchor>
    <xdr:from>
      <xdr:col>1</xdr:col>
      <xdr:colOff>9525</xdr:colOff>
      <xdr:row>125</xdr:row>
      <xdr:rowOff>9525</xdr:rowOff>
    </xdr:from>
    <xdr:to>
      <xdr:col>1</xdr:col>
      <xdr:colOff>1724025</xdr:colOff>
      <xdr:row>125</xdr:row>
      <xdr:rowOff>1724025</xdr:rowOff>
    </xdr:to>
    <xdr:pic>
      <xdr:nvPicPr>
        <xdr:cNvPr id="119" name="Picture 117">
          <a:extLst>
            <a:ext uri="{FF2B5EF4-FFF2-40B4-BE49-F238E27FC236}">
              <a16:creationId xmlns:a16="http://schemas.microsoft.com/office/drawing/2014/main" id="{7E4DEF7A-1916-4B01-A804-C65BE520D448}"/>
            </a:ext>
          </a:extLst>
        </xdr:cNvPr>
        <xdr:cNvPicPr>
          <a:picLocks noChangeAspect="1"/>
        </xdr:cNvPicPr>
      </xdr:nvPicPr>
      <xdr:blipFill>
        <a:blip xmlns:r="http://schemas.openxmlformats.org/officeDocument/2006/relationships" r:embed="rId90"/>
        <a:srcRect/>
        <a:stretch>
          <a:fillRect/>
        </a:stretch>
      </xdr:blipFill>
      <xdr:spPr>
        <a:xfrm>
          <a:off x="619125" y="100936425"/>
          <a:ext cx="876300" cy="857250"/>
        </a:xfrm>
        <a:prstGeom prst="rect">
          <a:avLst/>
        </a:prstGeom>
      </xdr:spPr>
    </xdr:pic>
    <xdr:clientData/>
  </xdr:twoCellAnchor>
  <xdr:twoCellAnchor>
    <xdr:from>
      <xdr:col>1</xdr:col>
      <xdr:colOff>9525</xdr:colOff>
      <xdr:row>126</xdr:row>
      <xdr:rowOff>9525</xdr:rowOff>
    </xdr:from>
    <xdr:to>
      <xdr:col>1</xdr:col>
      <xdr:colOff>1724025</xdr:colOff>
      <xdr:row>126</xdr:row>
      <xdr:rowOff>1724025</xdr:rowOff>
    </xdr:to>
    <xdr:pic>
      <xdr:nvPicPr>
        <xdr:cNvPr id="120" name="Picture 118">
          <a:extLst>
            <a:ext uri="{FF2B5EF4-FFF2-40B4-BE49-F238E27FC236}">
              <a16:creationId xmlns:a16="http://schemas.microsoft.com/office/drawing/2014/main" id="{A872F79D-BB58-4F7C-B86F-6B9E1AE406EA}"/>
            </a:ext>
          </a:extLst>
        </xdr:cNvPr>
        <xdr:cNvPicPr>
          <a:picLocks noChangeAspect="1"/>
        </xdr:cNvPicPr>
      </xdr:nvPicPr>
      <xdr:blipFill>
        <a:blip xmlns:r="http://schemas.openxmlformats.org/officeDocument/2006/relationships" r:embed="rId91"/>
        <a:srcRect/>
        <a:stretch>
          <a:fillRect/>
        </a:stretch>
      </xdr:blipFill>
      <xdr:spPr>
        <a:xfrm>
          <a:off x="619125" y="101803200"/>
          <a:ext cx="876300" cy="857250"/>
        </a:xfrm>
        <a:prstGeom prst="rect">
          <a:avLst/>
        </a:prstGeom>
      </xdr:spPr>
    </xdr:pic>
    <xdr:clientData/>
  </xdr:twoCellAnchor>
  <xdr:twoCellAnchor>
    <xdr:from>
      <xdr:col>1</xdr:col>
      <xdr:colOff>9525</xdr:colOff>
      <xdr:row>127</xdr:row>
      <xdr:rowOff>9525</xdr:rowOff>
    </xdr:from>
    <xdr:to>
      <xdr:col>1</xdr:col>
      <xdr:colOff>1724025</xdr:colOff>
      <xdr:row>127</xdr:row>
      <xdr:rowOff>1724025</xdr:rowOff>
    </xdr:to>
    <xdr:pic>
      <xdr:nvPicPr>
        <xdr:cNvPr id="121" name="Picture 119">
          <a:extLst>
            <a:ext uri="{FF2B5EF4-FFF2-40B4-BE49-F238E27FC236}">
              <a16:creationId xmlns:a16="http://schemas.microsoft.com/office/drawing/2014/main" id="{F627389E-7EC5-4CC3-9758-68F6595CB3F6}"/>
            </a:ext>
          </a:extLst>
        </xdr:cNvPr>
        <xdr:cNvPicPr>
          <a:picLocks noChangeAspect="1"/>
        </xdr:cNvPicPr>
      </xdr:nvPicPr>
      <xdr:blipFill>
        <a:blip xmlns:r="http://schemas.openxmlformats.org/officeDocument/2006/relationships" r:embed="rId92"/>
        <a:srcRect/>
        <a:stretch>
          <a:fillRect/>
        </a:stretch>
      </xdr:blipFill>
      <xdr:spPr>
        <a:xfrm>
          <a:off x="619125" y="102669975"/>
          <a:ext cx="876300" cy="857250"/>
        </a:xfrm>
        <a:prstGeom prst="rect">
          <a:avLst/>
        </a:prstGeom>
      </xdr:spPr>
    </xdr:pic>
    <xdr:clientData/>
  </xdr:twoCellAnchor>
  <xdr:twoCellAnchor>
    <xdr:from>
      <xdr:col>1</xdr:col>
      <xdr:colOff>9525</xdr:colOff>
      <xdr:row>128</xdr:row>
      <xdr:rowOff>9525</xdr:rowOff>
    </xdr:from>
    <xdr:to>
      <xdr:col>1</xdr:col>
      <xdr:colOff>1724025</xdr:colOff>
      <xdr:row>128</xdr:row>
      <xdr:rowOff>1724025</xdr:rowOff>
    </xdr:to>
    <xdr:pic>
      <xdr:nvPicPr>
        <xdr:cNvPr id="122" name="Picture 120">
          <a:extLst>
            <a:ext uri="{FF2B5EF4-FFF2-40B4-BE49-F238E27FC236}">
              <a16:creationId xmlns:a16="http://schemas.microsoft.com/office/drawing/2014/main" id="{D05B5EF3-82C9-442C-BAAB-B74C10728FD6}"/>
            </a:ext>
          </a:extLst>
        </xdr:cNvPr>
        <xdr:cNvPicPr>
          <a:picLocks noChangeAspect="1"/>
        </xdr:cNvPicPr>
      </xdr:nvPicPr>
      <xdr:blipFill>
        <a:blip xmlns:r="http://schemas.openxmlformats.org/officeDocument/2006/relationships" r:embed="rId93"/>
        <a:srcRect/>
        <a:stretch>
          <a:fillRect/>
        </a:stretch>
      </xdr:blipFill>
      <xdr:spPr>
        <a:xfrm>
          <a:off x="619125" y="103536750"/>
          <a:ext cx="876300" cy="857250"/>
        </a:xfrm>
        <a:prstGeom prst="rect">
          <a:avLst/>
        </a:prstGeom>
      </xdr:spPr>
    </xdr:pic>
    <xdr:clientData/>
  </xdr:twoCellAnchor>
  <xdr:twoCellAnchor>
    <xdr:from>
      <xdr:col>1</xdr:col>
      <xdr:colOff>9525</xdr:colOff>
      <xdr:row>129</xdr:row>
      <xdr:rowOff>9525</xdr:rowOff>
    </xdr:from>
    <xdr:to>
      <xdr:col>1</xdr:col>
      <xdr:colOff>1724025</xdr:colOff>
      <xdr:row>129</xdr:row>
      <xdr:rowOff>1724025</xdr:rowOff>
    </xdr:to>
    <xdr:pic>
      <xdr:nvPicPr>
        <xdr:cNvPr id="123" name="Picture 121">
          <a:extLst>
            <a:ext uri="{FF2B5EF4-FFF2-40B4-BE49-F238E27FC236}">
              <a16:creationId xmlns:a16="http://schemas.microsoft.com/office/drawing/2014/main" id="{98B90F98-B88E-47F8-9BBA-7823890D72EF}"/>
            </a:ext>
          </a:extLst>
        </xdr:cNvPr>
        <xdr:cNvPicPr>
          <a:picLocks noChangeAspect="1"/>
        </xdr:cNvPicPr>
      </xdr:nvPicPr>
      <xdr:blipFill>
        <a:blip xmlns:r="http://schemas.openxmlformats.org/officeDocument/2006/relationships" r:embed="rId94"/>
        <a:srcRect/>
        <a:stretch>
          <a:fillRect/>
        </a:stretch>
      </xdr:blipFill>
      <xdr:spPr>
        <a:xfrm>
          <a:off x="619125" y="104403525"/>
          <a:ext cx="876300" cy="857250"/>
        </a:xfrm>
        <a:prstGeom prst="rect">
          <a:avLst/>
        </a:prstGeom>
      </xdr:spPr>
    </xdr:pic>
    <xdr:clientData/>
  </xdr:twoCellAnchor>
  <xdr:twoCellAnchor>
    <xdr:from>
      <xdr:col>1</xdr:col>
      <xdr:colOff>9525</xdr:colOff>
      <xdr:row>130</xdr:row>
      <xdr:rowOff>9525</xdr:rowOff>
    </xdr:from>
    <xdr:to>
      <xdr:col>1</xdr:col>
      <xdr:colOff>1724025</xdr:colOff>
      <xdr:row>130</xdr:row>
      <xdr:rowOff>1724025</xdr:rowOff>
    </xdr:to>
    <xdr:pic>
      <xdr:nvPicPr>
        <xdr:cNvPr id="124" name="Picture 122">
          <a:extLst>
            <a:ext uri="{FF2B5EF4-FFF2-40B4-BE49-F238E27FC236}">
              <a16:creationId xmlns:a16="http://schemas.microsoft.com/office/drawing/2014/main" id="{AA38F865-CB5A-44B4-AFFA-C540E5C64BD0}"/>
            </a:ext>
          </a:extLst>
        </xdr:cNvPr>
        <xdr:cNvPicPr>
          <a:picLocks noChangeAspect="1"/>
        </xdr:cNvPicPr>
      </xdr:nvPicPr>
      <xdr:blipFill>
        <a:blip xmlns:r="http://schemas.openxmlformats.org/officeDocument/2006/relationships" r:embed="rId95"/>
        <a:srcRect/>
        <a:stretch>
          <a:fillRect/>
        </a:stretch>
      </xdr:blipFill>
      <xdr:spPr>
        <a:xfrm>
          <a:off x="619125" y="105270300"/>
          <a:ext cx="876300" cy="857250"/>
        </a:xfrm>
        <a:prstGeom prst="rect">
          <a:avLst/>
        </a:prstGeom>
      </xdr:spPr>
    </xdr:pic>
    <xdr:clientData/>
  </xdr:twoCellAnchor>
  <xdr:twoCellAnchor>
    <xdr:from>
      <xdr:col>1</xdr:col>
      <xdr:colOff>9525</xdr:colOff>
      <xdr:row>131</xdr:row>
      <xdr:rowOff>9525</xdr:rowOff>
    </xdr:from>
    <xdr:to>
      <xdr:col>1</xdr:col>
      <xdr:colOff>1724025</xdr:colOff>
      <xdr:row>131</xdr:row>
      <xdr:rowOff>1724025</xdr:rowOff>
    </xdr:to>
    <xdr:pic>
      <xdr:nvPicPr>
        <xdr:cNvPr id="125" name="Picture 123">
          <a:extLst>
            <a:ext uri="{FF2B5EF4-FFF2-40B4-BE49-F238E27FC236}">
              <a16:creationId xmlns:a16="http://schemas.microsoft.com/office/drawing/2014/main" id="{4C3562BE-D5CD-456D-9F44-0A96455A56A6}"/>
            </a:ext>
          </a:extLst>
        </xdr:cNvPr>
        <xdr:cNvPicPr>
          <a:picLocks noChangeAspect="1"/>
        </xdr:cNvPicPr>
      </xdr:nvPicPr>
      <xdr:blipFill>
        <a:blip xmlns:r="http://schemas.openxmlformats.org/officeDocument/2006/relationships" r:embed="rId96"/>
        <a:srcRect/>
        <a:stretch>
          <a:fillRect/>
        </a:stretch>
      </xdr:blipFill>
      <xdr:spPr>
        <a:xfrm>
          <a:off x="619125" y="106137075"/>
          <a:ext cx="876300" cy="857250"/>
        </a:xfrm>
        <a:prstGeom prst="rect">
          <a:avLst/>
        </a:prstGeom>
      </xdr:spPr>
    </xdr:pic>
    <xdr:clientData/>
  </xdr:twoCellAnchor>
  <xdr:twoCellAnchor>
    <xdr:from>
      <xdr:col>1</xdr:col>
      <xdr:colOff>9525</xdr:colOff>
      <xdr:row>132</xdr:row>
      <xdr:rowOff>9525</xdr:rowOff>
    </xdr:from>
    <xdr:to>
      <xdr:col>1</xdr:col>
      <xdr:colOff>1724025</xdr:colOff>
      <xdr:row>132</xdr:row>
      <xdr:rowOff>1724025</xdr:rowOff>
    </xdr:to>
    <xdr:pic>
      <xdr:nvPicPr>
        <xdr:cNvPr id="126" name="Picture 124">
          <a:extLst>
            <a:ext uri="{FF2B5EF4-FFF2-40B4-BE49-F238E27FC236}">
              <a16:creationId xmlns:a16="http://schemas.microsoft.com/office/drawing/2014/main" id="{4E26A29A-1D0C-498A-A5BB-422C91DA9B3F}"/>
            </a:ext>
          </a:extLst>
        </xdr:cNvPr>
        <xdr:cNvPicPr>
          <a:picLocks noChangeAspect="1"/>
        </xdr:cNvPicPr>
      </xdr:nvPicPr>
      <xdr:blipFill>
        <a:blip xmlns:r="http://schemas.openxmlformats.org/officeDocument/2006/relationships" r:embed="rId97"/>
        <a:srcRect/>
        <a:stretch>
          <a:fillRect/>
        </a:stretch>
      </xdr:blipFill>
      <xdr:spPr>
        <a:xfrm>
          <a:off x="619125" y="107003850"/>
          <a:ext cx="876300" cy="857250"/>
        </a:xfrm>
        <a:prstGeom prst="rect">
          <a:avLst/>
        </a:prstGeom>
      </xdr:spPr>
    </xdr:pic>
    <xdr:clientData/>
  </xdr:twoCellAnchor>
  <xdr:twoCellAnchor>
    <xdr:from>
      <xdr:col>1</xdr:col>
      <xdr:colOff>9525</xdr:colOff>
      <xdr:row>133</xdr:row>
      <xdr:rowOff>9525</xdr:rowOff>
    </xdr:from>
    <xdr:to>
      <xdr:col>1</xdr:col>
      <xdr:colOff>1724025</xdr:colOff>
      <xdr:row>133</xdr:row>
      <xdr:rowOff>1724025</xdr:rowOff>
    </xdr:to>
    <xdr:pic>
      <xdr:nvPicPr>
        <xdr:cNvPr id="127" name="Picture 125">
          <a:extLst>
            <a:ext uri="{FF2B5EF4-FFF2-40B4-BE49-F238E27FC236}">
              <a16:creationId xmlns:a16="http://schemas.microsoft.com/office/drawing/2014/main" id="{210A6FBC-A745-403C-A02F-4FDD2951049B}"/>
            </a:ext>
          </a:extLst>
        </xdr:cNvPr>
        <xdr:cNvPicPr>
          <a:picLocks noChangeAspect="1"/>
        </xdr:cNvPicPr>
      </xdr:nvPicPr>
      <xdr:blipFill>
        <a:blip xmlns:r="http://schemas.openxmlformats.org/officeDocument/2006/relationships" r:embed="rId98"/>
        <a:srcRect/>
        <a:stretch>
          <a:fillRect/>
        </a:stretch>
      </xdr:blipFill>
      <xdr:spPr>
        <a:xfrm>
          <a:off x="619125" y="107870625"/>
          <a:ext cx="876300" cy="857250"/>
        </a:xfrm>
        <a:prstGeom prst="rect">
          <a:avLst/>
        </a:prstGeom>
      </xdr:spPr>
    </xdr:pic>
    <xdr:clientData/>
  </xdr:twoCellAnchor>
  <xdr:twoCellAnchor>
    <xdr:from>
      <xdr:col>1</xdr:col>
      <xdr:colOff>9525</xdr:colOff>
      <xdr:row>134</xdr:row>
      <xdr:rowOff>9525</xdr:rowOff>
    </xdr:from>
    <xdr:to>
      <xdr:col>1</xdr:col>
      <xdr:colOff>1724025</xdr:colOff>
      <xdr:row>134</xdr:row>
      <xdr:rowOff>1724025</xdr:rowOff>
    </xdr:to>
    <xdr:pic>
      <xdr:nvPicPr>
        <xdr:cNvPr id="128" name="Picture 126">
          <a:extLst>
            <a:ext uri="{FF2B5EF4-FFF2-40B4-BE49-F238E27FC236}">
              <a16:creationId xmlns:a16="http://schemas.microsoft.com/office/drawing/2014/main" id="{851DE9BC-23C4-47A0-A3BD-A47D859DEF4D}"/>
            </a:ext>
          </a:extLst>
        </xdr:cNvPr>
        <xdr:cNvPicPr>
          <a:picLocks noChangeAspect="1"/>
        </xdr:cNvPicPr>
      </xdr:nvPicPr>
      <xdr:blipFill>
        <a:blip xmlns:r="http://schemas.openxmlformats.org/officeDocument/2006/relationships" r:embed="rId99"/>
        <a:srcRect/>
        <a:stretch>
          <a:fillRect/>
        </a:stretch>
      </xdr:blipFill>
      <xdr:spPr>
        <a:xfrm>
          <a:off x="619125" y="108737400"/>
          <a:ext cx="876300" cy="857250"/>
        </a:xfrm>
        <a:prstGeom prst="rect">
          <a:avLst/>
        </a:prstGeom>
      </xdr:spPr>
    </xdr:pic>
    <xdr:clientData/>
  </xdr:twoCellAnchor>
  <xdr:twoCellAnchor>
    <xdr:from>
      <xdr:col>1</xdr:col>
      <xdr:colOff>9525</xdr:colOff>
      <xdr:row>135</xdr:row>
      <xdr:rowOff>9525</xdr:rowOff>
    </xdr:from>
    <xdr:to>
      <xdr:col>1</xdr:col>
      <xdr:colOff>1724025</xdr:colOff>
      <xdr:row>135</xdr:row>
      <xdr:rowOff>1724025</xdr:rowOff>
    </xdr:to>
    <xdr:pic>
      <xdr:nvPicPr>
        <xdr:cNvPr id="129" name="Picture 127">
          <a:extLst>
            <a:ext uri="{FF2B5EF4-FFF2-40B4-BE49-F238E27FC236}">
              <a16:creationId xmlns:a16="http://schemas.microsoft.com/office/drawing/2014/main" id="{EEB3A4ED-3907-432B-82A7-B4DD44B577D7}"/>
            </a:ext>
          </a:extLst>
        </xdr:cNvPr>
        <xdr:cNvPicPr>
          <a:picLocks noChangeAspect="1"/>
        </xdr:cNvPicPr>
      </xdr:nvPicPr>
      <xdr:blipFill>
        <a:blip xmlns:r="http://schemas.openxmlformats.org/officeDocument/2006/relationships" r:embed="rId99"/>
        <a:srcRect/>
        <a:stretch>
          <a:fillRect/>
        </a:stretch>
      </xdr:blipFill>
      <xdr:spPr>
        <a:xfrm>
          <a:off x="619125" y="109604175"/>
          <a:ext cx="876300" cy="857250"/>
        </a:xfrm>
        <a:prstGeom prst="rect">
          <a:avLst/>
        </a:prstGeom>
      </xdr:spPr>
    </xdr:pic>
    <xdr:clientData/>
  </xdr:twoCellAnchor>
  <xdr:twoCellAnchor>
    <xdr:from>
      <xdr:col>1</xdr:col>
      <xdr:colOff>9525</xdr:colOff>
      <xdr:row>136</xdr:row>
      <xdr:rowOff>9525</xdr:rowOff>
    </xdr:from>
    <xdr:to>
      <xdr:col>1</xdr:col>
      <xdr:colOff>1724025</xdr:colOff>
      <xdr:row>136</xdr:row>
      <xdr:rowOff>1724025</xdr:rowOff>
    </xdr:to>
    <xdr:pic>
      <xdr:nvPicPr>
        <xdr:cNvPr id="130" name="Picture 128">
          <a:extLst>
            <a:ext uri="{FF2B5EF4-FFF2-40B4-BE49-F238E27FC236}">
              <a16:creationId xmlns:a16="http://schemas.microsoft.com/office/drawing/2014/main" id="{37DFC369-6A1A-4A5B-B308-AEE833E752D8}"/>
            </a:ext>
          </a:extLst>
        </xdr:cNvPr>
        <xdr:cNvPicPr>
          <a:picLocks noChangeAspect="1"/>
        </xdr:cNvPicPr>
      </xdr:nvPicPr>
      <xdr:blipFill>
        <a:blip xmlns:r="http://schemas.openxmlformats.org/officeDocument/2006/relationships" r:embed="rId100"/>
        <a:srcRect/>
        <a:stretch>
          <a:fillRect/>
        </a:stretch>
      </xdr:blipFill>
      <xdr:spPr>
        <a:xfrm>
          <a:off x="619125" y="110470950"/>
          <a:ext cx="876300" cy="857250"/>
        </a:xfrm>
        <a:prstGeom prst="rect">
          <a:avLst/>
        </a:prstGeom>
      </xdr:spPr>
    </xdr:pic>
    <xdr:clientData/>
  </xdr:twoCellAnchor>
  <xdr:twoCellAnchor>
    <xdr:from>
      <xdr:col>1</xdr:col>
      <xdr:colOff>9525</xdr:colOff>
      <xdr:row>137</xdr:row>
      <xdr:rowOff>9525</xdr:rowOff>
    </xdr:from>
    <xdr:to>
      <xdr:col>1</xdr:col>
      <xdr:colOff>1724025</xdr:colOff>
      <xdr:row>137</xdr:row>
      <xdr:rowOff>1724025</xdr:rowOff>
    </xdr:to>
    <xdr:pic>
      <xdr:nvPicPr>
        <xdr:cNvPr id="131" name="Picture 129">
          <a:extLst>
            <a:ext uri="{FF2B5EF4-FFF2-40B4-BE49-F238E27FC236}">
              <a16:creationId xmlns:a16="http://schemas.microsoft.com/office/drawing/2014/main" id="{4496D7DA-7778-46A3-ACA5-139E9E4EDBFB}"/>
            </a:ext>
          </a:extLst>
        </xdr:cNvPr>
        <xdr:cNvPicPr>
          <a:picLocks noChangeAspect="1"/>
        </xdr:cNvPicPr>
      </xdr:nvPicPr>
      <xdr:blipFill>
        <a:blip xmlns:r="http://schemas.openxmlformats.org/officeDocument/2006/relationships" r:embed="rId100"/>
        <a:srcRect/>
        <a:stretch>
          <a:fillRect/>
        </a:stretch>
      </xdr:blipFill>
      <xdr:spPr>
        <a:xfrm>
          <a:off x="619125" y="111337725"/>
          <a:ext cx="876300" cy="857250"/>
        </a:xfrm>
        <a:prstGeom prst="rect">
          <a:avLst/>
        </a:prstGeom>
      </xdr:spPr>
    </xdr:pic>
    <xdr:clientData/>
  </xdr:twoCellAnchor>
  <xdr:twoCellAnchor>
    <xdr:from>
      <xdr:col>1</xdr:col>
      <xdr:colOff>9525</xdr:colOff>
      <xdr:row>138</xdr:row>
      <xdr:rowOff>9525</xdr:rowOff>
    </xdr:from>
    <xdr:to>
      <xdr:col>1</xdr:col>
      <xdr:colOff>1724025</xdr:colOff>
      <xdr:row>138</xdr:row>
      <xdr:rowOff>1724025</xdr:rowOff>
    </xdr:to>
    <xdr:pic>
      <xdr:nvPicPr>
        <xdr:cNvPr id="132" name="Picture 130">
          <a:extLst>
            <a:ext uri="{FF2B5EF4-FFF2-40B4-BE49-F238E27FC236}">
              <a16:creationId xmlns:a16="http://schemas.microsoft.com/office/drawing/2014/main" id="{A5CF977E-DA27-4C4C-B73E-ACF1F42C037D}"/>
            </a:ext>
          </a:extLst>
        </xdr:cNvPr>
        <xdr:cNvPicPr>
          <a:picLocks noChangeAspect="1"/>
        </xdr:cNvPicPr>
      </xdr:nvPicPr>
      <xdr:blipFill>
        <a:blip xmlns:r="http://schemas.openxmlformats.org/officeDocument/2006/relationships" r:embed="rId100"/>
        <a:srcRect/>
        <a:stretch>
          <a:fillRect/>
        </a:stretch>
      </xdr:blipFill>
      <xdr:spPr>
        <a:xfrm>
          <a:off x="619125" y="112204500"/>
          <a:ext cx="876300" cy="857250"/>
        </a:xfrm>
        <a:prstGeom prst="rect">
          <a:avLst/>
        </a:prstGeom>
      </xdr:spPr>
    </xdr:pic>
    <xdr:clientData/>
  </xdr:twoCellAnchor>
  <xdr:twoCellAnchor>
    <xdr:from>
      <xdr:col>1</xdr:col>
      <xdr:colOff>9525</xdr:colOff>
      <xdr:row>139</xdr:row>
      <xdr:rowOff>9525</xdr:rowOff>
    </xdr:from>
    <xdr:to>
      <xdr:col>1</xdr:col>
      <xdr:colOff>1724025</xdr:colOff>
      <xdr:row>139</xdr:row>
      <xdr:rowOff>1724025</xdr:rowOff>
    </xdr:to>
    <xdr:pic>
      <xdr:nvPicPr>
        <xdr:cNvPr id="133" name="Picture 131">
          <a:extLst>
            <a:ext uri="{FF2B5EF4-FFF2-40B4-BE49-F238E27FC236}">
              <a16:creationId xmlns:a16="http://schemas.microsoft.com/office/drawing/2014/main" id="{05FB0ED0-3207-4FB1-BC59-0FD18FEBA79C}"/>
            </a:ext>
          </a:extLst>
        </xdr:cNvPr>
        <xdr:cNvPicPr>
          <a:picLocks noChangeAspect="1"/>
        </xdr:cNvPicPr>
      </xdr:nvPicPr>
      <xdr:blipFill>
        <a:blip xmlns:r="http://schemas.openxmlformats.org/officeDocument/2006/relationships" r:embed="rId100"/>
        <a:srcRect/>
        <a:stretch>
          <a:fillRect/>
        </a:stretch>
      </xdr:blipFill>
      <xdr:spPr>
        <a:xfrm>
          <a:off x="619125" y="113071275"/>
          <a:ext cx="876300" cy="857250"/>
        </a:xfrm>
        <a:prstGeom prst="rect">
          <a:avLst/>
        </a:prstGeom>
      </xdr:spPr>
    </xdr:pic>
    <xdr:clientData/>
  </xdr:twoCellAnchor>
  <xdr:twoCellAnchor>
    <xdr:from>
      <xdr:col>1</xdr:col>
      <xdr:colOff>9525</xdr:colOff>
      <xdr:row>140</xdr:row>
      <xdr:rowOff>9525</xdr:rowOff>
    </xdr:from>
    <xdr:to>
      <xdr:col>1</xdr:col>
      <xdr:colOff>1724025</xdr:colOff>
      <xdr:row>140</xdr:row>
      <xdr:rowOff>1724025</xdr:rowOff>
    </xdr:to>
    <xdr:pic>
      <xdr:nvPicPr>
        <xdr:cNvPr id="134" name="Picture 132">
          <a:extLst>
            <a:ext uri="{FF2B5EF4-FFF2-40B4-BE49-F238E27FC236}">
              <a16:creationId xmlns:a16="http://schemas.microsoft.com/office/drawing/2014/main" id="{450FB6EF-488B-404C-9C33-4FC956AEBC91}"/>
            </a:ext>
          </a:extLst>
        </xdr:cNvPr>
        <xdr:cNvPicPr>
          <a:picLocks noChangeAspect="1"/>
        </xdr:cNvPicPr>
      </xdr:nvPicPr>
      <xdr:blipFill>
        <a:blip xmlns:r="http://schemas.openxmlformats.org/officeDocument/2006/relationships" r:embed="rId100"/>
        <a:srcRect/>
        <a:stretch>
          <a:fillRect/>
        </a:stretch>
      </xdr:blipFill>
      <xdr:spPr>
        <a:xfrm>
          <a:off x="619125" y="113938050"/>
          <a:ext cx="876300" cy="857250"/>
        </a:xfrm>
        <a:prstGeom prst="rect">
          <a:avLst/>
        </a:prstGeom>
      </xdr:spPr>
    </xdr:pic>
    <xdr:clientData/>
  </xdr:twoCellAnchor>
  <xdr:twoCellAnchor>
    <xdr:from>
      <xdr:col>1</xdr:col>
      <xdr:colOff>9525</xdr:colOff>
      <xdr:row>141</xdr:row>
      <xdr:rowOff>9525</xdr:rowOff>
    </xdr:from>
    <xdr:to>
      <xdr:col>1</xdr:col>
      <xdr:colOff>1724025</xdr:colOff>
      <xdr:row>141</xdr:row>
      <xdr:rowOff>1724025</xdr:rowOff>
    </xdr:to>
    <xdr:pic>
      <xdr:nvPicPr>
        <xdr:cNvPr id="135" name="Picture 133">
          <a:extLst>
            <a:ext uri="{FF2B5EF4-FFF2-40B4-BE49-F238E27FC236}">
              <a16:creationId xmlns:a16="http://schemas.microsoft.com/office/drawing/2014/main" id="{9ED0EC51-0CEE-4E4C-886D-B2924BAE8A7E}"/>
            </a:ext>
          </a:extLst>
        </xdr:cNvPr>
        <xdr:cNvPicPr>
          <a:picLocks noChangeAspect="1"/>
        </xdr:cNvPicPr>
      </xdr:nvPicPr>
      <xdr:blipFill>
        <a:blip xmlns:r="http://schemas.openxmlformats.org/officeDocument/2006/relationships" r:embed="rId100"/>
        <a:srcRect/>
        <a:stretch>
          <a:fillRect/>
        </a:stretch>
      </xdr:blipFill>
      <xdr:spPr>
        <a:xfrm>
          <a:off x="619125" y="114804825"/>
          <a:ext cx="876300" cy="857250"/>
        </a:xfrm>
        <a:prstGeom prst="rect">
          <a:avLst/>
        </a:prstGeom>
      </xdr:spPr>
    </xdr:pic>
    <xdr:clientData/>
  </xdr:twoCellAnchor>
  <xdr:twoCellAnchor>
    <xdr:from>
      <xdr:col>1</xdr:col>
      <xdr:colOff>9525</xdr:colOff>
      <xdr:row>142</xdr:row>
      <xdr:rowOff>9525</xdr:rowOff>
    </xdr:from>
    <xdr:to>
      <xdr:col>1</xdr:col>
      <xdr:colOff>1724025</xdr:colOff>
      <xdr:row>142</xdr:row>
      <xdr:rowOff>1724025</xdr:rowOff>
    </xdr:to>
    <xdr:pic>
      <xdr:nvPicPr>
        <xdr:cNvPr id="136" name="Picture 134">
          <a:extLst>
            <a:ext uri="{FF2B5EF4-FFF2-40B4-BE49-F238E27FC236}">
              <a16:creationId xmlns:a16="http://schemas.microsoft.com/office/drawing/2014/main" id="{2AFC563B-2D54-4DEE-B7C3-F8DCDDAED6DA}"/>
            </a:ext>
          </a:extLst>
        </xdr:cNvPr>
        <xdr:cNvPicPr>
          <a:picLocks noChangeAspect="1"/>
        </xdr:cNvPicPr>
      </xdr:nvPicPr>
      <xdr:blipFill>
        <a:blip xmlns:r="http://schemas.openxmlformats.org/officeDocument/2006/relationships" r:embed="rId101"/>
        <a:srcRect/>
        <a:stretch>
          <a:fillRect/>
        </a:stretch>
      </xdr:blipFill>
      <xdr:spPr>
        <a:xfrm>
          <a:off x="619125" y="115671600"/>
          <a:ext cx="876300" cy="857250"/>
        </a:xfrm>
        <a:prstGeom prst="rect">
          <a:avLst/>
        </a:prstGeom>
      </xdr:spPr>
    </xdr:pic>
    <xdr:clientData/>
  </xdr:twoCellAnchor>
  <xdr:twoCellAnchor>
    <xdr:from>
      <xdr:col>1</xdr:col>
      <xdr:colOff>9525</xdr:colOff>
      <xdr:row>143</xdr:row>
      <xdr:rowOff>9525</xdr:rowOff>
    </xdr:from>
    <xdr:to>
      <xdr:col>1</xdr:col>
      <xdr:colOff>1724025</xdr:colOff>
      <xdr:row>143</xdr:row>
      <xdr:rowOff>1724025</xdr:rowOff>
    </xdr:to>
    <xdr:pic>
      <xdr:nvPicPr>
        <xdr:cNvPr id="137" name="Picture 135">
          <a:extLst>
            <a:ext uri="{FF2B5EF4-FFF2-40B4-BE49-F238E27FC236}">
              <a16:creationId xmlns:a16="http://schemas.microsoft.com/office/drawing/2014/main" id="{70A0F6FB-1C95-498E-ACBE-B7C77E121FE1}"/>
            </a:ext>
          </a:extLst>
        </xdr:cNvPr>
        <xdr:cNvPicPr>
          <a:picLocks noChangeAspect="1"/>
        </xdr:cNvPicPr>
      </xdr:nvPicPr>
      <xdr:blipFill>
        <a:blip xmlns:r="http://schemas.openxmlformats.org/officeDocument/2006/relationships" r:embed="rId101"/>
        <a:srcRect/>
        <a:stretch>
          <a:fillRect/>
        </a:stretch>
      </xdr:blipFill>
      <xdr:spPr>
        <a:xfrm>
          <a:off x="619125" y="116538375"/>
          <a:ext cx="876300" cy="857250"/>
        </a:xfrm>
        <a:prstGeom prst="rect">
          <a:avLst/>
        </a:prstGeom>
      </xdr:spPr>
    </xdr:pic>
    <xdr:clientData/>
  </xdr:twoCellAnchor>
  <xdr:twoCellAnchor>
    <xdr:from>
      <xdr:col>1</xdr:col>
      <xdr:colOff>9525</xdr:colOff>
      <xdr:row>144</xdr:row>
      <xdr:rowOff>9525</xdr:rowOff>
    </xdr:from>
    <xdr:to>
      <xdr:col>1</xdr:col>
      <xdr:colOff>1724025</xdr:colOff>
      <xdr:row>144</xdr:row>
      <xdr:rowOff>1724025</xdr:rowOff>
    </xdr:to>
    <xdr:pic>
      <xdr:nvPicPr>
        <xdr:cNvPr id="138" name="Picture 136">
          <a:extLst>
            <a:ext uri="{FF2B5EF4-FFF2-40B4-BE49-F238E27FC236}">
              <a16:creationId xmlns:a16="http://schemas.microsoft.com/office/drawing/2014/main" id="{418D30CB-4AB8-4ACC-9C23-FDB9287AA909}"/>
            </a:ext>
          </a:extLst>
        </xdr:cNvPr>
        <xdr:cNvPicPr>
          <a:picLocks noChangeAspect="1"/>
        </xdr:cNvPicPr>
      </xdr:nvPicPr>
      <xdr:blipFill>
        <a:blip xmlns:r="http://schemas.openxmlformats.org/officeDocument/2006/relationships" r:embed="rId102"/>
        <a:srcRect/>
        <a:stretch>
          <a:fillRect/>
        </a:stretch>
      </xdr:blipFill>
      <xdr:spPr>
        <a:xfrm>
          <a:off x="619125" y="117405150"/>
          <a:ext cx="876300" cy="857250"/>
        </a:xfrm>
        <a:prstGeom prst="rect">
          <a:avLst/>
        </a:prstGeom>
      </xdr:spPr>
    </xdr:pic>
    <xdr:clientData/>
  </xdr:twoCellAnchor>
  <xdr:twoCellAnchor>
    <xdr:from>
      <xdr:col>1</xdr:col>
      <xdr:colOff>9525</xdr:colOff>
      <xdr:row>145</xdr:row>
      <xdr:rowOff>9525</xdr:rowOff>
    </xdr:from>
    <xdr:to>
      <xdr:col>1</xdr:col>
      <xdr:colOff>1724025</xdr:colOff>
      <xdr:row>145</xdr:row>
      <xdr:rowOff>1724025</xdr:rowOff>
    </xdr:to>
    <xdr:pic>
      <xdr:nvPicPr>
        <xdr:cNvPr id="139" name="Picture 137">
          <a:extLst>
            <a:ext uri="{FF2B5EF4-FFF2-40B4-BE49-F238E27FC236}">
              <a16:creationId xmlns:a16="http://schemas.microsoft.com/office/drawing/2014/main" id="{041EA343-6F31-46A1-AA60-9FCBD0855DCA}"/>
            </a:ext>
          </a:extLst>
        </xdr:cNvPr>
        <xdr:cNvPicPr>
          <a:picLocks noChangeAspect="1"/>
        </xdr:cNvPicPr>
      </xdr:nvPicPr>
      <xdr:blipFill>
        <a:blip xmlns:r="http://schemas.openxmlformats.org/officeDocument/2006/relationships" r:embed="rId103"/>
        <a:srcRect/>
        <a:stretch>
          <a:fillRect/>
        </a:stretch>
      </xdr:blipFill>
      <xdr:spPr>
        <a:xfrm>
          <a:off x="619125" y="118271925"/>
          <a:ext cx="876300" cy="857250"/>
        </a:xfrm>
        <a:prstGeom prst="rect">
          <a:avLst/>
        </a:prstGeom>
      </xdr:spPr>
    </xdr:pic>
    <xdr:clientData/>
  </xdr:twoCellAnchor>
  <xdr:twoCellAnchor>
    <xdr:from>
      <xdr:col>1</xdr:col>
      <xdr:colOff>9525</xdr:colOff>
      <xdr:row>146</xdr:row>
      <xdr:rowOff>9525</xdr:rowOff>
    </xdr:from>
    <xdr:to>
      <xdr:col>1</xdr:col>
      <xdr:colOff>1724025</xdr:colOff>
      <xdr:row>146</xdr:row>
      <xdr:rowOff>1724025</xdr:rowOff>
    </xdr:to>
    <xdr:pic>
      <xdr:nvPicPr>
        <xdr:cNvPr id="140" name="Picture 138">
          <a:extLst>
            <a:ext uri="{FF2B5EF4-FFF2-40B4-BE49-F238E27FC236}">
              <a16:creationId xmlns:a16="http://schemas.microsoft.com/office/drawing/2014/main" id="{3E65D18C-76C0-4967-B07E-91747080386A}"/>
            </a:ext>
          </a:extLst>
        </xdr:cNvPr>
        <xdr:cNvPicPr>
          <a:picLocks noChangeAspect="1"/>
        </xdr:cNvPicPr>
      </xdr:nvPicPr>
      <xdr:blipFill>
        <a:blip xmlns:r="http://schemas.openxmlformats.org/officeDocument/2006/relationships" r:embed="rId104"/>
        <a:srcRect/>
        <a:stretch>
          <a:fillRect/>
        </a:stretch>
      </xdr:blipFill>
      <xdr:spPr>
        <a:xfrm>
          <a:off x="619125" y="119138700"/>
          <a:ext cx="876300" cy="857250"/>
        </a:xfrm>
        <a:prstGeom prst="rect">
          <a:avLst/>
        </a:prstGeom>
      </xdr:spPr>
    </xdr:pic>
    <xdr:clientData/>
  </xdr:twoCellAnchor>
  <xdr:twoCellAnchor>
    <xdr:from>
      <xdr:col>1</xdr:col>
      <xdr:colOff>9525</xdr:colOff>
      <xdr:row>147</xdr:row>
      <xdr:rowOff>9525</xdr:rowOff>
    </xdr:from>
    <xdr:to>
      <xdr:col>1</xdr:col>
      <xdr:colOff>1724025</xdr:colOff>
      <xdr:row>147</xdr:row>
      <xdr:rowOff>1724025</xdr:rowOff>
    </xdr:to>
    <xdr:pic>
      <xdr:nvPicPr>
        <xdr:cNvPr id="141" name="Picture 139">
          <a:extLst>
            <a:ext uri="{FF2B5EF4-FFF2-40B4-BE49-F238E27FC236}">
              <a16:creationId xmlns:a16="http://schemas.microsoft.com/office/drawing/2014/main" id="{41C5F708-A3A0-4B9B-890F-59348B8E9555}"/>
            </a:ext>
          </a:extLst>
        </xdr:cNvPr>
        <xdr:cNvPicPr>
          <a:picLocks noChangeAspect="1"/>
        </xdr:cNvPicPr>
      </xdr:nvPicPr>
      <xdr:blipFill>
        <a:blip xmlns:r="http://schemas.openxmlformats.org/officeDocument/2006/relationships" r:embed="rId105"/>
        <a:srcRect/>
        <a:stretch>
          <a:fillRect/>
        </a:stretch>
      </xdr:blipFill>
      <xdr:spPr>
        <a:xfrm>
          <a:off x="619125" y="120005475"/>
          <a:ext cx="876300" cy="857250"/>
        </a:xfrm>
        <a:prstGeom prst="rect">
          <a:avLst/>
        </a:prstGeom>
      </xdr:spPr>
    </xdr:pic>
    <xdr:clientData/>
  </xdr:twoCellAnchor>
  <xdr:twoCellAnchor>
    <xdr:from>
      <xdr:col>1</xdr:col>
      <xdr:colOff>9525</xdr:colOff>
      <xdr:row>148</xdr:row>
      <xdr:rowOff>9525</xdr:rowOff>
    </xdr:from>
    <xdr:to>
      <xdr:col>1</xdr:col>
      <xdr:colOff>1724025</xdr:colOff>
      <xdr:row>148</xdr:row>
      <xdr:rowOff>1724025</xdr:rowOff>
    </xdr:to>
    <xdr:pic>
      <xdr:nvPicPr>
        <xdr:cNvPr id="142" name="Picture 140">
          <a:extLst>
            <a:ext uri="{FF2B5EF4-FFF2-40B4-BE49-F238E27FC236}">
              <a16:creationId xmlns:a16="http://schemas.microsoft.com/office/drawing/2014/main" id="{110BFF35-D5B5-4502-BCA5-B7ADD8A96228}"/>
            </a:ext>
          </a:extLst>
        </xdr:cNvPr>
        <xdr:cNvPicPr>
          <a:picLocks noChangeAspect="1"/>
        </xdr:cNvPicPr>
      </xdr:nvPicPr>
      <xdr:blipFill>
        <a:blip xmlns:r="http://schemas.openxmlformats.org/officeDocument/2006/relationships" r:embed="rId106"/>
        <a:srcRect/>
        <a:stretch>
          <a:fillRect/>
        </a:stretch>
      </xdr:blipFill>
      <xdr:spPr>
        <a:xfrm>
          <a:off x="619125" y="120872250"/>
          <a:ext cx="876300" cy="857250"/>
        </a:xfrm>
        <a:prstGeom prst="rect">
          <a:avLst/>
        </a:prstGeom>
      </xdr:spPr>
    </xdr:pic>
    <xdr:clientData/>
  </xdr:twoCellAnchor>
  <xdr:twoCellAnchor>
    <xdr:from>
      <xdr:col>1</xdr:col>
      <xdr:colOff>9525</xdr:colOff>
      <xdr:row>153</xdr:row>
      <xdr:rowOff>9525</xdr:rowOff>
    </xdr:from>
    <xdr:to>
      <xdr:col>1</xdr:col>
      <xdr:colOff>1724025</xdr:colOff>
      <xdr:row>153</xdr:row>
      <xdr:rowOff>1724025</xdr:rowOff>
    </xdr:to>
    <xdr:pic>
      <xdr:nvPicPr>
        <xdr:cNvPr id="143" name="Picture 141">
          <a:extLst>
            <a:ext uri="{FF2B5EF4-FFF2-40B4-BE49-F238E27FC236}">
              <a16:creationId xmlns:a16="http://schemas.microsoft.com/office/drawing/2014/main" id="{889481E1-6CD5-4F73-91B2-73FE34D5DCB2}"/>
            </a:ext>
          </a:extLst>
        </xdr:cNvPr>
        <xdr:cNvPicPr>
          <a:picLocks noChangeAspect="1"/>
        </xdr:cNvPicPr>
      </xdr:nvPicPr>
      <xdr:blipFill>
        <a:blip xmlns:r="http://schemas.openxmlformats.org/officeDocument/2006/relationships" r:embed="rId107"/>
        <a:srcRect/>
        <a:stretch>
          <a:fillRect/>
        </a:stretch>
      </xdr:blipFill>
      <xdr:spPr>
        <a:xfrm>
          <a:off x="619125" y="122501025"/>
          <a:ext cx="876300" cy="857250"/>
        </a:xfrm>
        <a:prstGeom prst="rect">
          <a:avLst/>
        </a:prstGeom>
      </xdr:spPr>
    </xdr:pic>
    <xdr:clientData/>
  </xdr:twoCellAnchor>
  <xdr:twoCellAnchor>
    <xdr:from>
      <xdr:col>1</xdr:col>
      <xdr:colOff>9525</xdr:colOff>
      <xdr:row>154</xdr:row>
      <xdr:rowOff>9525</xdr:rowOff>
    </xdr:from>
    <xdr:to>
      <xdr:col>1</xdr:col>
      <xdr:colOff>1724025</xdr:colOff>
      <xdr:row>154</xdr:row>
      <xdr:rowOff>1724025</xdr:rowOff>
    </xdr:to>
    <xdr:pic>
      <xdr:nvPicPr>
        <xdr:cNvPr id="144" name="Picture 142">
          <a:extLst>
            <a:ext uri="{FF2B5EF4-FFF2-40B4-BE49-F238E27FC236}">
              <a16:creationId xmlns:a16="http://schemas.microsoft.com/office/drawing/2014/main" id="{740DDBFA-673A-452E-B647-44D10D4B1DA8}"/>
            </a:ext>
          </a:extLst>
        </xdr:cNvPr>
        <xdr:cNvPicPr>
          <a:picLocks noChangeAspect="1"/>
        </xdr:cNvPicPr>
      </xdr:nvPicPr>
      <xdr:blipFill>
        <a:blip xmlns:r="http://schemas.openxmlformats.org/officeDocument/2006/relationships" r:embed="rId108"/>
        <a:srcRect/>
        <a:stretch>
          <a:fillRect/>
        </a:stretch>
      </xdr:blipFill>
      <xdr:spPr>
        <a:xfrm>
          <a:off x="619125" y="123367800"/>
          <a:ext cx="876300" cy="857250"/>
        </a:xfrm>
        <a:prstGeom prst="rect">
          <a:avLst/>
        </a:prstGeom>
      </xdr:spPr>
    </xdr:pic>
    <xdr:clientData/>
  </xdr:twoCellAnchor>
  <xdr:twoCellAnchor>
    <xdr:from>
      <xdr:col>1</xdr:col>
      <xdr:colOff>9525</xdr:colOff>
      <xdr:row>155</xdr:row>
      <xdr:rowOff>9525</xdr:rowOff>
    </xdr:from>
    <xdr:to>
      <xdr:col>1</xdr:col>
      <xdr:colOff>1724025</xdr:colOff>
      <xdr:row>155</xdr:row>
      <xdr:rowOff>1724025</xdr:rowOff>
    </xdr:to>
    <xdr:pic>
      <xdr:nvPicPr>
        <xdr:cNvPr id="145" name="Picture 143">
          <a:extLst>
            <a:ext uri="{FF2B5EF4-FFF2-40B4-BE49-F238E27FC236}">
              <a16:creationId xmlns:a16="http://schemas.microsoft.com/office/drawing/2014/main" id="{CF305BD4-5E09-4EC5-B901-5BD3ED066738}"/>
            </a:ext>
          </a:extLst>
        </xdr:cNvPr>
        <xdr:cNvPicPr>
          <a:picLocks noChangeAspect="1"/>
        </xdr:cNvPicPr>
      </xdr:nvPicPr>
      <xdr:blipFill>
        <a:blip xmlns:r="http://schemas.openxmlformats.org/officeDocument/2006/relationships" r:embed="rId109"/>
        <a:srcRect/>
        <a:stretch>
          <a:fillRect/>
        </a:stretch>
      </xdr:blipFill>
      <xdr:spPr>
        <a:xfrm>
          <a:off x="619125" y="124234575"/>
          <a:ext cx="876300" cy="8572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643759</xdr:colOff>
      <xdr:row>16</xdr:row>
      <xdr:rowOff>75543</xdr:rowOff>
    </xdr:from>
    <xdr:to>
      <xdr:col>8</xdr:col>
      <xdr:colOff>596134</xdr:colOff>
      <xdr:row>18</xdr:row>
      <xdr:rowOff>161268</xdr:rowOff>
    </xdr:to>
    <xdr:pic>
      <xdr:nvPicPr>
        <xdr:cNvPr id="8" name="Picture 11">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39052" y="2985595"/>
          <a:ext cx="628979" cy="5455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126167</xdr:colOff>
      <xdr:row>16</xdr:row>
      <xdr:rowOff>196915</xdr:rowOff>
    </xdr:from>
    <xdr:to>
      <xdr:col>7</xdr:col>
      <xdr:colOff>538655</xdr:colOff>
      <xdr:row>18</xdr:row>
      <xdr:rowOff>36242</xdr:rowOff>
    </xdr:to>
    <xdr:pic>
      <xdr:nvPicPr>
        <xdr:cNvPr id="12" name="Picture 12">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1460" y="3106967"/>
          <a:ext cx="412488" cy="299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228600</xdr:colOff>
      <xdr:row>21</xdr:row>
      <xdr:rowOff>194029</xdr:rowOff>
    </xdr:from>
    <xdr:to>
      <xdr:col>8</xdr:col>
      <xdr:colOff>457200</xdr:colOff>
      <xdr:row>25</xdr:row>
      <xdr:rowOff>125218</xdr:rowOff>
    </xdr:to>
    <xdr:pic>
      <xdr:nvPicPr>
        <xdr:cNvPr id="13" name="Immagin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534025" y="4985104"/>
          <a:ext cx="904875" cy="902739"/>
        </a:xfrm>
        <a:prstGeom prst="rect">
          <a:avLst/>
        </a:prstGeom>
      </xdr:spPr>
    </xdr:pic>
    <xdr:clientData/>
  </xdr:twoCellAnchor>
  <xdr:twoCellAnchor editAs="oneCell">
    <xdr:from>
      <xdr:col>0</xdr:col>
      <xdr:colOff>134471</xdr:colOff>
      <xdr:row>1</xdr:row>
      <xdr:rowOff>112058</xdr:rowOff>
    </xdr:from>
    <xdr:to>
      <xdr:col>3</xdr:col>
      <xdr:colOff>309128</xdr:colOff>
      <xdr:row>4</xdr:row>
      <xdr:rowOff>148165</xdr:rowOff>
    </xdr:to>
    <xdr:pic>
      <xdr:nvPicPr>
        <xdr:cNvPr id="2" name="Immagin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4471" y="244580"/>
          <a:ext cx="2396110" cy="607607"/>
        </a:xfrm>
        <a:prstGeom prst="rect">
          <a:avLst/>
        </a:prstGeom>
      </xdr:spPr>
    </xdr:pic>
    <xdr:clientData/>
  </xdr:twoCellAnchor>
  <xdr:twoCellAnchor editAs="oneCell">
    <xdr:from>
      <xdr:col>0</xdr:col>
      <xdr:colOff>107674</xdr:colOff>
      <xdr:row>16</xdr:row>
      <xdr:rowOff>20626</xdr:rowOff>
    </xdr:from>
    <xdr:to>
      <xdr:col>2</xdr:col>
      <xdr:colOff>24033</xdr:colOff>
      <xdr:row>18</xdr:row>
      <xdr:rowOff>26276</xdr:rowOff>
    </xdr:to>
    <xdr:pic>
      <xdr:nvPicPr>
        <xdr:cNvPr id="4" name="Immagin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674" y="2930678"/>
          <a:ext cx="1453497" cy="4654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AULT\Autodesk\01%20-%20ARCHIVIO%20UFF-TECNICO\02%20-%20ARCHIVIO%20DISTINTE%20MACCHINE\02%20-%20Caricatori\BOM_CR00024-BB0562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M"/>
      <sheetName val="Q.tà totali"/>
    </sheetNames>
    <sheetDataSet>
      <sheetData sheetId="0" refreshError="1"/>
      <sheetData sheetId="1">
        <row r="2">
          <cell r="B2" t="str">
            <v>SC0016</v>
          </cell>
          <cell r="C2">
            <v>2</v>
          </cell>
          <cell r="D2" t="str">
            <v>Sopporto SNL 524 TG</v>
          </cell>
        </row>
        <row r="3">
          <cell r="B3" t="str">
            <v>DV19080</v>
          </cell>
          <cell r="C3">
            <v>1</v>
          </cell>
          <cell r="D3" t="str">
            <v>Carter posteriore</v>
          </cell>
        </row>
        <row r="4">
          <cell r="B4" t="str">
            <v>DV11792</v>
          </cell>
          <cell r="C4">
            <v>1</v>
          </cell>
          <cell r="D4" t="str">
            <v>Anima porta settori</v>
          </cell>
        </row>
        <row r="5">
          <cell r="B5" t="str">
            <v>UNI 6604 - A 36 x  20 x  160</v>
          </cell>
          <cell r="C5">
            <v>2</v>
          </cell>
          <cell r="D5" t="str">
            <v>Chiavetta parallela</v>
          </cell>
        </row>
        <row r="6">
          <cell r="B6" t="str">
            <v>D931-M24x100-Z10</v>
          </cell>
          <cell r="C6">
            <v>20</v>
          </cell>
          <cell r="D6" t="str">
            <v>Vite TE M24x100 Zinc 10.9 DIN 931</v>
          </cell>
        </row>
        <row r="7">
          <cell r="B7" t="str">
            <v>DV19077</v>
          </cell>
          <cell r="C7">
            <v>1</v>
          </cell>
          <cell r="D7" t="str">
            <v>Albero di rinvio</v>
          </cell>
        </row>
        <row r="8">
          <cell r="B8" t="str">
            <v>CT0359</v>
          </cell>
          <cell r="C8">
            <v>8</v>
          </cell>
          <cell r="D8" t="str">
            <v>Ingranaggio CPF1960 Z10 Øp404</v>
          </cell>
        </row>
        <row r="9">
          <cell r="B9" t="str">
            <v>DV14123</v>
          </cell>
          <cell r="C9">
            <v>2</v>
          </cell>
          <cell r="D9" t="str">
            <v>Blocco assieme settori</v>
          </cell>
        </row>
        <row r="10">
          <cell r="B10" t="str">
            <v>DV14137</v>
          </cell>
          <cell r="C10">
            <v>1</v>
          </cell>
          <cell r="D10" t="str">
            <v>Bronzina</v>
          </cell>
        </row>
        <row r="11">
          <cell r="B11" t="str">
            <v>DV14135</v>
          </cell>
          <cell r="C11">
            <v>1</v>
          </cell>
          <cell r="D11" t="str">
            <v>Anima porta settore</v>
          </cell>
        </row>
        <row r="12">
          <cell r="B12" t="str">
            <v>DV14139</v>
          </cell>
          <cell r="C12">
            <v>2</v>
          </cell>
          <cell r="D12" t="str">
            <v>Bronzina distanziale</v>
          </cell>
        </row>
        <row r="13">
          <cell r="B13" t="str">
            <v>DV14145</v>
          </cell>
          <cell r="C13">
            <v>2</v>
          </cell>
          <cell r="D13" t="str">
            <v>Blocco assiale</v>
          </cell>
        </row>
        <row r="14">
          <cell r="B14" t="str">
            <v>I4028-M10x30-45H</v>
          </cell>
          <cell r="C14">
            <v>2</v>
          </cell>
          <cell r="D14" t="str">
            <v>Vite STEI "M10x30 45H ISO 4028</v>
          </cell>
        </row>
        <row r="15">
          <cell r="B15" t="str">
            <v>I4762-M8x40-Z8</v>
          </cell>
          <cell r="C15">
            <v>4</v>
          </cell>
          <cell r="D15" t="str">
            <v>Vite TCEI M8 x 40 Zinc 8.8 ISO 4762</v>
          </cell>
        </row>
        <row r="16">
          <cell r="B16" t="str">
            <v>DV19082</v>
          </cell>
          <cell r="C16">
            <v>1</v>
          </cell>
          <cell r="D16" t="str">
            <v>Coperchio anteriore, stazione di rinvio</v>
          </cell>
        </row>
        <row r="17">
          <cell r="B17" t="str">
            <v>DV12426</v>
          </cell>
          <cell r="C17">
            <v>2</v>
          </cell>
          <cell r="D17" t="str">
            <v>Distanziale</v>
          </cell>
        </row>
        <row r="18">
          <cell r="B18" t="str">
            <v>DV19081</v>
          </cell>
          <cell r="C18">
            <v>1</v>
          </cell>
          <cell r="D18" t="str">
            <v>Sponda posteriore</v>
          </cell>
        </row>
        <row r="19">
          <cell r="B19" t="str">
            <v>DV14343</v>
          </cell>
          <cell r="C19">
            <v>2</v>
          </cell>
          <cell r="D19" t="str">
            <v>Guida superiore stazione di rinvio</v>
          </cell>
        </row>
        <row r="20">
          <cell r="B20" t="str">
            <v>DV14312</v>
          </cell>
          <cell r="C20">
            <v>8</v>
          </cell>
          <cell r="D20" t="str">
            <v>NERVATURA RINFORZO QUADRATA</v>
          </cell>
        </row>
        <row r="21">
          <cell r="B21" t="str">
            <v>DV14346</v>
          </cell>
          <cell r="C21">
            <v>2</v>
          </cell>
          <cell r="D21" t="str">
            <v>Lamiera per supporto</v>
          </cell>
        </row>
        <row r="22">
          <cell r="B22" t="str">
            <v>DV14347</v>
          </cell>
          <cell r="C22">
            <v>2</v>
          </cell>
          <cell r="D22" t="str">
            <v>Guida inferiore stazione di rinvio</v>
          </cell>
        </row>
        <row r="23">
          <cell r="B23" t="str">
            <v>DV14354</v>
          </cell>
          <cell r="C23">
            <v>1</v>
          </cell>
          <cell r="D23" t="str">
            <v>Piatto supporto carter</v>
          </cell>
        </row>
        <row r="24">
          <cell r="B24" t="str">
            <v>DV18659</v>
          </cell>
          <cell r="C24">
            <v>36</v>
          </cell>
          <cell r="D24" t="str">
            <v>Piastra giunzione moduli</v>
          </cell>
        </row>
        <row r="25">
          <cell r="B25" t="str">
            <v>DV14208</v>
          </cell>
          <cell r="C25">
            <v>36</v>
          </cell>
          <cell r="D25" t="str">
            <v>Biscotto di centraggio moduli</v>
          </cell>
        </row>
        <row r="26">
          <cell r="B26" t="str">
            <v>DV14209</v>
          </cell>
          <cell r="C26">
            <v>36</v>
          </cell>
          <cell r="D26" t="str">
            <v>Fissaggio biscotto di centraggio</v>
          </cell>
        </row>
        <row r="27">
          <cell r="B27" t="str">
            <v>D127A-12x21,1-Z8</v>
          </cell>
          <cell r="C27">
            <v>3205</v>
          </cell>
          <cell r="D27" t="str">
            <v>Rondella elastica spaccata Zinc 8.8 DIN 127A</v>
          </cell>
        </row>
        <row r="28">
          <cell r="B28" t="str">
            <v>D933-M12x40-Z8</v>
          </cell>
          <cell r="C28">
            <v>1262</v>
          </cell>
          <cell r="D28" t="str">
            <v>Vite TE M12x40 Zinc 8.8 DIN 933</v>
          </cell>
        </row>
        <row r="29">
          <cell r="B29" t="str">
            <v>D934-M12x1,75-Z8</v>
          </cell>
          <cell r="C29">
            <v>2873</v>
          </cell>
          <cell r="D29" t="str">
            <v>Dado medio M12x1,75 Zinc 8.8 DIN 934</v>
          </cell>
        </row>
        <row r="30">
          <cell r="B30" t="str">
            <v>I7089-12x24-Z8</v>
          </cell>
          <cell r="C30">
            <v>4287</v>
          </cell>
          <cell r="D30" t="str">
            <v>Rondella M12 Zinc 8.8 ISO 7089</v>
          </cell>
        </row>
        <row r="31">
          <cell r="B31" t="str">
            <v>DV14372</v>
          </cell>
          <cell r="C31">
            <v>2</v>
          </cell>
          <cell r="D31" t="str">
            <v>Lamiera per supporto</v>
          </cell>
        </row>
        <row r="32">
          <cell r="B32" t="str">
            <v>DV12425</v>
          </cell>
          <cell r="C32">
            <v>2</v>
          </cell>
          <cell r="D32" t="str">
            <v>Piatto inferiore</v>
          </cell>
        </row>
        <row r="33">
          <cell r="B33" t="str">
            <v>DV14357</v>
          </cell>
          <cell r="C33">
            <v>2</v>
          </cell>
          <cell r="D33" t="str">
            <v>Piatto anteriore</v>
          </cell>
        </row>
        <row r="34">
          <cell r="B34" t="str">
            <v>DV14363</v>
          </cell>
          <cell r="C34">
            <v>4</v>
          </cell>
          <cell r="D34" t="str">
            <v>Piatto rinforzo</v>
          </cell>
        </row>
        <row r="35">
          <cell r="B35" t="str">
            <v>DV14353</v>
          </cell>
          <cell r="C35" t="str">
            <v>640,000 mm</v>
          </cell>
          <cell r="D35" t="str">
            <v>Quadro 30x30</v>
          </cell>
        </row>
        <row r="36">
          <cell r="B36" t="str">
            <v>DV18678</v>
          </cell>
          <cell r="C36">
            <v>1</v>
          </cell>
          <cell r="D36" t="str">
            <v>Lamiera per finacata SX stazione di rinvio</v>
          </cell>
        </row>
        <row r="37">
          <cell r="B37" t="str">
            <v>DV14366</v>
          </cell>
          <cell r="C37">
            <v>2</v>
          </cell>
          <cell r="D37" t="str">
            <v>Nerva anteriore stazione di rinvio</v>
          </cell>
        </row>
        <row r="38">
          <cell r="B38" t="str">
            <v>DV14355</v>
          </cell>
          <cell r="C38">
            <v>2</v>
          </cell>
          <cell r="D38" t="str">
            <v>Piatto di scorrimento</v>
          </cell>
        </row>
        <row r="39">
          <cell r="B39" t="str">
            <v>DV14356</v>
          </cell>
          <cell r="C39" t="str">
            <v>2280,000 mm</v>
          </cell>
          <cell r="D39" t="str">
            <v>Piattino di riscontro</v>
          </cell>
        </row>
        <row r="40">
          <cell r="B40" t="str">
            <v>DV14368</v>
          </cell>
          <cell r="C40">
            <v>2</v>
          </cell>
          <cell r="D40" t="str">
            <v>Nerva</v>
          </cell>
        </row>
        <row r="41">
          <cell r="B41" t="str">
            <v>DV14367</v>
          </cell>
          <cell r="C41">
            <v>6</v>
          </cell>
          <cell r="D41" t="str">
            <v>Sostegno piatto di scorrimento</v>
          </cell>
        </row>
        <row r="42">
          <cell r="B42" t="str">
            <v>DV14383</v>
          </cell>
          <cell r="C42">
            <v>2</v>
          </cell>
          <cell r="D42" t="str">
            <v>Nerva posteriore stazione di rinvio</v>
          </cell>
        </row>
        <row r="43">
          <cell r="B43" t="str">
            <v>D976-1-B-M12x35x1,75-N8</v>
          </cell>
          <cell r="C43">
            <v>652</v>
          </cell>
          <cell r="D43" t="str">
            <v>Barra fil. M12x35x1,75 Nero 8.8 DIN 976-1</v>
          </cell>
        </row>
        <row r="44">
          <cell r="B44" t="str">
            <v>DV18676</v>
          </cell>
          <cell r="C44">
            <v>1</v>
          </cell>
          <cell r="D44" t="str">
            <v>Lamiera per finacata DX stazione di rinvio</v>
          </cell>
        </row>
        <row r="45">
          <cell r="B45" t="str">
            <v>BU0053</v>
          </cell>
          <cell r="C45">
            <v>4</v>
          </cell>
          <cell r="D45" t="str">
            <v>Tassello per cava T M24 8,8 zinc. Din 508</v>
          </cell>
        </row>
        <row r="46">
          <cell r="B46" t="str">
            <v>R005943.00.20</v>
          </cell>
          <cell r="C46">
            <v>2</v>
          </cell>
          <cell r="D46" t="str">
            <v>Barra TR42X6 - 600</v>
          </cell>
        </row>
        <row r="47">
          <cell r="B47" t="str">
            <v>R005943.00.21</v>
          </cell>
          <cell r="C47">
            <v>8</v>
          </cell>
          <cell r="D47" t="str">
            <v>Dado esagonale TR42X6 - 7H</v>
          </cell>
        </row>
        <row r="48">
          <cell r="B48" t="str">
            <v>I8752-10x70A-N</v>
          </cell>
          <cell r="C48">
            <v>4</v>
          </cell>
          <cell r="D48" t="str">
            <v>Spina elastica 10x70-A N ISO 8752</v>
          </cell>
        </row>
        <row r="49">
          <cell r="B49" t="str">
            <v>DV19089</v>
          </cell>
          <cell r="C49">
            <v>1</v>
          </cell>
          <cell r="D49" t="str">
            <v>Lamiera piegata</v>
          </cell>
        </row>
        <row r="50">
          <cell r="B50" t="str">
            <v>DV14470</v>
          </cell>
          <cell r="C50">
            <v>2</v>
          </cell>
          <cell r="D50" t="str">
            <v>FLANGIA DI TESTA TRAVERSO</v>
          </cell>
        </row>
        <row r="51">
          <cell r="B51" t="str">
            <v>DV19091</v>
          </cell>
          <cell r="C51">
            <v>1</v>
          </cell>
          <cell r="D51" t="str">
            <v>lamiera di chiusura</v>
          </cell>
        </row>
        <row r="52">
          <cell r="B52" t="str">
            <v>DV19087</v>
          </cell>
          <cell r="C52">
            <v>1</v>
          </cell>
          <cell r="D52" t="str">
            <v>Fondo modulo intermedio</v>
          </cell>
        </row>
        <row r="53">
          <cell r="B53" t="str">
            <v>DV19084</v>
          </cell>
          <cell r="C53">
            <v>1</v>
          </cell>
          <cell r="D53" t="str">
            <v>Rete 40x40 file Ø3</v>
          </cell>
        </row>
        <row r="54">
          <cell r="B54" t="str">
            <v>DV14488</v>
          </cell>
          <cell r="C54">
            <v>2</v>
          </cell>
          <cell r="D54" t="str">
            <v>Angolare corto</v>
          </cell>
        </row>
        <row r="55">
          <cell r="B55" t="str">
            <v>DV19086</v>
          </cell>
          <cell r="C55">
            <v>2</v>
          </cell>
          <cell r="D55" t="str">
            <v>Angolare lungo</v>
          </cell>
        </row>
        <row r="56">
          <cell r="B56" t="str">
            <v>DV14491</v>
          </cell>
          <cell r="C56">
            <v>2</v>
          </cell>
          <cell r="D56" t="str">
            <v>Lamiera per copertura</v>
          </cell>
        </row>
        <row r="57">
          <cell r="B57" t="str">
            <v>DV14127</v>
          </cell>
          <cell r="C57">
            <v>4</v>
          </cell>
          <cell r="D57" t="str">
            <v>Parapolvere PRP130C</v>
          </cell>
        </row>
        <row r="58">
          <cell r="B58" t="str">
            <v>DV14493</v>
          </cell>
          <cell r="C58">
            <v>8</v>
          </cell>
          <cell r="D58" t="str">
            <v>Boccola per copertura scorrevole</v>
          </cell>
        </row>
        <row r="59">
          <cell r="B59" t="str">
            <v>DV14495</v>
          </cell>
          <cell r="C59">
            <v>2</v>
          </cell>
          <cell r="D59" t="str">
            <v>Lamiera interna</v>
          </cell>
        </row>
        <row r="60">
          <cell r="B60" t="str">
            <v>DV14494</v>
          </cell>
          <cell r="C60">
            <v>2</v>
          </cell>
          <cell r="D60" t="str">
            <v>Lamiera esterna</v>
          </cell>
        </row>
        <row r="61">
          <cell r="B61" t="str">
            <v>DV19083</v>
          </cell>
          <cell r="C61">
            <v>1</v>
          </cell>
          <cell r="D61" t="str">
            <v>Coperchio posteriore, stazione di rinvio</v>
          </cell>
        </row>
        <row r="62">
          <cell r="B62" t="str">
            <v>DV14335</v>
          </cell>
          <cell r="C62">
            <v>4</v>
          </cell>
          <cell r="D62" t="str">
            <v>FELTRO PARAPOLVERE 20x15 Ø130</v>
          </cell>
        </row>
        <row r="63">
          <cell r="B63" t="str">
            <v>DV14498</v>
          </cell>
          <cell r="C63">
            <v>2</v>
          </cell>
          <cell r="D63" t="str">
            <v>Supporto ugello</v>
          </cell>
        </row>
        <row r="64">
          <cell r="B64" t="str">
            <v>DV14500</v>
          </cell>
          <cell r="C64">
            <v>1</v>
          </cell>
          <cell r="D64" t="str">
            <v>Lamiera anteriore supporto ugello</v>
          </cell>
        </row>
        <row r="65">
          <cell r="B65" t="str">
            <v>DV14501</v>
          </cell>
          <cell r="C65">
            <v>2</v>
          </cell>
          <cell r="D65" t="str">
            <v>Lamiera esterna</v>
          </cell>
        </row>
        <row r="66">
          <cell r="B66" t="str">
            <v>DV14502</v>
          </cell>
          <cell r="C66">
            <v>2</v>
          </cell>
          <cell r="D66" t="str">
            <v>Lamiera interna</v>
          </cell>
        </row>
        <row r="67">
          <cell r="B67" t="str">
            <v>DV14499</v>
          </cell>
          <cell r="C67">
            <v>1</v>
          </cell>
          <cell r="D67" t="str">
            <v>Lamiera posteriore supporto ugello</v>
          </cell>
        </row>
        <row r="68">
          <cell r="B68" t="str">
            <v>IV003822-01</v>
          </cell>
          <cell r="C68">
            <v>1</v>
          </cell>
          <cell r="D68" t="str">
            <v>Disco 4 tacche</v>
          </cell>
        </row>
        <row r="69">
          <cell r="B69" t="str">
            <v>IV003822-02</v>
          </cell>
          <cell r="C69">
            <v>4</v>
          </cell>
          <cell r="D69" t="str">
            <v>Tacca segnalatrice</v>
          </cell>
        </row>
        <row r="70">
          <cell r="B70" t="str">
            <v>UNI 6955 - ST3,9 x 19</v>
          </cell>
          <cell r="C70">
            <v>4</v>
          </cell>
          <cell r="D70" t="str">
            <v>Vite autofilettante</v>
          </cell>
        </row>
        <row r="71">
          <cell r="B71" t="str">
            <v>D933-M10x40-Z8</v>
          </cell>
          <cell r="C71">
            <v>1</v>
          </cell>
          <cell r="D71" t="str">
            <v>Vite TE M10x40 Zinc 8.8 DIN 933</v>
          </cell>
        </row>
        <row r="72">
          <cell r="B72" t="str">
            <v>I7089-10x20-Z8</v>
          </cell>
          <cell r="C72">
            <v>3</v>
          </cell>
          <cell r="D72" t="str">
            <v>Rondella M10 Zinc 8.8 ISO 7089</v>
          </cell>
        </row>
        <row r="73">
          <cell r="B73" t="str">
            <v>DV14511</v>
          </cell>
          <cell r="C73">
            <v>2</v>
          </cell>
          <cell r="D73" t="str">
            <v>Piatto fissaggio sensore contapale</v>
          </cell>
        </row>
        <row r="74">
          <cell r="B74" t="str">
            <v>DV14512</v>
          </cell>
          <cell r="C74">
            <v>1</v>
          </cell>
          <cell r="D74" t="str">
            <v>Piatto fissaggio sensore sensore velocità</v>
          </cell>
        </row>
        <row r="75">
          <cell r="B75" t="str">
            <v>DIN 529 - M10 x 100</v>
          </cell>
          <cell r="C75">
            <v>45</v>
          </cell>
          <cell r="D75" t="str">
            <v>Bullone ad occhiello di sollevamento</v>
          </cell>
        </row>
        <row r="76">
          <cell r="B76" t="str">
            <v>DV15417</v>
          </cell>
          <cell r="C76">
            <v>1</v>
          </cell>
          <cell r="D76" t="str">
            <v>Carter</v>
          </cell>
        </row>
        <row r="77">
          <cell r="B77" t="str">
            <v>D934-M5x0,8-N8</v>
          </cell>
          <cell r="C77">
            <v>2</v>
          </cell>
          <cell r="D77" t="str">
            <v>Dado medio M5x0,8 Nero 8.8 DIN 934</v>
          </cell>
        </row>
        <row r="78">
          <cell r="B78" t="str">
            <v>BU0017</v>
          </cell>
          <cell r="C78">
            <v>13</v>
          </cell>
          <cell r="D78" t="str">
            <v>Inserto filettato esag. testa ridotta M12 Sp.4-8 mm</v>
          </cell>
        </row>
        <row r="79">
          <cell r="B79" t="str">
            <v>EN 14399-4 - M24 x 60</v>
          </cell>
          <cell r="C79">
            <v>292</v>
          </cell>
          <cell r="D79" t="str">
            <v>Vite a testa esagonale</v>
          </cell>
        </row>
        <row r="80">
          <cell r="B80" t="str">
            <v>EN 14399-4 - M24</v>
          </cell>
          <cell r="C80">
            <v>292</v>
          </cell>
          <cell r="D80" t="str">
            <v>Dado esagonale</v>
          </cell>
        </row>
        <row r="81">
          <cell r="B81" t="str">
            <v>DV18996</v>
          </cell>
          <cell r="C81">
            <v>50</v>
          </cell>
          <cell r="D81" t="str">
            <v>Coprigiunto</v>
          </cell>
        </row>
        <row r="82">
          <cell r="B82" t="str">
            <v>DV19000</v>
          </cell>
          <cell r="C82" t="str">
            <v>116920,000 mm</v>
          </cell>
          <cell r="D82" t="str">
            <v>Traverso 150 x 100 x 6 - 2260 - EN 10219-2</v>
          </cell>
        </row>
        <row r="83">
          <cell r="B83" t="str">
            <v>DV11999</v>
          </cell>
          <cell r="C83">
            <v>72</v>
          </cell>
          <cell r="D83" t="str">
            <v>FLANGIA DI TESTA TRAVERSO</v>
          </cell>
        </row>
        <row r="84">
          <cell r="B84" t="str">
            <v>DV19351</v>
          </cell>
          <cell r="C84">
            <v>1</v>
          </cell>
          <cell r="D84" t="str">
            <v>Gomma protezione rinvio</v>
          </cell>
        </row>
        <row r="85">
          <cell r="B85" t="str">
            <v>DV19352</v>
          </cell>
          <cell r="C85">
            <v>1</v>
          </cell>
          <cell r="D85" t="str">
            <v>Piatto fissaggio gomma</v>
          </cell>
        </row>
        <row r="86">
          <cell r="B86" t="str">
            <v>DV19765</v>
          </cell>
          <cell r="C86">
            <v>1</v>
          </cell>
          <cell r="D86" t="str">
            <v>Angolare SX</v>
          </cell>
        </row>
        <row r="87">
          <cell r="B87" t="str">
            <v>DV14440</v>
          </cell>
          <cell r="C87">
            <v>1</v>
          </cell>
          <cell r="D87" t="str">
            <v>Angolare sinistro</v>
          </cell>
        </row>
        <row r="88">
          <cell r="B88" t="str">
            <v>I8677-M12x45-Z8</v>
          </cell>
          <cell r="C88">
            <v>705</v>
          </cell>
          <cell r="D88" t="str">
            <v>Vite TTQST M12x45 Zinc 8.8 ISO 8677</v>
          </cell>
        </row>
        <row r="89">
          <cell r="B89" t="str">
            <v>D933-M8x25-Z8</v>
          </cell>
          <cell r="C89">
            <v>5</v>
          </cell>
          <cell r="D89" t="str">
            <v>Vite TE M8x25 Zinc 8.8 DIN 933</v>
          </cell>
        </row>
        <row r="90">
          <cell r="B90" t="str">
            <v>D127A-8x14,8-Z8</v>
          </cell>
          <cell r="C90">
            <v>449</v>
          </cell>
          <cell r="D90" t="str">
            <v>Rondella elastica spaccata Zinc 8.8 DIN 127A</v>
          </cell>
        </row>
        <row r="91">
          <cell r="B91" t="str">
            <v>I7093-8x24-Z8</v>
          </cell>
          <cell r="C91">
            <v>15</v>
          </cell>
          <cell r="D91" t="str">
            <v>Rondella M8 Zinc 8.8 ISO 7093</v>
          </cell>
        </row>
        <row r="92">
          <cell r="B92" t="str">
            <v>D934-M10x1,5-Z8</v>
          </cell>
          <cell r="C92">
            <v>81</v>
          </cell>
          <cell r="D92" t="str">
            <v>Dado medio M10x1,5 Zinc 8.8 DIN 934</v>
          </cell>
        </row>
        <row r="93">
          <cell r="B93" t="str">
            <v>I7089-16x30-Z8</v>
          </cell>
          <cell r="C93">
            <v>532</v>
          </cell>
          <cell r="D93" t="str">
            <v>Rondella Zinc 8.8 ISO 7089</v>
          </cell>
        </row>
        <row r="94">
          <cell r="B94" t="str">
            <v>D934-M16x2-Z8</v>
          </cell>
          <cell r="C94">
            <v>242</v>
          </cell>
          <cell r="D94" t="str">
            <v>Dado medio M16x2 Zinc 8.8 DIN 934</v>
          </cell>
        </row>
        <row r="95">
          <cell r="B95" t="str">
            <v>D933-M16x50-Z8</v>
          </cell>
          <cell r="C95">
            <v>204</v>
          </cell>
          <cell r="D95" t="str">
            <v>Vite TE M16x50 Zinc 8.8 DIN 933</v>
          </cell>
        </row>
        <row r="96">
          <cell r="B96" t="str">
            <v>D127A-16x27,4-Z8</v>
          </cell>
          <cell r="C96">
            <v>306</v>
          </cell>
          <cell r="D96" t="str">
            <v>Rondella elastica spaccata Zinc 8.8 DIN 127A</v>
          </cell>
        </row>
        <row r="97">
          <cell r="B97" t="str">
            <v>D934-M8x1,25-Z8</v>
          </cell>
          <cell r="C97">
            <v>6</v>
          </cell>
          <cell r="D97" t="str">
            <v>Dado medio M8x1,25 Zinc 8.8 DIN 934</v>
          </cell>
        </row>
        <row r="98">
          <cell r="B98" t="str">
            <v>D933-M8x80-Z8</v>
          </cell>
          <cell r="C98">
            <v>2</v>
          </cell>
          <cell r="D98" t="str">
            <v>Vite TE M8x80 Zinc 8.8 DIN 933</v>
          </cell>
        </row>
        <row r="99">
          <cell r="B99" t="str">
            <v>I7089-8x16-Z8</v>
          </cell>
          <cell r="C99">
            <v>430</v>
          </cell>
          <cell r="D99" t="str">
            <v>Rondella M8 Zinc 8.8 ISO 7089</v>
          </cell>
        </row>
        <row r="100">
          <cell r="B100" t="str">
            <v>D933-M10x20-Z8</v>
          </cell>
          <cell r="C100">
            <v>2</v>
          </cell>
          <cell r="D100" t="str">
            <v>Vite TE M10x20 Zinc 8.8 DIN 933</v>
          </cell>
        </row>
        <row r="101">
          <cell r="B101" t="str">
            <v>D933-M12x25-Z8</v>
          </cell>
          <cell r="C101">
            <v>352</v>
          </cell>
          <cell r="D101" t="str">
            <v>Vite TE M12x25 Zinc 8.8 DIN 933</v>
          </cell>
        </row>
        <row r="102">
          <cell r="B102" t="str">
            <v>I7089-24x44-Z8</v>
          </cell>
          <cell r="C102">
            <v>340</v>
          </cell>
          <cell r="D102" t="str">
            <v>Rondella M24 Zinc 8.8 ISO 7089</v>
          </cell>
        </row>
        <row r="103">
          <cell r="B103" t="str">
            <v>D127A-24x40-Z8</v>
          </cell>
          <cell r="C103">
            <v>300</v>
          </cell>
          <cell r="D103" t="str">
            <v>Rondella elastica spaccata Zinc 8.8 DIN 127A</v>
          </cell>
        </row>
        <row r="104">
          <cell r="B104" t="str">
            <v>D933-M24x80-Z8</v>
          </cell>
          <cell r="C104">
            <v>8</v>
          </cell>
          <cell r="D104" t="str">
            <v>Vite TE M24x80 Zinc 8.8 DIN 933</v>
          </cell>
        </row>
        <row r="105">
          <cell r="B105" t="str">
            <v>D933-M6x12-Z8</v>
          </cell>
          <cell r="C105">
            <v>2</v>
          </cell>
          <cell r="D105" t="str">
            <v>Vite TE M6x12 Zinc 8.8 DIN 933</v>
          </cell>
        </row>
        <row r="106">
          <cell r="B106" t="str">
            <v>I7089-6x12-Z8</v>
          </cell>
          <cell r="C106">
            <v>2</v>
          </cell>
          <cell r="D106" t="str">
            <v>Rondella Zinc 8.8 ISO 7089</v>
          </cell>
        </row>
        <row r="107">
          <cell r="B107" t="str">
            <v>D933-M8x16-Z8</v>
          </cell>
          <cell r="C107">
            <v>20</v>
          </cell>
          <cell r="D107" t="str">
            <v>Vite TE M8x16 Zinc 8.8 DIN 933</v>
          </cell>
        </row>
        <row r="108">
          <cell r="B108" t="str">
            <v>D933-M8x20-Z8</v>
          </cell>
          <cell r="C108">
            <v>420</v>
          </cell>
          <cell r="D108" t="str">
            <v>Vite TE M8x20 Zinc 8.8 DIN 933</v>
          </cell>
        </row>
        <row r="109">
          <cell r="B109" t="str">
            <v>I7093-10x30-Z8</v>
          </cell>
          <cell r="C109">
            <v>4</v>
          </cell>
          <cell r="D109" t="str">
            <v>Rondella Zinc 8.8 ISO 7093</v>
          </cell>
        </row>
        <row r="110">
          <cell r="B110" t="str">
            <v>I7093-14x44-Z8</v>
          </cell>
          <cell r="C110">
            <v>20</v>
          </cell>
          <cell r="D110" t="str">
            <v>Rondella M14 Zinc 8.8 ISO 7093</v>
          </cell>
        </row>
        <row r="111">
          <cell r="B111" t="str">
            <v>I10642-M12x25-Z8</v>
          </cell>
          <cell r="C111">
            <v>40</v>
          </cell>
          <cell r="D111" t="str">
            <v>Vite TSEI M12x25 Zinc 8.8 ISO 10642</v>
          </cell>
        </row>
        <row r="112">
          <cell r="B112" t="str">
            <v>DV12937</v>
          </cell>
          <cell r="C112">
            <v>14</v>
          </cell>
          <cell r="D112" t="str">
            <v>Omega per sostegno manganese centrale</v>
          </cell>
        </row>
        <row r="113">
          <cell r="B113" t="str">
            <v>DV12936</v>
          </cell>
          <cell r="C113">
            <v>14</v>
          </cell>
          <cell r="D113" t="str">
            <v>Manganese 20x70 L2000</v>
          </cell>
        </row>
        <row r="114">
          <cell r="B114" t="str">
            <v>DV18998</v>
          </cell>
          <cell r="C114">
            <v>47</v>
          </cell>
          <cell r="D114" t="str">
            <v>Fondo modulo intermedio</v>
          </cell>
        </row>
        <row r="115">
          <cell r="B115" t="str">
            <v>DV14191</v>
          </cell>
          <cell r="C115">
            <v>28</v>
          </cell>
          <cell r="D115" t="str">
            <v>Piastra per bracciale traverso</v>
          </cell>
        </row>
        <row r="116">
          <cell r="B116" t="str">
            <v>I7093-12x37-Z8</v>
          </cell>
          <cell r="C116">
            <v>602</v>
          </cell>
          <cell r="D116" t="str">
            <v>Rondella Zinc 8.8 ISO 7093</v>
          </cell>
        </row>
        <row r="117">
          <cell r="B117" t="str">
            <v>DV18656</v>
          </cell>
          <cell r="C117">
            <v>32</v>
          </cell>
          <cell r="D117" t="str">
            <v xml:space="preserve">Fiancata modulo intermedio </v>
          </cell>
        </row>
        <row r="118">
          <cell r="B118" t="str">
            <v>DV11997</v>
          </cell>
          <cell r="C118">
            <v>64</v>
          </cell>
          <cell r="D118" t="str">
            <v>Angolare per supporto guida C45</v>
          </cell>
        </row>
        <row r="119">
          <cell r="B119" t="str">
            <v>DV14178</v>
          </cell>
          <cell r="C119">
            <v>444</v>
          </cell>
          <cell r="D119" t="str">
            <v>Saetta di rinforzo supporto guida</v>
          </cell>
        </row>
        <row r="120">
          <cell r="B120" t="str">
            <v>DV14159</v>
          </cell>
          <cell r="C120">
            <v>64</v>
          </cell>
          <cell r="D120" t="str">
            <v>Guida C45 per catena</v>
          </cell>
        </row>
        <row r="121">
          <cell r="B121" t="str">
            <v>DV14179</v>
          </cell>
          <cell r="C121">
            <v>32</v>
          </cell>
          <cell r="D121" t="str">
            <v>Portella ispezione</v>
          </cell>
        </row>
        <row r="122">
          <cell r="B122" t="str">
            <v>DV13959</v>
          </cell>
          <cell r="C122">
            <v>66</v>
          </cell>
          <cell r="D122" t="str">
            <v>Lamiera Sollevamento</v>
          </cell>
        </row>
        <row r="123">
          <cell r="B123" t="str">
            <v>I8677-M12x40-Z8</v>
          </cell>
          <cell r="C123">
            <v>320</v>
          </cell>
          <cell r="D123" t="str">
            <v>Vite TTQST M12x40 Zinc 8.8 ISO 8677</v>
          </cell>
        </row>
        <row r="124">
          <cell r="B124" t="str">
            <v>D933-M12x30-Z8</v>
          </cell>
          <cell r="C124">
            <v>450</v>
          </cell>
          <cell r="D124" t="str">
            <v>Vite TE M12x30 Zinc 8.8 DIN 933</v>
          </cell>
        </row>
        <row r="125">
          <cell r="B125" t="str">
            <v>D931-M12x140-Z8</v>
          </cell>
          <cell r="C125">
            <v>112</v>
          </cell>
          <cell r="D125" t="str">
            <v>Vite TE M12x140 Zinc 8.8 DIN 931</v>
          </cell>
        </row>
        <row r="126">
          <cell r="B126" t="str">
            <v>DV18920</v>
          </cell>
          <cell r="C126">
            <v>2</v>
          </cell>
          <cell r="D126" t="str">
            <v>LAMIERA FIANCATA CURVA</v>
          </cell>
        </row>
        <row r="127">
          <cell r="B127" t="str">
            <v>DV12249</v>
          </cell>
          <cell r="C127">
            <v>2</v>
          </cell>
          <cell r="D127" t="str">
            <v>FLANGIA FONDO CURVA</v>
          </cell>
        </row>
        <row r="128">
          <cell r="B128" t="str">
            <v>DV12251</v>
          </cell>
          <cell r="C128">
            <v>2</v>
          </cell>
          <cell r="D128" t="str">
            <v>PIATTO ATTACCO GUIDA SUP. -B- CURVA</v>
          </cell>
        </row>
        <row r="129">
          <cell r="B129" t="str">
            <v>DV12252</v>
          </cell>
          <cell r="C129">
            <v>2</v>
          </cell>
          <cell r="D129" t="str">
            <v>FLANGIA FIANCATA ATTACCO GUIDA SUP. -B- CURVA</v>
          </cell>
        </row>
        <row r="130">
          <cell r="B130" t="str">
            <v>DV12256</v>
          </cell>
          <cell r="C130">
            <v>2</v>
          </cell>
          <cell r="D130" t="str">
            <v>PIATTO ATTACCO GUIDA INF. -B- CURVA</v>
          </cell>
        </row>
        <row r="131">
          <cell r="B131" t="str">
            <v>DV12255</v>
          </cell>
          <cell r="C131">
            <v>2</v>
          </cell>
          <cell r="D131" t="str">
            <v>FLANGIA FIANCATA ATTACCO GUIDA INF. -B- CURVA</v>
          </cell>
        </row>
        <row r="132">
          <cell r="B132" t="str">
            <v>DV14255</v>
          </cell>
          <cell r="C132">
            <v>2</v>
          </cell>
          <cell r="D132" t="str">
            <v>PIATTO ATTACCO GUIDA INF. -A- CURVA</v>
          </cell>
        </row>
        <row r="133">
          <cell r="B133" t="str">
            <v>DV14256</v>
          </cell>
          <cell r="C133">
            <v>2</v>
          </cell>
          <cell r="D133" t="str">
            <v>FLANGIA FIANCATA ATTACCO GUIDA INF. -A- CURVA</v>
          </cell>
        </row>
        <row r="134">
          <cell r="B134" t="str">
            <v>DV14271</v>
          </cell>
          <cell r="C134">
            <v>2</v>
          </cell>
          <cell r="D134" t="str">
            <v xml:space="preserve"> QUADRO GUIDA SUP. -A-  CURVA</v>
          </cell>
        </row>
        <row r="135">
          <cell r="B135" t="str">
            <v>DV14270</v>
          </cell>
          <cell r="C135">
            <v>2</v>
          </cell>
          <cell r="D135" t="str">
            <v xml:space="preserve"> QUADRO GUIDA SUP. -B-  CURVA</v>
          </cell>
        </row>
        <row r="136">
          <cell r="B136" t="str">
            <v>DV14269</v>
          </cell>
          <cell r="C136">
            <v>2</v>
          </cell>
          <cell r="D136" t="str">
            <v xml:space="preserve"> QUADRO GUIDA INF. -A-  CURVA</v>
          </cell>
        </row>
        <row r="137">
          <cell r="B137" t="str">
            <v>DV14268</v>
          </cell>
          <cell r="C137">
            <v>2</v>
          </cell>
          <cell r="D137" t="str">
            <v xml:space="preserve"> QUADRO GUIDA INF. -B-  CURVA</v>
          </cell>
        </row>
        <row r="138">
          <cell r="B138" t="str">
            <v>DV19045</v>
          </cell>
          <cell r="C138">
            <v>1</v>
          </cell>
          <cell r="D138" t="str">
            <v>LAMIERA FONDO CURVA</v>
          </cell>
        </row>
        <row r="139">
          <cell r="B139" t="str">
            <v>DV14294</v>
          </cell>
          <cell r="C139">
            <v>2</v>
          </cell>
          <cell r="D139" t="str">
            <v>PORTELLO ISPEZIONE</v>
          </cell>
        </row>
        <row r="140">
          <cell r="B140" t="str">
            <v>DV06271</v>
          </cell>
          <cell r="C140">
            <v>3</v>
          </cell>
          <cell r="D140" t="str">
            <v>Kit Fune per Sensore Fine-corsa a strappo</v>
          </cell>
        </row>
        <row r="141">
          <cell r="B141" t="str">
            <v>SE0021</v>
          </cell>
          <cell r="C141">
            <v>2</v>
          </cell>
          <cell r="D141" t="str">
            <v xml:space="preserve">Sensore strappo DX Telem. XY2CE1A250 </v>
          </cell>
        </row>
        <row r="142">
          <cell r="B142" t="str">
            <v>DV14590</v>
          </cell>
          <cell r="C142">
            <v>1</v>
          </cell>
          <cell r="D142" t="str">
            <v>Sostegno sensore a strappo</v>
          </cell>
        </row>
        <row r="143">
          <cell r="B143" t="str">
            <v>I4762-M5x30-Z8</v>
          </cell>
          <cell r="C143">
            <v>12</v>
          </cell>
          <cell r="D143" t="str">
            <v>Vite TCEI M5 x 30 Zinc 8.8 ISO 4762</v>
          </cell>
        </row>
        <row r="144">
          <cell r="B144" t="str">
            <v>DV18944</v>
          </cell>
          <cell r="C144">
            <v>2</v>
          </cell>
          <cell r="D144" t="str">
            <v>Flangia fiancata attacco guida superiore curva</v>
          </cell>
        </row>
        <row r="145">
          <cell r="B145" t="str">
            <v>DV18946</v>
          </cell>
          <cell r="C145">
            <v>2</v>
          </cell>
          <cell r="D145" t="str">
            <v>Piatto attacco guida superiore curva</v>
          </cell>
        </row>
        <row r="146">
          <cell r="B146" t="str">
            <v>D933-M12x45-Z8</v>
          </cell>
          <cell r="C146">
            <v>4</v>
          </cell>
          <cell r="D146" t="str">
            <v>Vite TE M12x45 Zinc 8.8 DIN 933</v>
          </cell>
        </row>
        <row r="147">
          <cell r="B147" t="str">
            <v>D982-12x16,63-Z8</v>
          </cell>
          <cell r="C147">
            <v>76</v>
          </cell>
          <cell r="D147" t="str">
            <v>Dado ATB basso Zinc 8.8 DIN 982</v>
          </cell>
        </row>
        <row r="148">
          <cell r="B148" t="str">
            <v>DV19019</v>
          </cell>
          <cell r="C148">
            <v>2</v>
          </cell>
          <cell r="D148" t="str">
            <v>Fondo modulo intermedio</v>
          </cell>
        </row>
        <row r="149">
          <cell r="B149" t="str">
            <v>DV20108</v>
          </cell>
          <cell r="C149">
            <v>1</v>
          </cell>
          <cell r="D149" t="str">
            <v>Lamiera tramoggia tapparella -A-</v>
          </cell>
        </row>
        <row r="150">
          <cell r="B150" t="str">
            <v>DV20111</v>
          </cell>
          <cell r="C150">
            <v>1</v>
          </cell>
          <cell r="D150" t="str">
            <v>Lamiera tramoggia tapparella -B-</v>
          </cell>
        </row>
        <row r="151">
          <cell r="B151" t="str">
            <v>DV20110</v>
          </cell>
          <cell r="C151">
            <v>2</v>
          </cell>
          <cell r="D151" t="str">
            <v>Lamiera tramoggia tapparella -C-</v>
          </cell>
        </row>
        <row r="152">
          <cell r="B152" t="str">
            <v>DV14326</v>
          </cell>
          <cell r="C152">
            <v>2</v>
          </cell>
          <cell r="D152" t="str">
            <v>Fondo modulo intermedio</v>
          </cell>
        </row>
        <row r="153">
          <cell r="B153" t="str">
            <v>DV11880</v>
          </cell>
          <cell r="C153">
            <v>2</v>
          </cell>
          <cell r="D153" t="str">
            <v>GUIDA SUPERIORE TESTATA COMANDO</v>
          </cell>
        </row>
        <row r="154">
          <cell r="B154" t="str">
            <v>DV11934</v>
          </cell>
          <cell r="C154">
            <v>2</v>
          </cell>
          <cell r="D154" t="str">
            <v>PIATTO SPESSORE Sp3 PER SUPPORTO</v>
          </cell>
        </row>
        <row r="155">
          <cell r="B155" t="str">
            <v>KH157T-DRN180L4A270-X#</v>
          </cell>
          <cell r="C155">
            <v>1</v>
          </cell>
          <cell r="D155" t="str">
            <v>KH157T-DRN180L4A270-X#</v>
          </cell>
        </row>
        <row r="156">
          <cell r="B156" t="str">
            <v>KH157T-DRN180L4B270-X#</v>
          </cell>
          <cell r="C156">
            <v>1</v>
          </cell>
          <cell r="D156" t="str">
            <v>KH157T-DRN180L4B270-X#</v>
          </cell>
        </row>
        <row r="157">
          <cell r="B157" t="str">
            <v>SC0018</v>
          </cell>
          <cell r="C157">
            <v>2</v>
          </cell>
          <cell r="D157" t="str">
            <v>Sopporto SNL 528 TG</v>
          </cell>
        </row>
        <row r="158">
          <cell r="B158" t="str">
            <v>DV14229</v>
          </cell>
          <cell r="C158">
            <v>2</v>
          </cell>
          <cell r="D158" t="str">
            <v>Piatto per Barra</v>
          </cell>
        </row>
        <row r="159">
          <cell r="B159" t="str">
            <v>DV14232</v>
          </cell>
          <cell r="C159">
            <v>4</v>
          </cell>
          <cell r="D159" t="str">
            <v>Piatto per MTRD</v>
          </cell>
        </row>
        <row r="160">
          <cell r="B160" t="str">
            <v>SN0004</v>
          </cell>
          <cell r="C160">
            <v>2</v>
          </cell>
          <cell r="D160" t="str">
            <v>Snodo sferico SIA 40 TXE-2LS</v>
          </cell>
        </row>
        <row r="161">
          <cell r="B161" t="str">
            <v>DV14262</v>
          </cell>
          <cell r="C161">
            <v>4</v>
          </cell>
          <cell r="D161" t="str">
            <v>Perno D40 braccio fisso</v>
          </cell>
        </row>
        <row r="162">
          <cell r="B162" t="str">
            <v>DV14265</v>
          </cell>
          <cell r="C162">
            <v>4</v>
          </cell>
          <cell r="D162" t="str">
            <v>Distanziale per snodo (lato macchina)</v>
          </cell>
        </row>
        <row r="163">
          <cell r="B163" t="str">
            <v>DV14361</v>
          </cell>
          <cell r="C163">
            <v>2</v>
          </cell>
          <cell r="D163" t="str">
            <v>BARRA FILETTATA M39x220 8.8</v>
          </cell>
        </row>
        <row r="164">
          <cell r="B164" t="str">
            <v>U5589-M39x3-Z8</v>
          </cell>
          <cell r="C164">
            <v>4</v>
          </cell>
          <cell r="D164" t="str">
            <v>Dado basso M39x3 Zinc 8.8 UNI 5589</v>
          </cell>
        </row>
        <row r="165">
          <cell r="B165" t="str">
            <v>I8752-5x65A-N</v>
          </cell>
          <cell r="C165">
            <v>4</v>
          </cell>
          <cell r="D165" t="str">
            <v>Spina elastica 5x65-A N ISO 8752</v>
          </cell>
        </row>
        <row r="166">
          <cell r="B166" t="str">
            <v>D934-M39x3-Z8</v>
          </cell>
          <cell r="C166">
            <v>2</v>
          </cell>
          <cell r="D166" t="str">
            <v>Dado medio M39x3 Zinc 8.8 DIN 934</v>
          </cell>
        </row>
        <row r="167">
          <cell r="B167" t="str">
            <v>D985-M20x2,5-Z8</v>
          </cell>
          <cell r="C167">
            <v>4</v>
          </cell>
          <cell r="D167" t="str">
            <v>Dado ATB Zinc 8.8 DIN 985</v>
          </cell>
        </row>
        <row r="168">
          <cell r="B168" t="str">
            <v>I7093-20x60-Z8</v>
          </cell>
          <cell r="C168">
            <v>4</v>
          </cell>
          <cell r="D168" t="str">
            <v>Rondella M20 Zinc 8.8 ISO 7093</v>
          </cell>
        </row>
        <row r="169">
          <cell r="B169" t="str">
            <v>UNI 5739 - M12 x 40</v>
          </cell>
          <cell r="C169">
            <v>2</v>
          </cell>
          <cell r="D169" t="str">
            <v>Vite a testa esagonale</v>
          </cell>
        </row>
        <row r="170">
          <cell r="B170" t="str">
            <v>DV14310</v>
          </cell>
          <cell r="C170">
            <v>2</v>
          </cell>
          <cell r="D170" t="str">
            <v>GUIDA INFERIORE TESTATA COMANDO "THOR"</v>
          </cell>
        </row>
        <row r="171">
          <cell r="B171" t="str">
            <v>DV14316</v>
          </cell>
          <cell r="C171">
            <v>4</v>
          </cell>
          <cell r="D171" t="str">
            <v>"L" SUPPORTO GUIDA TESTATA MOTORE "THOR"</v>
          </cell>
        </row>
        <row r="172">
          <cell r="B172" t="str">
            <v>DV13026</v>
          </cell>
          <cell r="C172">
            <v>34</v>
          </cell>
          <cell r="D172" t="str">
            <v>Sponda per guida materiale</v>
          </cell>
        </row>
        <row r="173">
          <cell r="B173" t="str">
            <v>DV14330</v>
          </cell>
          <cell r="C173">
            <v>20</v>
          </cell>
          <cell r="D173" t="str">
            <v>Sponda modulo verticale</v>
          </cell>
        </row>
        <row r="174">
          <cell r="B174" t="str">
            <v>DV14332</v>
          </cell>
          <cell r="C174">
            <v>1</v>
          </cell>
          <cell r="D174" t="str">
            <v>FLANGIATURA CHIUSURA -A-</v>
          </cell>
        </row>
        <row r="175">
          <cell r="B175" t="str">
            <v>DV14333</v>
          </cell>
          <cell r="C175">
            <v>1</v>
          </cell>
          <cell r="D175" t="str">
            <v>FLANGIATURA CHIUSURA -B-</v>
          </cell>
        </row>
        <row r="176">
          <cell r="B176" t="str">
            <v>DV12799</v>
          </cell>
          <cell r="C176">
            <v>2</v>
          </cell>
          <cell r="D176" t="str">
            <v>Sostegno sensore a strappo</v>
          </cell>
        </row>
        <row r="177">
          <cell r="B177" t="str">
            <v>SE0022</v>
          </cell>
          <cell r="C177">
            <v>1</v>
          </cell>
          <cell r="D177" t="str">
            <v>Sensore strappo SX Telem. XY2CE2A250</v>
          </cell>
        </row>
        <row r="178">
          <cell r="B178" t="str">
            <v>DV19050</v>
          </cell>
          <cell r="C178">
            <v>1</v>
          </cell>
          <cell r="D178" t="str">
            <v>Albero di comando 2xKH157</v>
          </cell>
        </row>
        <row r="179">
          <cell r="B179" t="str">
            <v>DV17460</v>
          </cell>
          <cell r="C179">
            <v>1</v>
          </cell>
          <cell r="D179" t="str">
            <v>Anima porta settori</v>
          </cell>
        </row>
        <row r="180">
          <cell r="B180" t="str">
            <v>DV17458</v>
          </cell>
          <cell r="C180">
            <v>1</v>
          </cell>
          <cell r="D180" t="str">
            <v>Anima porta settori</v>
          </cell>
        </row>
        <row r="181">
          <cell r="B181" t="str">
            <v>UNI 6604 - A 40 x  22 x  160</v>
          </cell>
          <cell r="C181">
            <v>4</v>
          </cell>
          <cell r="D181" t="str">
            <v>Chiavetta parallela</v>
          </cell>
        </row>
        <row r="182">
          <cell r="B182" t="str">
            <v>D931-M24x140-Z10</v>
          </cell>
          <cell r="C182">
            <v>20</v>
          </cell>
          <cell r="D182" t="str">
            <v>Vite TE M24x140 Zinc 10.9 DIN 931</v>
          </cell>
        </row>
        <row r="183">
          <cell r="B183" t="str">
            <v>DV17494</v>
          </cell>
          <cell r="C183">
            <v>4</v>
          </cell>
          <cell r="D183" t="str">
            <v>Blocco assiale</v>
          </cell>
        </row>
        <row r="184">
          <cell r="B184" t="str">
            <v>D127A-10x18,1-Z8</v>
          </cell>
          <cell r="C184">
            <v>8</v>
          </cell>
          <cell r="D184" t="str">
            <v>Rondella elastica spaccata Zinc 8.8 DIN 127A</v>
          </cell>
        </row>
        <row r="185">
          <cell r="B185" t="str">
            <v>I4762-M10x30-Z8</v>
          </cell>
          <cell r="C185">
            <v>8</v>
          </cell>
          <cell r="D185" t="str">
            <v>Vite TCEI M10 x 30 Zinc 8.8 ISO 4762</v>
          </cell>
        </row>
        <row r="186">
          <cell r="B186" t="str">
            <v>DV17495</v>
          </cell>
          <cell r="C186">
            <v>2</v>
          </cell>
          <cell r="D186" t="str">
            <v>PIATTO -B- PARAPOLVERE</v>
          </cell>
        </row>
        <row r="187">
          <cell r="B187" t="str">
            <v>DV17497</v>
          </cell>
          <cell r="C187">
            <v>2</v>
          </cell>
          <cell r="D187" t="str">
            <v>PIATTO -A- PARAPOLVERE</v>
          </cell>
        </row>
        <row r="188">
          <cell r="B188" t="str">
            <v>DV18906</v>
          </cell>
          <cell r="C188">
            <v>1</v>
          </cell>
          <cell r="D188" t="str">
            <v>Fiancata Dx stazione di comando</v>
          </cell>
        </row>
        <row r="189">
          <cell r="B189" t="str">
            <v>DV14194</v>
          </cell>
          <cell r="C189">
            <v>2</v>
          </cell>
          <cell r="D189" t="str">
            <v xml:space="preserve">Estensione per dispositivo di reazione </v>
          </cell>
        </row>
        <row r="190">
          <cell r="B190" t="str">
            <v>DV14274</v>
          </cell>
          <cell r="C190">
            <v>2</v>
          </cell>
          <cell r="D190" t="str">
            <v>NERVATURA FORATA</v>
          </cell>
        </row>
        <row r="191">
          <cell r="B191" t="str">
            <v>DV11935</v>
          </cell>
          <cell r="C191">
            <v>2</v>
          </cell>
          <cell r="D191" t="str">
            <v>APPOGGIO CUSCINETTO</v>
          </cell>
        </row>
        <row r="192">
          <cell r="B192" t="str">
            <v>R005692-01-02-10</v>
          </cell>
          <cell r="C192">
            <v>4</v>
          </cell>
          <cell r="D192" t="str">
            <v>Barra 30x30 L=150</v>
          </cell>
        </row>
        <row r="193">
          <cell r="B193" t="str">
            <v>DV14280</v>
          </cell>
          <cell r="C193">
            <v>2</v>
          </cell>
          <cell r="D193" t="str">
            <v>Rinforzo fiancata stazione comando</v>
          </cell>
        </row>
        <row r="194">
          <cell r="B194" t="str">
            <v>DV14281</v>
          </cell>
          <cell r="C194">
            <v>6</v>
          </cell>
          <cell r="D194" t="str">
            <v>NERVATURA SELLA CUSCINETTO</v>
          </cell>
        </row>
        <row r="195">
          <cell r="B195" t="str">
            <v>DV14305</v>
          </cell>
          <cell r="C195">
            <v>4</v>
          </cell>
          <cell r="D195" t="str">
            <v>Orecchia sollevamento</v>
          </cell>
        </row>
        <row r="196">
          <cell r="B196" t="str">
            <v>DV14306</v>
          </cell>
          <cell r="C196">
            <v>2</v>
          </cell>
          <cell r="D196" t="str">
            <v>NERVATURA VERTICALE</v>
          </cell>
        </row>
        <row r="197">
          <cell r="B197" t="str">
            <v>DV18908</v>
          </cell>
          <cell r="C197">
            <v>1</v>
          </cell>
          <cell r="D197" t="str">
            <v>Fiancata Dx stazione di comando</v>
          </cell>
        </row>
        <row r="198">
          <cell r="B198" t="str">
            <v>DV14266</v>
          </cell>
          <cell r="C198">
            <v>2</v>
          </cell>
          <cell r="D198" t="str">
            <v>FLANGIA DI TESTA TRAVERSO COLL. FIANCATA - ALBERO</v>
          </cell>
        </row>
        <row r="199">
          <cell r="B199" t="str">
            <v>DV19048</v>
          </cell>
          <cell r="C199">
            <v>1</v>
          </cell>
          <cell r="D199" t="str">
            <v>TRAVERSO RINFORZO - MOVIMENTAZIONE</v>
          </cell>
        </row>
        <row r="200">
          <cell r="B200" t="str">
            <v>DV18947</v>
          </cell>
          <cell r="C200">
            <v>9</v>
          </cell>
          <cell r="D200" t="str">
            <v>Rinforzo sponda SX</v>
          </cell>
        </row>
        <row r="201">
          <cell r="B201" t="str">
            <v>DV18948</v>
          </cell>
          <cell r="C201">
            <v>10</v>
          </cell>
          <cell r="D201" t="str">
            <v>Rinforzo sponda SX</v>
          </cell>
        </row>
        <row r="202">
          <cell r="B202" t="str">
            <v>DV14376</v>
          </cell>
          <cell r="C202">
            <v>1</v>
          </cell>
          <cell r="D202" t="str">
            <v>Fiancata DX tramoggia scarico</v>
          </cell>
        </row>
        <row r="203">
          <cell r="B203" t="str">
            <v>DV14379</v>
          </cell>
          <cell r="C203">
            <v>2</v>
          </cell>
          <cell r="D203" t="str">
            <v>Piastra superiore per fiancata</v>
          </cell>
        </row>
        <row r="204">
          <cell r="B204" t="str">
            <v>DV14381</v>
          </cell>
          <cell r="C204">
            <v>2</v>
          </cell>
          <cell r="D204" t="str">
            <v>Piastra inferiore per fiancata</v>
          </cell>
        </row>
        <row r="205">
          <cell r="B205" t="str">
            <v>DV14382</v>
          </cell>
          <cell r="C205">
            <v>2</v>
          </cell>
          <cell r="D205" t="str">
            <v>Saetta per coperchio fondo</v>
          </cell>
        </row>
        <row r="206">
          <cell r="B206" t="str">
            <v>DV14389</v>
          </cell>
          <cell r="C206">
            <v>4</v>
          </cell>
          <cell r="D206" t="str">
            <v>Rinforzo superiore</v>
          </cell>
        </row>
        <row r="207">
          <cell r="B207" t="str">
            <v>DV14390</v>
          </cell>
          <cell r="C207">
            <v>4</v>
          </cell>
          <cell r="D207" t="str">
            <v>Rinforzo sagomato inferiore</v>
          </cell>
        </row>
        <row r="208">
          <cell r="B208" t="str">
            <v>DV14378</v>
          </cell>
          <cell r="C208">
            <v>1</v>
          </cell>
          <cell r="D208" t="str">
            <v>Fiancata SX tramoggia scarico</v>
          </cell>
        </row>
        <row r="209">
          <cell r="B209" t="str">
            <v>DV14386</v>
          </cell>
          <cell r="C209">
            <v>1</v>
          </cell>
          <cell r="D209" t="str">
            <v>Angolare DX collegamento stazione di comando</v>
          </cell>
        </row>
        <row r="210">
          <cell r="B210" t="str">
            <v>DV19724</v>
          </cell>
          <cell r="C210">
            <v>2</v>
          </cell>
          <cell r="D210" t="str">
            <v>Tubo superiore per rollbar</v>
          </cell>
        </row>
        <row r="211">
          <cell r="B211" t="str">
            <v>DV14392</v>
          </cell>
          <cell r="C211">
            <v>4</v>
          </cell>
          <cell r="D211" t="str">
            <v>Tubo laterale per rollbar</v>
          </cell>
        </row>
        <row r="212">
          <cell r="B212" t="str">
            <v>DV14394</v>
          </cell>
          <cell r="C212">
            <v>4</v>
          </cell>
          <cell r="D212" t="str">
            <v>Piastra per rollbar</v>
          </cell>
        </row>
        <row r="213">
          <cell r="B213" t="str">
            <v>014.00.00.00.00.00.99</v>
          </cell>
          <cell r="C213">
            <v>4</v>
          </cell>
          <cell r="D213" t="str">
            <v>Mensola standard</v>
          </cell>
        </row>
        <row r="214">
          <cell r="B214" t="str">
            <v>DV14439</v>
          </cell>
          <cell r="C214">
            <v>1</v>
          </cell>
          <cell r="D214" t="str">
            <v>Angolare SX collegamento stazione di comando</v>
          </cell>
        </row>
        <row r="215">
          <cell r="B215" t="str">
            <v>DV14395</v>
          </cell>
          <cell r="C215">
            <v>2</v>
          </cell>
          <cell r="D215" t="str">
            <v>Angolare longitudinale flangia di scarico</v>
          </cell>
        </row>
        <row r="216">
          <cell r="B216" t="str">
            <v>DV17860</v>
          </cell>
          <cell r="C216">
            <v>8</v>
          </cell>
          <cell r="D216" t="str">
            <v>Piatto di giunzione</v>
          </cell>
        </row>
        <row r="217">
          <cell r="B217" t="str">
            <v>DV17861</v>
          </cell>
          <cell r="C217">
            <v>2</v>
          </cell>
          <cell r="D217" t="str">
            <v>Angolare longitudinale flangia di scarico</v>
          </cell>
        </row>
        <row r="218">
          <cell r="B218" t="str">
            <v>DV19739</v>
          </cell>
          <cell r="C218">
            <v>2</v>
          </cell>
          <cell r="D218" t="str">
            <v>Angolare trasversale flangia di scarico</v>
          </cell>
        </row>
        <row r="219">
          <cell r="B219" t="str">
            <v>DV19729</v>
          </cell>
          <cell r="C219">
            <v>2</v>
          </cell>
          <cell r="D219" t="str">
            <v>Angolare longitudinale flangia di scarico</v>
          </cell>
        </row>
        <row r="220">
          <cell r="B220" t="str">
            <v>D933-M8x30-Z8</v>
          </cell>
          <cell r="C220">
            <v>4</v>
          </cell>
          <cell r="D220" t="str">
            <v>Vite TE M8x30 Zinc 8.8 DIN 933</v>
          </cell>
        </row>
        <row r="221">
          <cell r="B221" t="str">
            <v>DV19727</v>
          </cell>
          <cell r="C221">
            <v>1</v>
          </cell>
          <cell r="D221" t="str">
            <v>Coperchio chiusura testata tramoggia</v>
          </cell>
        </row>
        <row r="222">
          <cell r="B222" t="str">
            <v>DV17873</v>
          </cell>
          <cell r="C222">
            <v>2</v>
          </cell>
          <cell r="D222" t="str">
            <v>Lamiera per flangia</v>
          </cell>
        </row>
        <row r="223">
          <cell r="B223" t="str">
            <v>DV17872</v>
          </cell>
          <cell r="C223">
            <v>1</v>
          </cell>
          <cell r="D223" t="str">
            <v>Lamiera per flangia</v>
          </cell>
        </row>
        <row r="224">
          <cell r="B224" t="str">
            <v>DV17871</v>
          </cell>
          <cell r="C224">
            <v>4</v>
          </cell>
          <cell r="D224" t="str">
            <v>Deviatore flusso aria</v>
          </cell>
        </row>
        <row r="225">
          <cell r="B225" t="str">
            <v>DV18993</v>
          </cell>
          <cell r="C225">
            <v>1</v>
          </cell>
          <cell r="D225" t="str">
            <v>Lamiera per flangia</v>
          </cell>
        </row>
        <row r="226">
          <cell r="B226" t="str">
            <v>DV17878</v>
          </cell>
          <cell r="C226">
            <v>1</v>
          </cell>
          <cell r="D226" t="str">
            <v>Portella aspirazione</v>
          </cell>
        </row>
        <row r="227">
          <cell r="B227" t="str">
            <v>DV19737</v>
          </cell>
          <cell r="C227">
            <v>1</v>
          </cell>
          <cell r="D227" t="str">
            <v>Fondo modulo intermedio</v>
          </cell>
        </row>
        <row r="228">
          <cell r="B228" t="str">
            <v>DV19740</v>
          </cell>
          <cell r="C228">
            <v>1</v>
          </cell>
          <cell r="D228" t="str">
            <v>Portella ispezione</v>
          </cell>
        </row>
        <row r="229">
          <cell r="B229" t="str">
            <v>I8677-M20x50-Z8</v>
          </cell>
          <cell r="C229">
            <v>20</v>
          </cell>
          <cell r="D229" t="str">
            <v>Vite TTQST M20x50 Zinc 8.8 ISO 8677</v>
          </cell>
        </row>
        <row r="230">
          <cell r="B230" t="str">
            <v>I7089-20x37-Z8</v>
          </cell>
          <cell r="C230">
            <v>20</v>
          </cell>
          <cell r="D230" t="str">
            <v>Rondella M20 Zinc 8.8 ISO 7089</v>
          </cell>
        </row>
        <row r="231">
          <cell r="B231" t="str">
            <v>D934-M20x2,5-Z8</v>
          </cell>
          <cell r="C231">
            <v>20</v>
          </cell>
          <cell r="D231" t="str">
            <v>Dado medio M20x2,5 Zinc 8.8 DIN 934</v>
          </cell>
        </row>
        <row r="232">
          <cell r="B232" t="str">
            <v>D127A-20x33,6-Z8</v>
          </cell>
          <cell r="C232">
            <v>20</v>
          </cell>
          <cell r="D232" t="str">
            <v>Rondella elastica spaccata Zinc 8.8 DIN 127A</v>
          </cell>
        </row>
        <row r="233">
          <cell r="B233" t="str">
            <v>D933-M16x45-Z8</v>
          </cell>
          <cell r="C233">
            <v>38</v>
          </cell>
          <cell r="D233" t="str">
            <v>Vite TE M16x45 Zinc 8.8 DIN 933</v>
          </cell>
        </row>
        <row r="234">
          <cell r="B234" t="str">
            <v>DV12709</v>
          </cell>
          <cell r="C234">
            <v>2</v>
          </cell>
          <cell r="D234" t="str">
            <v>Spessore di giunzione</v>
          </cell>
        </row>
        <row r="235">
          <cell r="B235" t="str">
            <v>DV20117</v>
          </cell>
          <cell r="C235">
            <v>1</v>
          </cell>
          <cell r="D235" t="str">
            <v>Piastra piegata per struttura DX</v>
          </cell>
        </row>
        <row r="236">
          <cell r="B236" t="str">
            <v>DV20120</v>
          </cell>
          <cell r="C236">
            <v>2</v>
          </cell>
          <cell r="D236" t="str">
            <v>Piatto laterale corto</v>
          </cell>
        </row>
        <row r="237">
          <cell r="B237" t="str">
            <v>DV14298</v>
          </cell>
          <cell r="C237">
            <v>2</v>
          </cell>
          <cell r="D237" t="str">
            <v>Rinforzo orizzontale</v>
          </cell>
        </row>
        <row r="238">
          <cell r="B238" t="str">
            <v>D933-M16x30-Z8</v>
          </cell>
          <cell r="C238">
            <v>64</v>
          </cell>
          <cell r="D238" t="str">
            <v>Vite TE M16x30 Zinc 8.8 DIN 933</v>
          </cell>
        </row>
        <row r="239">
          <cell r="B239" t="str">
            <v>DV20112</v>
          </cell>
          <cell r="C239">
            <v>1</v>
          </cell>
          <cell r="D239" t="str">
            <v>Piastra piegata per struttura SX</v>
          </cell>
        </row>
        <row r="240">
          <cell r="B240" t="str">
            <v>TB000-XX-006-01</v>
          </cell>
          <cell r="C240">
            <v>22</v>
          </cell>
          <cell r="D240" t="str">
            <v>Piastra Fissaggio</v>
          </cell>
        </row>
        <row r="241">
          <cell r="B241" t="str">
            <v>D976-1-B-M12x30x1,75-Z8</v>
          </cell>
          <cell r="C241">
            <v>44</v>
          </cell>
          <cell r="D241" t="str">
            <v>Barra fil. M12x30x1,75 Zinc 8.8 DIN 976-1</v>
          </cell>
        </row>
        <row r="242">
          <cell r="B242" t="str">
            <v>DV02892</v>
          </cell>
          <cell r="C242">
            <v>22</v>
          </cell>
          <cell r="D242" t="str">
            <v>Piastra copri foro spruzzatore</v>
          </cell>
        </row>
        <row r="243">
          <cell r="B243" t="str">
            <v>BU0036</v>
          </cell>
          <cell r="C243">
            <v>272</v>
          </cell>
          <cell r="D243" t="str">
            <v>Inserto filettato esag. testa ridotta M12 Sp.1-4 mm</v>
          </cell>
        </row>
        <row r="244">
          <cell r="B244" t="str">
            <v>DV14334</v>
          </cell>
          <cell r="C244">
            <v>66</v>
          </cell>
          <cell r="D244" t="str">
            <v>Fiancata coperchio tapparelle</v>
          </cell>
        </row>
        <row r="245">
          <cell r="B245" t="str">
            <v>DV14350</v>
          </cell>
          <cell r="C245">
            <v>132</v>
          </cell>
          <cell r="D245" t="str">
            <v>Nervatura di rinforzo fiancata</v>
          </cell>
        </row>
        <row r="246">
          <cell r="B246" t="str">
            <v>DV14348</v>
          </cell>
          <cell r="C246">
            <v>1</v>
          </cell>
          <cell r="D246" t="str">
            <v>Fiancata coperchio tapparelle</v>
          </cell>
        </row>
        <row r="247">
          <cell r="B247" t="str">
            <v>DV14412</v>
          </cell>
          <cell r="C247">
            <v>1</v>
          </cell>
          <cell r="D247" t="str">
            <v>Fiancata coperchio SX</v>
          </cell>
        </row>
        <row r="248">
          <cell r="B248" t="str">
            <v>DV19356</v>
          </cell>
          <cell r="C248">
            <v>11</v>
          </cell>
          <cell r="D248" t="str">
            <v>Coperchio tapparelle per sprinkler</v>
          </cell>
        </row>
        <row r="249">
          <cell r="B249" t="str">
            <v>DV19353</v>
          </cell>
          <cell r="C249">
            <v>33</v>
          </cell>
          <cell r="D249" t="str">
            <v>Fiancata coperchio tapparelle</v>
          </cell>
        </row>
        <row r="250">
          <cell r="B250" t="str">
            <v>DV19355</v>
          </cell>
          <cell r="C250">
            <v>22</v>
          </cell>
          <cell r="D250" t="str">
            <v>Coperchio tapparelle per sprinkler</v>
          </cell>
        </row>
        <row r="251">
          <cell r="B251" t="str">
            <v>DV19509</v>
          </cell>
          <cell r="C251">
            <v>1</v>
          </cell>
          <cell r="D251" t="str">
            <v>Pannello chiusura</v>
          </cell>
        </row>
        <row r="252">
          <cell r="B252" t="str">
            <v>DV19510</v>
          </cell>
          <cell r="C252">
            <v>1</v>
          </cell>
          <cell r="D252" t="str">
            <v>Coperchio scarico</v>
          </cell>
        </row>
        <row r="253">
          <cell r="B253" t="str">
            <v>BU0021</v>
          </cell>
          <cell r="C253">
            <v>9</v>
          </cell>
          <cell r="D253" t="str">
            <v xml:space="preserve">Inserto filettato esag. testa ridotta M10 </v>
          </cell>
        </row>
        <row r="254">
          <cell r="B254" t="str">
            <v>DV12573</v>
          </cell>
          <cell r="C254">
            <v>12</v>
          </cell>
          <cell r="D254" t="str">
            <v>Spessore per piastra base</v>
          </cell>
        </row>
        <row r="255">
          <cell r="B255" t="str">
            <v>DV12574</v>
          </cell>
          <cell r="C255">
            <v>36</v>
          </cell>
          <cell r="D255" t="str">
            <v>Piastra per giunzione</v>
          </cell>
        </row>
        <row r="256">
          <cell r="B256" t="str">
            <v>DV12706</v>
          </cell>
          <cell r="C256">
            <v>12</v>
          </cell>
          <cell r="D256" t="str">
            <v>Piastra di base</v>
          </cell>
        </row>
        <row r="257">
          <cell r="B257" t="str">
            <v>DV12282</v>
          </cell>
          <cell r="C257">
            <v>12</v>
          </cell>
          <cell r="D257" t="str">
            <v>Piastra per staffa superiore</v>
          </cell>
        </row>
        <row r="258">
          <cell r="B258" t="str">
            <v>D127A-30x48,2-Z8</v>
          </cell>
          <cell r="C258">
            <v>12</v>
          </cell>
          <cell r="D258" t="str">
            <v>Rondella elastica spaccata Zinc 8.8 DIN 127A</v>
          </cell>
        </row>
        <row r="259">
          <cell r="B259" t="str">
            <v>I7089-30x56-Z8</v>
          </cell>
          <cell r="C259">
            <v>12</v>
          </cell>
          <cell r="D259" t="str">
            <v>Rondella M30 Zinc 8.8 ISO 7089</v>
          </cell>
        </row>
        <row r="260">
          <cell r="B260" t="str">
            <v>D934-M30x3,5-Z8</v>
          </cell>
          <cell r="C260">
            <v>12</v>
          </cell>
          <cell r="D260" t="str">
            <v>Dado medio M30x3,5 Zinc 8.8 DIN 934</v>
          </cell>
        </row>
        <row r="261">
          <cell r="B261" t="str">
            <v>D931-M30x110-Z8</v>
          </cell>
          <cell r="C261">
            <v>12</v>
          </cell>
          <cell r="D261" t="str">
            <v>Vite TE M30x110 Zinc 8.8 DIN 931</v>
          </cell>
        </row>
        <row r="262">
          <cell r="B262" t="str">
            <v>DV12284</v>
          </cell>
          <cell r="C262">
            <v>7</v>
          </cell>
          <cell r="D262" t="str">
            <v>Sponda tratto orizzontale, anteriore</v>
          </cell>
        </row>
        <row r="263">
          <cell r="B263" t="str">
            <v>DV19762</v>
          </cell>
          <cell r="C263">
            <v>8</v>
          </cell>
          <cell r="D263" t="str">
            <v>Rinforzo sponda SX</v>
          </cell>
        </row>
        <row r="264">
          <cell r="B264" t="str">
            <v>I7089-18x34-Z8</v>
          </cell>
          <cell r="C264">
            <v>84</v>
          </cell>
          <cell r="D264" t="str">
            <v>Rondella M18 Zinc 8.8 ISO 7089</v>
          </cell>
        </row>
        <row r="265">
          <cell r="B265" t="str">
            <v>DV14167</v>
          </cell>
          <cell r="C265">
            <v>7</v>
          </cell>
          <cell r="D265" t="str">
            <v>Sponda tratto orizzontale, posteriore</v>
          </cell>
        </row>
        <row r="266">
          <cell r="B266" t="str">
            <v>DV19560</v>
          </cell>
          <cell r="C266">
            <v>7</v>
          </cell>
          <cell r="D266" t="str">
            <v>Rinforzo sponda DX</v>
          </cell>
        </row>
        <row r="267">
          <cell r="B267" t="str">
            <v>DV19567</v>
          </cell>
          <cell r="C267">
            <v>1</v>
          </cell>
          <cell r="D267" t="str">
            <v>LAMIEARA SPONDA -B- CURVA</v>
          </cell>
        </row>
        <row r="268">
          <cell r="B268" t="str">
            <v>DV14374</v>
          </cell>
          <cell r="C268">
            <v>2</v>
          </cell>
          <cell r="D268" t="str">
            <v>Sponda curva 25° per guida materiale</v>
          </cell>
        </row>
        <row r="269">
          <cell r="B269" t="str">
            <v>DV19764</v>
          </cell>
          <cell r="C269">
            <v>1</v>
          </cell>
          <cell r="D269" t="str">
            <v>LAMIEARA SPONDA -B- CURVA</v>
          </cell>
        </row>
        <row r="270">
          <cell r="B270" t="str">
            <v>DV12437</v>
          </cell>
          <cell r="C270">
            <v>7</v>
          </cell>
          <cell r="D270" t="str">
            <v>Sponda inclinata carico</v>
          </cell>
        </row>
        <row r="271">
          <cell r="B271" t="str">
            <v>DV14364</v>
          </cell>
          <cell r="C271">
            <v>13</v>
          </cell>
          <cell r="D271" t="str">
            <v>Panel junction plate</v>
          </cell>
        </row>
        <row r="272">
          <cell r="B272" t="str">
            <v>DIN1026-1 - U 120 - 3265</v>
          </cell>
          <cell r="C272" t="str">
            <v>42445,000 mm</v>
          </cell>
          <cell r="D272" t="str">
            <v>UPE 120x55x7 L3265</v>
          </cell>
        </row>
        <row r="273">
          <cell r="B273" t="str">
            <v>DIN1026-1 - U 120 - 185</v>
          </cell>
          <cell r="C273" t="str">
            <v>2405,000 mm</v>
          </cell>
          <cell r="D273" t="str">
            <v>UPE 120x55x7 L185</v>
          </cell>
        </row>
        <row r="274">
          <cell r="B274" t="str">
            <v>DV14436</v>
          </cell>
          <cell r="C274">
            <v>2</v>
          </cell>
          <cell r="D274" t="str">
            <v>Piastra giunzione moduli</v>
          </cell>
        </row>
        <row r="275">
          <cell r="B275" t="str">
            <v>DIN1026-1 - U 120 - 3150</v>
          </cell>
          <cell r="C275" t="str">
            <v>6300,000 mm</v>
          </cell>
          <cell r="D275" t="str">
            <v>UPE 120x55x7 L3150</v>
          </cell>
        </row>
        <row r="276">
          <cell r="B276" t="str">
            <v>DV19793</v>
          </cell>
          <cell r="C276">
            <v>1</v>
          </cell>
          <cell r="D276" t="str">
            <v>Sponda posteriore</v>
          </cell>
        </row>
        <row r="277">
          <cell r="B277" t="str">
            <v>DV12613</v>
          </cell>
          <cell r="C277">
            <v>9</v>
          </cell>
          <cell r="D277" t="str">
            <v>Plate for inclined bracket</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refreshOnLoad="1" connectionId="1" xr16:uid="{278A7E63-A52C-4BE1-BDF1-CF17E106FFE7}" autoFormatId="16" applyNumberFormats="0" applyBorderFormats="0" applyFontFormats="0" applyPatternFormats="0" applyAlignmentFormats="0" applyWidthHeightFormats="0">
  <queryTableRefresh nextId="23">
    <queryTableFields count="19">
      <queryTableField id="1" name="Project ° " tableColumnId="1"/>
      <queryTableField id="2" name="INTERNAL ORDER CONF NR" tableColumnId="2"/>
      <queryTableField id="21" name="Link _x000a_to PE_x000a_folder" tableColumnId="3"/>
      <queryTableField id="4" name="CUSTOMER" tableColumnId="4"/>
      <queryTableField id="5" name="FINAL CUSTOMER" tableColumnId="5"/>
      <queryTableField id="6" name="PLANT" tableColumnId="6"/>
      <queryTableField id="7" name="DESCRIPTION" tableColumnId="7"/>
      <queryTableField id="8" name="Location" tableColumnId="8"/>
      <queryTableField id="9" name="Vendor" tableColumnId="9"/>
      <queryTableField id="10" name="YEAR" tableColumnId="10"/>
      <queryTableField id="11" name="Project Engineer" tableColumnId="11"/>
      <queryTableField id="12" name="DELIVERY" tableColumnId="12"/>
      <queryTableField id="13" name="REMARKS" tableColumnId="13"/>
      <queryTableField id="14" name="MOTOR &amp; SENSOR LIST DELIVERED TO PURCHASE DEPT._x000a_AND TO CUSTOMER" tableColumnId="14"/>
      <queryTableField id="15" name="PROJECT STATUS" tableColumnId="15"/>
      <queryTableField id="16" name="FOLDER NAME" tableColumnId="16"/>
      <queryTableField id="17" name="Column17" tableColumnId="17"/>
      <queryTableField id="18" name="Column18" tableColumnId="18"/>
      <queryTableField id="19" name="Column19" tableColumnId="19"/>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062B-C8E6-49C4-A858-010FB71C6D6C}" name="Foglio1" displayName="Foglio1" ref="A1:S870" tableType="queryTable" totalsRowShown="0">
  <autoFilter ref="A1:S870" xr:uid="{A558062B-C8E6-49C4-A858-010FB71C6D6C}"/>
  <tableColumns count="19">
    <tableColumn id="1" xr3:uid="{005FDE62-40DE-4E89-B9C8-C78E108E0995}" uniqueName="1" name="Project ° " queryTableFieldId="1"/>
    <tableColumn id="2" xr3:uid="{4485D051-E547-4F68-9270-1B5600DF0847}" uniqueName="2" name="INTERNAL ORDER CONF NR" queryTableFieldId="2"/>
    <tableColumn id="3" xr3:uid="{9C0F5F0D-A057-4929-BEDF-A7152C183F28}" uniqueName="3" name="Link _x000a_to PE_x000a_folder" queryTableFieldId="21"/>
    <tableColumn id="4" xr3:uid="{2E80377A-5EFE-45E2-BEBF-896841BCD18D}" uniqueName="4" name="CUSTOMER" queryTableFieldId="4"/>
    <tableColumn id="5" xr3:uid="{B6923D7C-1804-4FE8-AA45-33AF0F1A2E14}" uniqueName="5" name="FINAL CUSTOMER" queryTableFieldId="5"/>
    <tableColumn id="6" xr3:uid="{FC317652-8EDB-4985-B3B1-2D4A9557BE16}" uniqueName="6" name="PLANT" queryTableFieldId="6"/>
    <tableColumn id="7" xr3:uid="{39BBBD5F-DFD7-45F6-B601-B4D5625C76BA}" uniqueName="7" name="DESCRIPTION" queryTableFieldId="7"/>
    <tableColumn id="8" xr3:uid="{73161B32-A82A-488B-8C1C-4F22ADC07AF4}" uniqueName="8" name="Location" queryTableFieldId="8"/>
    <tableColumn id="9" xr3:uid="{1D43F86E-D2F3-4B7C-8845-0B3477A7D442}" uniqueName="9" name="Vendor" queryTableFieldId="9"/>
    <tableColumn id="10" xr3:uid="{0D7802FA-6FD6-4CDD-A10C-695D36841A70}" uniqueName="10" name="YEAR" queryTableFieldId="10"/>
    <tableColumn id="11" xr3:uid="{3039C1D4-3A07-4909-AACC-B43EE9524DA6}" uniqueName="11" name="Project Engineer" queryTableFieldId="11"/>
    <tableColumn id="12" xr3:uid="{092BA142-ADB9-468C-8A1A-B24E00CF514B}" uniqueName="12" name="DELIVERY" queryTableFieldId="12"/>
    <tableColumn id="13" xr3:uid="{82A70CEF-3A5A-43EE-B2CC-5AD9F65E7272}" uniqueName="13" name="REMARKS" queryTableFieldId="13"/>
    <tableColumn id="14" xr3:uid="{A34971B1-0629-428F-97A8-6DBBCE184E02}" uniqueName="14" name="MOTOR &amp; SENSOR LIST DELIVERED TO PURCHASE DEPT._x000a_AND TO CUSTOMER" queryTableFieldId="14"/>
    <tableColumn id="15" xr3:uid="{3BE09309-164E-4F97-A1E2-69CEF6581595}" uniqueName="15" name="PROJECT STATUS" queryTableFieldId="15"/>
    <tableColumn id="16" xr3:uid="{EADD345D-C945-4232-82F6-0942AC153F8A}" uniqueName="16" name="FOLDER NAME" queryTableFieldId="16"/>
    <tableColumn id="17" xr3:uid="{04539C33-8B18-4E9F-8752-7C0EBDE1E565}" uniqueName="17" name="Column17" queryTableFieldId="17"/>
    <tableColumn id="18" xr3:uid="{AD4B9526-7DE6-4E9C-95BC-2E4015F034CD}" uniqueName="18" name="Column18" queryTableFieldId="18"/>
    <tableColumn id="19" xr3:uid="{C71AA3DD-0479-407C-8189-BFA7A2458958}" uniqueName="19" name="Column19" queryTableFieldId="19"/>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Standard">
      <a:dk1>
        <a:sysClr val="windowText" lastClr="000000"/>
      </a:dk1>
      <a:lt1>
        <a:sysClr val="window" lastClr="FFFFFF"/>
      </a:lt1>
      <a:dk2>
        <a:srgbClr val="1F497D"/>
      </a:dk2>
      <a:lt2>
        <a:srgbClr val="EEECE1"/>
      </a:lt2>
      <a:accent1>
        <a:srgbClr val="FF99CC"/>
      </a:accent1>
      <a:accent2>
        <a:srgbClr val="FFCC99"/>
      </a:accent2>
      <a:accent3>
        <a:srgbClr val="FFFF99"/>
      </a:accent3>
      <a:accent4>
        <a:srgbClr val="CCFFCC"/>
      </a:accent4>
      <a:accent5>
        <a:srgbClr val="CCFFFF"/>
      </a:accent5>
      <a:accent6>
        <a:srgbClr val="99CCFF"/>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trasmec.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2C7C-825E-4F4C-9E3E-586CB65A5F67}">
  <sheetPr codeName="Foglio8"/>
  <dimension ref="A1:S862"/>
  <sheetViews>
    <sheetView workbookViewId="0">
      <selection activeCell="B33" sqref="B33"/>
    </sheetView>
  </sheetViews>
  <sheetFormatPr defaultRowHeight="10.5" x14ac:dyDescent="0.15"/>
  <cols>
    <col min="1" max="1" width="18.33203125" bestFit="1" customWidth="1"/>
    <col min="2" max="2" width="74.33203125" bestFit="1" customWidth="1"/>
    <col min="3" max="3" width="22.33203125" bestFit="1" customWidth="1"/>
    <col min="4" max="4" width="32.6640625" bestFit="1" customWidth="1"/>
    <col min="5" max="5" width="34.6640625" bestFit="1" customWidth="1"/>
    <col min="6" max="6" width="35.1640625" bestFit="1" customWidth="1"/>
    <col min="7" max="7" width="49" bestFit="1" customWidth="1"/>
    <col min="8" max="8" width="21.6640625" bestFit="1" customWidth="1"/>
    <col min="9" max="9" width="10.5" bestFit="1" customWidth="1"/>
    <col min="10" max="10" width="8.6640625" bestFit="1" customWidth="1"/>
    <col min="11" max="11" width="19.5" bestFit="1" customWidth="1"/>
    <col min="12" max="12" width="22" bestFit="1" customWidth="1"/>
    <col min="13" max="13" width="54.5" bestFit="1" customWidth="1"/>
    <col min="14" max="14" width="76.33203125" bestFit="1" customWidth="1"/>
    <col min="15" max="15" width="68" bestFit="1" customWidth="1"/>
    <col min="16" max="16" width="81.33203125" bestFit="1" customWidth="1"/>
    <col min="17" max="18" width="41" bestFit="1" customWidth="1"/>
    <col min="19" max="19" width="41" customWidth="1"/>
    <col min="20" max="20" width="41" bestFit="1" customWidth="1"/>
    <col min="21" max="21" width="40.1640625" bestFit="1" customWidth="1"/>
  </cols>
  <sheetData>
    <row r="1" spans="1:19" x14ac:dyDescent="0.15">
      <c r="A1" t="s">
        <v>3153</v>
      </c>
      <c r="B1" t="s">
        <v>310</v>
      </c>
      <c r="C1" t="s">
        <v>3537</v>
      </c>
      <c r="D1" t="s">
        <v>311</v>
      </c>
      <c r="E1" t="s">
        <v>312</v>
      </c>
      <c r="F1" t="s">
        <v>313</v>
      </c>
      <c r="G1" t="s">
        <v>314</v>
      </c>
      <c r="H1" t="s">
        <v>315</v>
      </c>
      <c r="I1" t="s">
        <v>316</v>
      </c>
      <c r="J1" t="s">
        <v>317</v>
      </c>
      <c r="K1" t="s">
        <v>318</v>
      </c>
      <c r="L1" t="s">
        <v>319</v>
      </c>
      <c r="M1" t="s">
        <v>320</v>
      </c>
      <c r="N1" t="s">
        <v>321</v>
      </c>
      <c r="O1" t="s">
        <v>322</v>
      </c>
      <c r="P1" t="s">
        <v>323</v>
      </c>
      <c r="Q1" t="s">
        <v>3206</v>
      </c>
      <c r="R1" t="s">
        <v>3207</v>
      </c>
      <c r="S1" t="s">
        <v>3208</v>
      </c>
    </row>
    <row r="2" spans="1:19" x14ac:dyDescent="0.15">
      <c r="A2" t="s">
        <v>2581</v>
      </c>
      <c r="B2" t="s">
        <v>324</v>
      </c>
      <c r="C2" t="s">
        <v>325</v>
      </c>
      <c r="D2" t="s">
        <v>326</v>
      </c>
      <c r="E2" t="s">
        <v>327</v>
      </c>
      <c r="F2" t="s">
        <v>328</v>
      </c>
      <c r="H2" t="s">
        <v>329</v>
      </c>
      <c r="J2">
        <v>2016</v>
      </c>
      <c r="K2" t="s">
        <v>330</v>
      </c>
      <c r="L2">
        <v>42845</v>
      </c>
      <c r="N2" t="s">
        <v>243</v>
      </c>
      <c r="O2" t="s">
        <v>331</v>
      </c>
      <c r="P2" t="s">
        <v>332</v>
      </c>
    </row>
    <row r="3" spans="1:19" x14ac:dyDescent="0.15">
      <c r="A3" t="s">
        <v>2581</v>
      </c>
      <c r="B3" t="s">
        <v>333</v>
      </c>
      <c r="C3" t="s">
        <v>325</v>
      </c>
      <c r="D3" t="s">
        <v>326</v>
      </c>
      <c r="E3" t="s">
        <v>327</v>
      </c>
      <c r="F3" t="s">
        <v>328</v>
      </c>
      <c r="H3" t="s">
        <v>329</v>
      </c>
      <c r="J3">
        <v>2016</v>
      </c>
      <c r="K3" t="s">
        <v>330</v>
      </c>
      <c r="L3">
        <v>42870</v>
      </c>
      <c r="N3" t="s">
        <v>243</v>
      </c>
      <c r="O3" t="s">
        <v>331</v>
      </c>
      <c r="P3" t="s">
        <v>332</v>
      </c>
    </row>
    <row r="4" spans="1:19" x14ac:dyDescent="0.15">
      <c r="A4" t="s">
        <v>2581</v>
      </c>
      <c r="B4" t="s">
        <v>334</v>
      </c>
      <c r="C4" t="s">
        <v>325</v>
      </c>
      <c r="D4" t="s">
        <v>326</v>
      </c>
      <c r="E4" t="s">
        <v>327</v>
      </c>
      <c r="F4" t="s">
        <v>328</v>
      </c>
      <c r="H4" t="s">
        <v>329</v>
      </c>
      <c r="J4">
        <v>2016</v>
      </c>
      <c r="K4" t="s">
        <v>330</v>
      </c>
      <c r="L4">
        <v>42916</v>
      </c>
      <c r="N4" t="s">
        <v>243</v>
      </c>
      <c r="O4" t="s">
        <v>331</v>
      </c>
      <c r="P4" t="s">
        <v>332</v>
      </c>
    </row>
    <row r="5" spans="1:19" x14ac:dyDescent="0.15">
      <c r="A5" t="s">
        <v>2581</v>
      </c>
      <c r="B5" t="s">
        <v>335</v>
      </c>
      <c r="C5" t="s">
        <v>325</v>
      </c>
      <c r="D5" t="s">
        <v>326</v>
      </c>
      <c r="E5" t="s">
        <v>327</v>
      </c>
      <c r="F5" t="s">
        <v>328</v>
      </c>
      <c r="H5" t="s">
        <v>329</v>
      </c>
      <c r="J5">
        <v>2016</v>
      </c>
      <c r="K5" t="s">
        <v>330</v>
      </c>
      <c r="L5">
        <v>42958</v>
      </c>
      <c r="N5" t="s">
        <v>336</v>
      </c>
      <c r="O5" t="s">
        <v>331</v>
      </c>
      <c r="P5" t="s">
        <v>332</v>
      </c>
    </row>
    <row r="6" spans="1:19" x14ac:dyDescent="0.15">
      <c r="A6" t="s">
        <v>2581</v>
      </c>
      <c r="B6" t="s">
        <v>337</v>
      </c>
      <c r="C6" t="s">
        <v>325</v>
      </c>
      <c r="D6" t="s">
        <v>326</v>
      </c>
      <c r="E6" t="s">
        <v>327</v>
      </c>
      <c r="F6" t="s">
        <v>328</v>
      </c>
      <c r="H6" t="s">
        <v>329</v>
      </c>
      <c r="J6">
        <v>2016</v>
      </c>
      <c r="K6" t="s">
        <v>330</v>
      </c>
      <c r="L6">
        <v>42968</v>
      </c>
      <c r="N6" t="s">
        <v>243</v>
      </c>
      <c r="O6" t="s">
        <v>331</v>
      </c>
      <c r="P6" t="s">
        <v>332</v>
      </c>
    </row>
    <row r="7" spans="1:19" x14ac:dyDescent="0.15">
      <c r="A7" t="s">
        <v>2582</v>
      </c>
      <c r="B7" t="s">
        <v>338</v>
      </c>
      <c r="C7" t="s">
        <v>325</v>
      </c>
      <c r="D7" t="s">
        <v>339</v>
      </c>
      <c r="F7" t="s">
        <v>340</v>
      </c>
      <c r="H7" t="s">
        <v>341</v>
      </c>
      <c r="J7">
        <v>2016</v>
      </c>
      <c r="N7" t="s">
        <v>342</v>
      </c>
      <c r="O7" t="s">
        <v>331</v>
      </c>
      <c r="P7" t="s">
        <v>343</v>
      </c>
    </row>
    <row r="8" spans="1:19" x14ac:dyDescent="0.15">
      <c r="A8" t="s">
        <v>2583</v>
      </c>
      <c r="B8" t="s">
        <v>344</v>
      </c>
      <c r="C8" t="s">
        <v>325</v>
      </c>
      <c r="D8" t="s">
        <v>345</v>
      </c>
      <c r="F8" t="s">
        <v>346</v>
      </c>
      <c r="H8" t="s">
        <v>347</v>
      </c>
      <c r="J8">
        <v>2016</v>
      </c>
      <c r="N8" t="s">
        <v>342</v>
      </c>
      <c r="O8" t="s">
        <v>331</v>
      </c>
      <c r="P8" t="s">
        <v>348</v>
      </c>
    </row>
    <row r="9" spans="1:19" x14ac:dyDescent="0.15">
      <c r="A9" t="s">
        <v>2584</v>
      </c>
      <c r="B9" t="s">
        <v>349</v>
      </c>
      <c r="C9" t="s">
        <v>325</v>
      </c>
      <c r="D9" t="s">
        <v>345</v>
      </c>
      <c r="F9" t="s">
        <v>350</v>
      </c>
      <c r="H9" t="s">
        <v>351</v>
      </c>
      <c r="J9">
        <v>2016</v>
      </c>
      <c r="N9" t="s">
        <v>342</v>
      </c>
      <c r="O9" t="s">
        <v>331</v>
      </c>
      <c r="P9" t="s">
        <v>352</v>
      </c>
    </row>
    <row r="10" spans="1:19" x14ac:dyDescent="0.15">
      <c r="A10" t="s">
        <v>2585</v>
      </c>
      <c r="B10" t="s">
        <v>353</v>
      </c>
      <c r="C10" t="s">
        <v>325</v>
      </c>
      <c r="D10" t="s">
        <v>350</v>
      </c>
      <c r="E10" t="s">
        <v>350</v>
      </c>
      <c r="F10" t="s">
        <v>354</v>
      </c>
      <c r="H10" t="s">
        <v>351</v>
      </c>
      <c r="J10">
        <v>2016</v>
      </c>
      <c r="N10" t="s">
        <v>342</v>
      </c>
      <c r="O10" t="s">
        <v>331</v>
      </c>
      <c r="P10" t="s">
        <v>355</v>
      </c>
    </row>
    <row r="11" spans="1:19" x14ac:dyDescent="0.15">
      <c r="A11" t="s">
        <v>2586</v>
      </c>
      <c r="B11" t="s">
        <v>356</v>
      </c>
      <c r="C11" t="s">
        <v>325</v>
      </c>
      <c r="D11" t="s">
        <v>357</v>
      </c>
      <c r="F11" t="s">
        <v>358</v>
      </c>
      <c r="H11" t="s">
        <v>347</v>
      </c>
      <c r="J11">
        <v>2016</v>
      </c>
      <c r="N11" t="s">
        <v>342</v>
      </c>
      <c r="O11" t="s">
        <v>331</v>
      </c>
      <c r="P11" t="s">
        <v>359</v>
      </c>
    </row>
    <row r="12" spans="1:19" x14ac:dyDescent="0.15">
      <c r="A12" t="s">
        <v>2587</v>
      </c>
      <c r="B12" t="s">
        <v>360</v>
      </c>
      <c r="C12" t="s">
        <v>325</v>
      </c>
      <c r="D12" t="s">
        <v>361</v>
      </c>
      <c r="E12" t="s">
        <v>357</v>
      </c>
      <c r="F12" t="s">
        <v>362</v>
      </c>
      <c r="H12" t="s">
        <v>347</v>
      </c>
      <c r="J12">
        <v>2016</v>
      </c>
      <c r="N12" t="s">
        <v>342</v>
      </c>
      <c r="O12" t="s">
        <v>331</v>
      </c>
      <c r="P12" t="s">
        <v>363</v>
      </c>
    </row>
    <row r="13" spans="1:19" x14ac:dyDescent="0.15">
      <c r="A13" t="s">
        <v>2588</v>
      </c>
      <c r="B13" t="s">
        <v>364</v>
      </c>
      <c r="C13" t="s">
        <v>325</v>
      </c>
      <c r="D13" t="s">
        <v>365</v>
      </c>
      <c r="F13" t="s">
        <v>366</v>
      </c>
      <c r="G13" t="s">
        <v>367</v>
      </c>
      <c r="H13" t="s">
        <v>368</v>
      </c>
      <c r="J13">
        <v>2016</v>
      </c>
      <c r="N13" t="s">
        <v>342</v>
      </c>
      <c r="O13" t="s">
        <v>331</v>
      </c>
      <c r="P13" t="s">
        <v>369</v>
      </c>
    </row>
    <row r="14" spans="1:19" x14ac:dyDescent="0.15">
      <c r="A14" t="s">
        <v>2589</v>
      </c>
      <c r="B14" t="s">
        <v>370</v>
      </c>
      <c r="C14" t="s">
        <v>325</v>
      </c>
      <c r="D14" t="s">
        <v>371</v>
      </c>
      <c r="E14" t="s">
        <v>372</v>
      </c>
      <c r="F14" t="s">
        <v>373</v>
      </c>
      <c r="H14" t="s">
        <v>374</v>
      </c>
      <c r="J14">
        <v>2016</v>
      </c>
      <c r="N14" t="s">
        <v>342</v>
      </c>
      <c r="O14" t="s">
        <v>331</v>
      </c>
      <c r="P14" t="s">
        <v>375</v>
      </c>
    </row>
    <row r="15" spans="1:19" x14ac:dyDescent="0.15">
      <c r="A15" t="s">
        <v>2590</v>
      </c>
      <c r="B15" t="s">
        <v>376</v>
      </c>
      <c r="C15" t="s">
        <v>325</v>
      </c>
      <c r="D15" t="s">
        <v>377</v>
      </c>
      <c r="E15" t="s">
        <v>372</v>
      </c>
      <c r="F15" t="s">
        <v>378</v>
      </c>
      <c r="H15" t="s">
        <v>374</v>
      </c>
      <c r="J15">
        <v>2016</v>
      </c>
      <c r="M15" t="s">
        <v>379</v>
      </c>
      <c r="N15" t="s">
        <v>342</v>
      </c>
      <c r="O15" t="s">
        <v>331</v>
      </c>
      <c r="P15" t="s">
        <v>380</v>
      </c>
    </row>
    <row r="16" spans="1:19" x14ac:dyDescent="0.15">
      <c r="A16" t="s">
        <v>2591</v>
      </c>
      <c r="B16" t="s">
        <v>381</v>
      </c>
      <c r="C16" t="s">
        <v>325</v>
      </c>
      <c r="D16" t="s">
        <v>326</v>
      </c>
      <c r="E16" t="s">
        <v>382</v>
      </c>
      <c r="F16" t="s">
        <v>383</v>
      </c>
      <c r="H16" t="s">
        <v>384</v>
      </c>
      <c r="J16">
        <v>2016</v>
      </c>
      <c r="N16" t="s">
        <v>243</v>
      </c>
      <c r="O16" t="s">
        <v>331</v>
      </c>
      <c r="P16" t="s">
        <v>385</v>
      </c>
    </row>
    <row r="17" spans="1:16" x14ac:dyDescent="0.15">
      <c r="A17" t="s">
        <v>2592</v>
      </c>
      <c r="B17" t="s">
        <v>386</v>
      </c>
      <c r="C17" t="s">
        <v>325</v>
      </c>
      <c r="D17" t="s">
        <v>372</v>
      </c>
      <c r="F17" t="s">
        <v>387</v>
      </c>
      <c r="H17" t="s">
        <v>388</v>
      </c>
      <c r="J17">
        <v>2016</v>
      </c>
      <c r="N17" t="s">
        <v>342</v>
      </c>
      <c r="O17" t="s">
        <v>331</v>
      </c>
      <c r="P17" t="s">
        <v>389</v>
      </c>
    </row>
    <row r="18" spans="1:16" x14ac:dyDescent="0.15">
      <c r="A18" t="s">
        <v>3152</v>
      </c>
      <c r="B18" t="s">
        <v>390</v>
      </c>
      <c r="C18" t="s">
        <v>325</v>
      </c>
      <c r="D18" t="s">
        <v>345</v>
      </c>
      <c r="F18" t="s">
        <v>391</v>
      </c>
      <c r="G18" t="s">
        <v>392</v>
      </c>
      <c r="H18" t="s">
        <v>347</v>
      </c>
      <c r="J18">
        <v>2016</v>
      </c>
      <c r="N18" t="s">
        <v>342</v>
      </c>
      <c r="O18" t="s">
        <v>331</v>
      </c>
      <c r="P18" t="s">
        <v>393</v>
      </c>
    </row>
    <row r="19" spans="1:16" x14ac:dyDescent="0.15">
      <c r="A19" t="s">
        <v>2593</v>
      </c>
      <c r="B19" t="s">
        <v>394</v>
      </c>
      <c r="C19" t="s">
        <v>325</v>
      </c>
      <c r="D19" t="s">
        <v>395</v>
      </c>
      <c r="F19" t="s">
        <v>396</v>
      </c>
      <c r="G19" t="s">
        <v>392</v>
      </c>
      <c r="H19" t="s">
        <v>341</v>
      </c>
      <c r="J19">
        <v>2016</v>
      </c>
      <c r="N19" t="s">
        <v>342</v>
      </c>
      <c r="O19" t="s">
        <v>331</v>
      </c>
      <c r="P19" t="s">
        <v>397</v>
      </c>
    </row>
    <row r="20" spans="1:16" x14ac:dyDescent="0.15">
      <c r="A20" t="s">
        <v>2594</v>
      </c>
      <c r="B20" t="s">
        <v>398</v>
      </c>
      <c r="C20" t="s">
        <v>325</v>
      </c>
      <c r="D20" t="s">
        <v>326</v>
      </c>
      <c r="E20" t="s">
        <v>372</v>
      </c>
      <c r="F20" t="s">
        <v>399</v>
      </c>
      <c r="H20" t="s">
        <v>400</v>
      </c>
      <c r="J20">
        <v>2016</v>
      </c>
      <c r="M20" t="s">
        <v>401</v>
      </c>
      <c r="N20" t="s">
        <v>342</v>
      </c>
      <c r="O20" t="s">
        <v>331</v>
      </c>
      <c r="P20" t="s">
        <v>402</v>
      </c>
    </row>
    <row r="21" spans="1:16" x14ac:dyDescent="0.15">
      <c r="A21" t="s">
        <v>2595</v>
      </c>
      <c r="B21" t="s">
        <v>403</v>
      </c>
      <c r="C21" t="s">
        <v>325</v>
      </c>
      <c r="D21" t="s">
        <v>404</v>
      </c>
      <c r="E21" t="s">
        <v>405</v>
      </c>
      <c r="F21" t="s">
        <v>406</v>
      </c>
      <c r="H21" t="s">
        <v>407</v>
      </c>
      <c r="J21">
        <v>2016</v>
      </c>
      <c r="K21" t="s">
        <v>408</v>
      </c>
      <c r="N21" t="s">
        <v>342</v>
      </c>
      <c r="O21" t="s">
        <v>331</v>
      </c>
      <c r="P21" t="s">
        <v>409</v>
      </c>
    </row>
    <row r="22" spans="1:16" x14ac:dyDescent="0.15">
      <c r="A22" t="s">
        <v>2596</v>
      </c>
      <c r="C22" t="s">
        <v>325</v>
      </c>
      <c r="D22" t="s">
        <v>404</v>
      </c>
      <c r="E22" t="s">
        <v>326</v>
      </c>
      <c r="F22" t="s">
        <v>410</v>
      </c>
      <c r="H22" t="s">
        <v>411</v>
      </c>
      <c r="J22">
        <v>2016</v>
      </c>
      <c r="M22" t="s">
        <v>412</v>
      </c>
      <c r="N22" t="s">
        <v>342</v>
      </c>
      <c r="O22" t="s">
        <v>331</v>
      </c>
      <c r="P22" t="s">
        <v>413</v>
      </c>
    </row>
    <row r="23" spans="1:16" x14ac:dyDescent="0.15">
      <c r="A23" t="s">
        <v>2597</v>
      </c>
      <c r="B23" t="s">
        <v>414</v>
      </c>
      <c r="C23" t="s">
        <v>325</v>
      </c>
      <c r="D23" t="s">
        <v>415</v>
      </c>
      <c r="E23" t="s">
        <v>405</v>
      </c>
      <c r="F23" t="s">
        <v>354</v>
      </c>
      <c r="G23" t="s">
        <v>416</v>
      </c>
      <c r="H23" t="s">
        <v>407</v>
      </c>
      <c r="J23">
        <v>2016</v>
      </c>
      <c r="L23">
        <v>42689</v>
      </c>
      <c r="N23" t="s">
        <v>342</v>
      </c>
      <c r="O23" t="s">
        <v>331</v>
      </c>
      <c r="P23" t="s">
        <v>417</v>
      </c>
    </row>
    <row r="24" spans="1:16" x14ac:dyDescent="0.15">
      <c r="A24" t="s">
        <v>2598</v>
      </c>
      <c r="B24" t="s">
        <v>418</v>
      </c>
      <c r="C24" t="s">
        <v>325</v>
      </c>
      <c r="D24" t="s">
        <v>405</v>
      </c>
      <c r="F24" t="s">
        <v>354</v>
      </c>
      <c r="H24" t="s">
        <v>407</v>
      </c>
      <c r="J24">
        <v>2016</v>
      </c>
      <c r="K24" t="s">
        <v>408</v>
      </c>
      <c r="L24">
        <v>42853</v>
      </c>
      <c r="N24" t="s">
        <v>243</v>
      </c>
      <c r="O24" t="s">
        <v>331</v>
      </c>
      <c r="P24" t="s">
        <v>419</v>
      </c>
    </row>
    <row r="25" spans="1:16" x14ac:dyDescent="0.15">
      <c r="A25" t="s">
        <v>2598</v>
      </c>
      <c r="B25" t="s">
        <v>420</v>
      </c>
      <c r="C25" t="s">
        <v>325</v>
      </c>
      <c r="D25" t="s">
        <v>405</v>
      </c>
      <c r="F25" t="s">
        <v>354</v>
      </c>
      <c r="H25" t="s">
        <v>407</v>
      </c>
      <c r="J25">
        <v>2016</v>
      </c>
      <c r="K25" t="s">
        <v>408</v>
      </c>
      <c r="L25">
        <v>43018</v>
      </c>
      <c r="N25" t="s">
        <v>243</v>
      </c>
      <c r="O25" t="s">
        <v>331</v>
      </c>
      <c r="P25" t="s">
        <v>419</v>
      </c>
    </row>
    <row r="26" spans="1:16" x14ac:dyDescent="0.15">
      <c r="A26" t="s">
        <v>2598</v>
      </c>
      <c r="B26" t="s">
        <v>421</v>
      </c>
      <c r="C26" t="s">
        <v>325</v>
      </c>
      <c r="D26" t="s">
        <v>405</v>
      </c>
      <c r="F26" t="s">
        <v>354</v>
      </c>
      <c r="H26" t="s">
        <v>407</v>
      </c>
      <c r="J26">
        <v>2016</v>
      </c>
      <c r="K26" t="s">
        <v>408</v>
      </c>
      <c r="L26">
        <v>43089</v>
      </c>
      <c r="N26" t="s">
        <v>336</v>
      </c>
      <c r="O26" t="s">
        <v>331</v>
      </c>
      <c r="P26" t="s">
        <v>419</v>
      </c>
    </row>
    <row r="27" spans="1:16" x14ac:dyDescent="0.15">
      <c r="A27" t="s">
        <v>2599</v>
      </c>
      <c r="B27" t="s">
        <v>422</v>
      </c>
      <c r="C27" t="s">
        <v>325</v>
      </c>
      <c r="D27" t="s">
        <v>423</v>
      </c>
      <c r="E27" t="s">
        <v>423</v>
      </c>
      <c r="F27" t="s">
        <v>424</v>
      </c>
      <c r="H27" t="s">
        <v>411</v>
      </c>
      <c r="J27">
        <v>2016</v>
      </c>
      <c r="K27" t="s">
        <v>330</v>
      </c>
      <c r="L27" t="s">
        <v>425</v>
      </c>
      <c r="M27" t="s">
        <v>426</v>
      </c>
      <c r="N27" t="s">
        <v>243</v>
      </c>
      <c r="O27" t="s">
        <v>331</v>
      </c>
      <c r="P27" t="s">
        <v>427</v>
      </c>
    </row>
    <row r="28" spans="1:16" x14ac:dyDescent="0.15">
      <c r="A28" t="s">
        <v>2600</v>
      </c>
      <c r="B28" t="s">
        <v>428</v>
      </c>
      <c r="C28" t="s">
        <v>325</v>
      </c>
      <c r="D28" t="s">
        <v>326</v>
      </c>
      <c r="E28" t="s">
        <v>429</v>
      </c>
      <c r="F28" t="s">
        <v>430</v>
      </c>
      <c r="H28" t="s">
        <v>431</v>
      </c>
      <c r="J28">
        <v>2016</v>
      </c>
      <c r="K28" t="s">
        <v>330</v>
      </c>
      <c r="N28" t="s">
        <v>243</v>
      </c>
      <c r="O28" t="s">
        <v>331</v>
      </c>
      <c r="P28" t="s">
        <v>432</v>
      </c>
    </row>
    <row r="29" spans="1:16" x14ac:dyDescent="0.15">
      <c r="A29" t="s">
        <v>2601</v>
      </c>
      <c r="B29" t="s">
        <v>428</v>
      </c>
      <c r="C29" t="s">
        <v>325</v>
      </c>
      <c r="D29" t="s">
        <v>326</v>
      </c>
      <c r="E29" t="s">
        <v>429</v>
      </c>
      <c r="F29" t="s">
        <v>430</v>
      </c>
      <c r="G29" t="s">
        <v>433</v>
      </c>
      <c r="H29" t="s">
        <v>431</v>
      </c>
      <c r="J29">
        <v>2016</v>
      </c>
      <c r="K29" t="s">
        <v>330</v>
      </c>
      <c r="N29" t="s">
        <v>243</v>
      </c>
      <c r="O29" t="s">
        <v>331</v>
      </c>
      <c r="P29" t="s">
        <v>434</v>
      </c>
    </row>
    <row r="30" spans="1:16" x14ac:dyDescent="0.15">
      <c r="A30" t="s">
        <v>2602</v>
      </c>
      <c r="C30" t="s">
        <v>325</v>
      </c>
      <c r="D30" t="s">
        <v>377</v>
      </c>
      <c r="E30" t="s">
        <v>372</v>
      </c>
      <c r="F30" t="s">
        <v>435</v>
      </c>
      <c r="H30" t="s">
        <v>436</v>
      </c>
      <c r="J30">
        <v>2016</v>
      </c>
      <c r="O30" t="s">
        <v>437</v>
      </c>
      <c r="P30" t="s">
        <v>438</v>
      </c>
    </row>
    <row r="31" spans="1:16" x14ac:dyDescent="0.15">
      <c r="A31" t="s">
        <v>2603</v>
      </c>
      <c r="C31" t="s">
        <v>325</v>
      </c>
      <c r="D31" t="s">
        <v>372</v>
      </c>
      <c r="E31" t="s">
        <v>372</v>
      </c>
      <c r="F31" t="s">
        <v>439</v>
      </c>
      <c r="H31" t="s">
        <v>440</v>
      </c>
      <c r="J31">
        <v>2016</v>
      </c>
      <c r="O31" t="s">
        <v>437</v>
      </c>
      <c r="P31" t="s">
        <v>441</v>
      </c>
    </row>
    <row r="32" spans="1:16" x14ac:dyDescent="0.15">
      <c r="A32" t="s">
        <v>2604</v>
      </c>
      <c r="B32" t="s">
        <v>442</v>
      </c>
      <c r="C32" t="s">
        <v>325</v>
      </c>
      <c r="D32" t="s">
        <v>345</v>
      </c>
      <c r="E32" t="s">
        <v>429</v>
      </c>
      <c r="F32" t="s">
        <v>430</v>
      </c>
      <c r="H32" t="s">
        <v>431</v>
      </c>
      <c r="J32">
        <v>2016</v>
      </c>
      <c r="K32" t="s">
        <v>443</v>
      </c>
      <c r="L32" t="s">
        <v>444</v>
      </c>
      <c r="M32" t="s">
        <v>445</v>
      </c>
      <c r="N32" t="s">
        <v>243</v>
      </c>
      <c r="O32" t="s">
        <v>331</v>
      </c>
      <c r="P32" t="s">
        <v>446</v>
      </c>
    </row>
    <row r="33" spans="1:16" x14ac:dyDescent="0.15">
      <c r="A33" t="s">
        <v>2605</v>
      </c>
      <c r="B33" t="s">
        <v>447</v>
      </c>
      <c r="C33" t="s">
        <v>325</v>
      </c>
      <c r="D33" t="s">
        <v>345</v>
      </c>
      <c r="E33" t="s">
        <v>372</v>
      </c>
      <c r="F33" t="s">
        <v>448</v>
      </c>
      <c r="H33" t="s">
        <v>449</v>
      </c>
      <c r="J33">
        <v>2016</v>
      </c>
      <c r="K33" t="s">
        <v>450</v>
      </c>
      <c r="L33">
        <v>43136</v>
      </c>
      <c r="N33" t="s">
        <v>243</v>
      </c>
      <c r="O33" t="s">
        <v>331</v>
      </c>
      <c r="P33" t="s">
        <v>451</v>
      </c>
    </row>
    <row r="34" spans="1:16" x14ac:dyDescent="0.15">
      <c r="A34" t="s">
        <v>2606</v>
      </c>
      <c r="C34" t="s">
        <v>325</v>
      </c>
      <c r="D34" t="s">
        <v>345</v>
      </c>
      <c r="E34" t="s">
        <v>350</v>
      </c>
      <c r="F34" t="s">
        <v>452</v>
      </c>
      <c r="H34" t="s">
        <v>351</v>
      </c>
      <c r="J34">
        <v>2016</v>
      </c>
      <c r="O34" t="s">
        <v>437</v>
      </c>
      <c r="P34" t="s">
        <v>453</v>
      </c>
    </row>
    <row r="35" spans="1:16" x14ac:dyDescent="0.15">
      <c r="A35" t="s">
        <v>2607</v>
      </c>
      <c r="B35" t="s">
        <v>454</v>
      </c>
      <c r="C35" t="s">
        <v>325</v>
      </c>
      <c r="D35" t="s">
        <v>339</v>
      </c>
      <c r="F35" t="s">
        <v>339</v>
      </c>
      <c r="H35" t="s">
        <v>341</v>
      </c>
      <c r="J35">
        <v>2016</v>
      </c>
      <c r="L35">
        <v>42724</v>
      </c>
      <c r="N35" t="s">
        <v>243</v>
      </c>
      <c r="O35" t="s">
        <v>331</v>
      </c>
      <c r="P35" t="s">
        <v>455</v>
      </c>
    </row>
    <row r="36" spans="1:16" x14ac:dyDescent="0.15">
      <c r="A36" t="s">
        <v>2608</v>
      </c>
      <c r="B36" t="s">
        <v>456</v>
      </c>
      <c r="C36" t="s">
        <v>325</v>
      </c>
      <c r="D36" t="s">
        <v>372</v>
      </c>
      <c r="F36" t="s">
        <v>457</v>
      </c>
      <c r="H36" t="s">
        <v>374</v>
      </c>
      <c r="J36">
        <v>2016</v>
      </c>
      <c r="K36" t="s">
        <v>458</v>
      </c>
      <c r="L36">
        <v>42720</v>
      </c>
      <c r="N36" t="s">
        <v>243</v>
      </c>
      <c r="O36" t="s">
        <v>331</v>
      </c>
      <c r="P36" t="s">
        <v>459</v>
      </c>
    </row>
    <row r="37" spans="1:16" x14ac:dyDescent="0.15">
      <c r="A37" t="s">
        <v>2609</v>
      </c>
      <c r="B37" t="s">
        <v>460</v>
      </c>
      <c r="C37" t="s">
        <v>325</v>
      </c>
      <c r="D37" t="s">
        <v>326</v>
      </c>
      <c r="F37" t="s">
        <v>461</v>
      </c>
      <c r="H37" t="s">
        <v>462</v>
      </c>
      <c r="J37">
        <v>2016</v>
      </c>
      <c r="L37">
        <v>42870</v>
      </c>
      <c r="N37" t="s">
        <v>243</v>
      </c>
      <c r="O37" t="s">
        <v>331</v>
      </c>
      <c r="P37" t="s">
        <v>463</v>
      </c>
    </row>
    <row r="38" spans="1:16" x14ac:dyDescent="0.15">
      <c r="A38" t="s">
        <v>2610</v>
      </c>
      <c r="B38" t="s">
        <v>464</v>
      </c>
      <c r="C38" t="s">
        <v>325</v>
      </c>
      <c r="D38" t="s">
        <v>423</v>
      </c>
      <c r="E38" t="s">
        <v>423</v>
      </c>
      <c r="F38" t="s">
        <v>465</v>
      </c>
      <c r="H38" t="s">
        <v>411</v>
      </c>
      <c r="J38">
        <v>2016</v>
      </c>
      <c r="K38" t="s">
        <v>330</v>
      </c>
      <c r="N38" t="s">
        <v>243</v>
      </c>
      <c r="O38" t="s">
        <v>331</v>
      </c>
      <c r="P38" t="s">
        <v>466</v>
      </c>
    </row>
    <row r="39" spans="1:16" x14ac:dyDescent="0.15">
      <c r="A39" t="s">
        <v>2611</v>
      </c>
      <c r="B39" t="s">
        <v>467</v>
      </c>
      <c r="C39" t="s">
        <v>325</v>
      </c>
      <c r="D39" t="s">
        <v>415</v>
      </c>
      <c r="E39" t="s">
        <v>405</v>
      </c>
      <c r="F39" t="s">
        <v>354</v>
      </c>
      <c r="G39" t="s">
        <v>468</v>
      </c>
      <c r="H39" t="s">
        <v>407</v>
      </c>
      <c r="J39">
        <v>2016</v>
      </c>
      <c r="K39" t="s">
        <v>408</v>
      </c>
      <c r="L39">
        <v>43084</v>
      </c>
      <c r="N39" t="s">
        <v>243</v>
      </c>
      <c r="O39" t="s">
        <v>331</v>
      </c>
      <c r="P39" t="s">
        <v>469</v>
      </c>
    </row>
    <row r="40" spans="1:16" x14ac:dyDescent="0.15">
      <c r="A40" t="s">
        <v>2612</v>
      </c>
      <c r="B40" t="s">
        <v>470</v>
      </c>
      <c r="C40" t="s">
        <v>325</v>
      </c>
      <c r="D40" t="s">
        <v>471</v>
      </c>
      <c r="F40" t="s">
        <v>472</v>
      </c>
      <c r="H40" t="s">
        <v>341</v>
      </c>
      <c r="J40">
        <v>2016</v>
      </c>
      <c r="K40" t="s">
        <v>408</v>
      </c>
      <c r="L40">
        <v>42840</v>
      </c>
      <c r="N40" t="s">
        <v>243</v>
      </c>
      <c r="O40" t="s">
        <v>331</v>
      </c>
      <c r="P40" t="s">
        <v>473</v>
      </c>
    </row>
    <row r="41" spans="1:16" x14ac:dyDescent="0.15">
      <c r="A41" t="s">
        <v>2612</v>
      </c>
      <c r="B41" t="s">
        <v>474</v>
      </c>
      <c r="C41" t="s">
        <v>325</v>
      </c>
      <c r="D41" t="s">
        <v>471</v>
      </c>
      <c r="F41" t="s">
        <v>472</v>
      </c>
      <c r="G41" t="s">
        <v>475</v>
      </c>
      <c r="H41" t="s">
        <v>341</v>
      </c>
      <c r="J41">
        <v>2018</v>
      </c>
      <c r="K41" t="s">
        <v>458</v>
      </c>
      <c r="L41">
        <v>43266</v>
      </c>
      <c r="M41" t="s">
        <v>476</v>
      </c>
      <c r="N41" t="s">
        <v>336</v>
      </c>
      <c r="O41" t="s">
        <v>331</v>
      </c>
    </row>
    <row r="42" spans="1:16" x14ac:dyDescent="0.15">
      <c r="A42" t="s">
        <v>2613</v>
      </c>
      <c r="B42" t="s">
        <v>477</v>
      </c>
      <c r="C42" t="s">
        <v>325</v>
      </c>
      <c r="D42" t="s">
        <v>326</v>
      </c>
      <c r="E42" t="s">
        <v>478</v>
      </c>
      <c r="F42" t="s">
        <v>29</v>
      </c>
      <c r="G42" t="s">
        <v>479</v>
      </c>
      <c r="J42">
        <v>2016</v>
      </c>
      <c r="K42" t="s">
        <v>480</v>
      </c>
      <c r="L42">
        <v>42891</v>
      </c>
      <c r="N42" t="s">
        <v>243</v>
      </c>
      <c r="O42" t="s">
        <v>331</v>
      </c>
      <c r="P42" t="s">
        <v>481</v>
      </c>
    </row>
    <row r="43" spans="1:16" x14ac:dyDescent="0.15">
      <c r="A43" t="s">
        <v>2614</v>
      </c>
      <c r="B43" t="s">
        <v>482</v>
      </c>
      <c r="C43" t="s">
        <v>325</v>
      </c>
      <c r="D43" t="s">
        <v>483</v>
      </c>
      <c r="F43" t="s">
        <v>484</v>
      </c>
      <c r="H43" t="s">
        <v>485</v>
      </c>
      <c r="J43">
        <v>2016</v>
      </c>
      <c r="L43">
        <v>42809</v>
      </c>
      <c r="M43" t="s">
        <v>486</v>
      </c>
      <c r="N43" t="s">
        <v>243</v>
      </c>
      <c r="O43" t="s">
        <v>331</v>
      </c>
      <c r="P43" t="s">
        <v>487</v>
      </c>
    </row>
    <row r="44" spans="1:16" x14ac:dyDescent="0.15">
      <c r="A44" t="s">
        <v>2615</v>
      </c>
      <c r="B44" t="s">
        <v>488</v>
      </c>
      <c r="C44" t="s">
        <v>325</v>
      </c>
      <c r="D44" t="s">
        <v>371</v>
      </c>
      <c r="F44" t="s">
        <v>489</v>
      </c>
      <c r="H44" t="s">
        <v>440</v>
      </c>
      <c r="J44">
        <v>2016</v>
      </c>
      <c r="K44" t="s">
        <v>443</v>
      </c>
      <c r="L44" t="s">
        <v>490</v>
      </c>
      <c r="N44" t="s">
        <v>243</v>
      </c>
      <c r="O44" t="s">
        <v>331</v>
      </c>
      <c r="P44" t="s">
        <v>491</v>
      </c>
    </row>
    <row r="45" spans="1:16" x14ac:dyDescent="0.15">
      <c r="A45" t="s">
        <v>2616</v>
      </c>
      <c r="B45" t="s">
        <v>492</v>
      </c>
      <c r="C45" t="s">
        <v>325</v>
      </c>
      <c r="D45" t="s">
        <v>372</v>
      </c>
      <c r="F45" t="s">
        <v>493</v>
      </c>
      <c r="H45" t="s">
        <v>494</v>
      </c>
      <c r="J45">
        <v>2016</v>
      </c>
      <c r="L45">
        <v>42750</v>
      </c>
      <c r="N45" t="s">
        <v>243</v>
      </c>
      <c r="O45" t="s">
        <v>331</v>
      </c>
      <c r="P45" t="s">
        <v>495</v>
      </c>
    </row>
    <row r="46" spans="1:16" x14ac:dyDescent="0.15">
      <c r="A46" t="s">
        <v>2617</v>
      </c>
      <c r="B46" t="s">
        <v>496</v>
      </c>
      <c r="C46" t="s">
        <v>325</v>
      </c>
      <c r="D46" t="s">
        <v>371</v>
      </c>
      <c r="E46" t="s">
        <v>497</v>
      </c>
      <c r="F46" t="s">
        <v>498</v>
      </c>
      <c r="H46" t="s">
        <v>499</v>
      </c>
      <c r="J46">
        <v>2017</v>
      </c>
      <c r="K46" t="s">
        <v>458</v>
      </c>
      <c r="L46">
        <v>42835</v>
      </c>
      <c r="N46" t="s">
        <v>243</v>
      </c>
      <c r="O46" t="s">
        <v>331</v>
      </c>
      <c r="P46" t="s">
        <v>500</v>
      </c>
    </row>
    <row r="47" spans="1:16" x14ac:dyDescent="0.15">
      <c r="A47" t="s">
        <v>2618</v>
      </c>
      <c r="B47" t="s">
        <v>501</v>
      </c>
      <c r="C47" t="s">
        <v>325</v>
      </c>
      <c r="D47" t="s">
        <v>361</v>
      </c>
      <c r="F47" t="s">
        <v>502</v>
      </c>
      <c r="K47" t="s">
        <v>480</v>
      </c>
      <c r="L47">
        <v>42825</v>
      </c>
      <c r="N47" t="s">
        <v>243</v>
      </c>
      <c r="O47" t="s">
        <v>331</v>
      </c>
      <c r="P47" t="s">
        <v>503</v>
      </c>
    </row>
    <row r="48" spans="1:16" x14ac:dyDescent="0.15">
      <c r="A48" t="s">
        <v>2619</v>
      </c>
      <c r="B48" t="s">
        <v>504</v>
      </c>
      <c r="C48" t="s">
        <v>325</v>
      </c>
      <c r="D48" t="s">
        <v>415</v>
      </c>
      <c r="F48" t="s">
        <v>505</v>
      </c>
      <c r="H48" t="s">
        <v>374</v>
      </c>
      <c r="K48" t="s">
        <v>458</v>
      </c>
      <c r="L48">
        <v>42926</v>
      </c>
      <c r="N48" t="s">
        <v>243</v>
      </c>
      <c r="O48" t="s">
        <v>331</v>
      </c>
      <c r="P48" t="s">
        <v>506</v>
      </c>
    </row>
    <row r="49" spans="1:16" x14ac:dyDescent="0.15">
      <c r="A49" t="s">
        <v>2620</v>
      </c>
      <c r="B49" t="s">
        <v>507</v>
      </c>
      <c r="C49" t="s">
        <v>325</v>
      </c>
      <c r="D49" t="s">
        <v>508</v>
      </c>
      <c r="E49" t="s">
        <v>372</v>
      </c>
      <c r="F49" t="s">
        <v>509</v>
      </c>
      <c r="G49" t="s">
        <v>510</v>
      </c>
      <c r="H49" t="s">
        <v>374</v>
      </c>
      <c r="J49">
        <v>2017</v>
      </c>
      <c r="L49">
        <v>42846</v>
      </c>
      <c r="N49" t="s">
        <v>243</v>
      </c>
      <c r="O49" t="s">
        <v>331</v>
      </c>
      <c r="P49" t="s">
        <v>511</v>
      </c>
    </row>
    <row r="50" spans="1:16" x14ac:dyDescent="0.15">
      <c r="A50" t="s">
        <v>2620</v>
      </c>
      <c r="B50" t="s">
        <v>512</v>
      </c>
      <c r="C50" t="s">
        <v>325</v>
      </c>
      <c r="D50" t="s">
        <v>508</v>
      </c>
      <c r="E50" t="s">
        <v>372</v>
      </c>
      <c r="F50" t="s">
        <v>509</v>
      </c>
      <c r="G50" t="s">
        <v>513</v>
      </c>
      <c r="H50" t="s">
        <v>374</v>
      </c>
      <c r="J50">
        <v>2017</v>
      </c>
      <c r="K50" t="s">
        <v>330</v>
      </c>
      <c r="L50">
        <v>42852</v>
      </c>
      <c r="N50" t="s">
        <v>243</v>
      </c>
      <c r="O50" t="s">
        <v>331</v>
      </c>
      <c r="P50" t="s">
        <v>511</v>
      </c>
    </row>
    <row r="51" spans="1:16" x14ac:dyDescent="0.15">
      <c r="A51" t="s">
        <v>2620</v>
      </c>
      <c r="B51" t="s">
        <v>514</v>
      </c>
      <c r="C51" t="s">
        <v>325</v>
      </c>
      <c r="D51" t="s">
        <v>508</v>
      </c>
      <c r="E51" t="s">
        <v>372</v>
      </c>
      <c r="F51" t="s">
        <v>509</v>
      </c>
      <c r="G51" t="s">
        <v>515</v>
      </c>
      <c r="H51" t="s">
        <v>374</v>
      </c>
      <c r="J51">
        <v>2017</v>
      </c>
      <c r="L51">
        <v>42901</v>
      </c>
      <c r="N51" t="s">
        <v>243</v>
      </c>
      <c r="O51" t="s">
        <v>331</v>
      </c>
      <c r="P51" t="s">
        <v>511</v>
      </c>
    </row>
    <row r="52" spans="1:16" x14ac:dyDescent="0.15">
      <c r="A52" t="s">
        <v>2620</v>
      </c>
      <c r="B52" t="s">
        <v>516</v>
      </c>
      <c r="C52" t="s">
        <v>325</v>
      </c>
      <c r="D52" t="s">
        <v>508</v>
      </c>
      <c r="E52" t="s">
        <v>372</v>
      </c>
      <c r="F52" t="s">
        <v>509</v>
      </c>
      <c r="G52" t="s">
        <v>517</v>
      </c>
      <c r="H52" t="s">
        <v>374</v>
      </c>
      <c r="J52">
        <v>2017</v>
      </c>
      <c r="L52">
        <v>42943</v>
      </c>
      <c r="N52" t="s">
        <v>243</v>
      </c>
      <c r="O52" t="s">
        <v>331</v>
      </c>
      <c r="P52" t="s">
        <v>511</v>
      </c>
    </row>
    <row r="53" spans="1:16" x14ac:dyDescent="0.15">
      <c r="A53" t="s">
        <v>2620</v>
      </c>
      <c r="B53" t="s">
        <v>518</v>
      </c>
      <c r="C53" t="s">
        <v>325</v>
      </c>
      <c r="D53" t="s">
        <v>508</v>
      </c>
      <c r="E53" t="s">
        <v>372</v>
      </c>
      <c r="F53" t="s">
        <v>509</v>
      </c>
      <c r="G53" t="s">
        <v>392</v>
      </c>
      <c r="H53" t="s">
        <v>374</v>
      </c>
      <c r="J53">
        <v>2017</v>
      </c>
      <c r="K53" t="s">
        <v>330</v>
      </c>
      <c r="L53" t="s">
        <v>519</v>
      </c>
      <c r="N53" t="s">
        <v>243</v>
      </c>
      <c r="O53" t="s">
        <v>331</v>
      </c>
      <c r="P53" t="s">
        <v>511</v>
      </c>
    </row>
    <row r="54" spans="1:16" x14ac:dyDescent="0.15">
      <c r="A54" t="s">
        <v>2620</v>
      </c>
      <c r="B54" t="s">
        <v>520</v>
      </c>
      <c r="C54" t="s">
        <v>325</v>
      </c>
      <c r="D54" t="s">
        <v>508</v>
      </c>
      <c r="E54" t="s">
        <v>372</v>
      </c>
      <c r="F54" t="s">
        <v>509</v>
      </c>
      <c r="G54" t="s">
        <v>392</v>
      </c>
      <c r="H54" t="s">
        <v>374</v>
      </c>
      <c r="J54">
        <v>2018</v>
      </c>
      <c r="K54" t="s">
        <v>521</v>
      </c>
      <c r="L54">
        <v>43214</v>
      </c>
      <c r="N54" t="s">
        <v>336</v>
      </c>
      <c r="O54" t="s">
        <v>331</v>
      </c>
      <c r="P54" t="s">
        <v>511</v>
      </c>
    </row>
    <row r="55" spans="1:16" x14ac:dyDescent="0.15">
      <c r="A55" t="s">
        <v>2621</v>
      </c>
      <c r="B55" t="s">
        <v>522</v>
      </c>
      <c r="C55" t="s">
        <v>325</v>
      </c>
      <c r="D55" t="s">
        <v>523</v>
      </c>
      <c r="E55" t="s">
        <v>524</v>
      </c>
      <c r="F55" t="s">
        <v>525</v>
      </c>
      <c r="G55" t="s">
        <v>392</v>
      </c>
      <c r="H55" t="s">
        <v>374</v>
      </c>
      <c r="J55">
        <v>2017</v>
      </c>
      <c r="K55" t="s">
        <v>330</v>
      </c>
      <c r="L55">
        <v>42885</v>
      </c>
      <c r="N55" t="s">
        <v>243</v>
      </c>
      <c r="O55" t="s">
        <v>331</v>
      </c>
      <c r="P55" t="s">
        <v>526</v>
      </c>
    </row>
    <row r="56" spans="1:16" x14ac:dyDescent="0.15">
      <c r="A56" t="s">
        <v>2622</v>
      </c>
      <c r="B56" t="s">
        <v>527</v>
      </c>
      <c r="C56" t="s">
        <v>325</v>
      </c>
      <c r="D56" t="s">
        <v>528</v>
      </c>
      <c r="F56" t="s">
        <v>529</v>
      </c>
      <c r="H56" t="s">
        <v>368</v>
      </c>
      <c r="J56">
        <v>2017</v>
      </c>
      <c r="K56" t="s">
        <v>408</v>
      </c>
      <c r="L56">
        <v>42885</v>
      </c>
      <c r="M56" t="s">
        <v>530</v>
      </c>
      <c r="N56" t="s">
        <v>243</v>
      </c>
      <c r="O56" t="s">
        <v>331</v>
      </c>
      <c r="P56" t="s">
        <v>531</v>
      </c>
    </row>
    <row r="57" spans="1:16" x14ac:dyDescent="0.15">
      <c r="A57" t="s">
        <v>2623</v>
      </c>
      <c r="B57" t="s">
        <v>532</v>
      </c>
      <c r="C57" t="s">
        <v>325</v>
      </c>
      <c r="D57" t="s">
        <v>523</v>
      </c>
      <c r="E57" t="s">
        <v>524</v>
      </c>
      <c r="F57" t="s">
        <v>533</v>
      </c>
      <c r="G57" t="s">
        <v>534</v>
      </c>
      <c r="H57" t="s">
        <v>374</v>
      </c>
      <c r="J57">
        <v>2018</v>
      </c>
      <c r="K57" t="s">
        <v>330</v>
      </c>
      <c r="L57">
        <v>43315</v>
      </c>
      <c r="N57" t="s">
        <v>243</v>
      </c>
      <c r="O57" t="s">
        <v>331</v>
      </c>
      <c r="P57" t="s">
        <v>535</v>
      </c>
    </row>
    <row r="58" spans="1:16" x14ac:dyDescent="0.15">
      <c r="A58" t="s">
        <v>2623</v>
      </c>
      <c r="B58" t="s">
        <v>536</v>
      </c>
      <c r="C58" t="s">
        <v>325</v>
      </c>
      <c r="D58" t="s">
        <v>523</v>
      </c>
      <c r="E58" t="s">
        <v>524</v>
      </c>
      <c r="F58" t="s">
        <v>533</v>
      </c>
      <c r="H58" t="s">
        <v>374</v>
      </c>
      <c r="J58">
        <v>2018</v>
      </c>
      <c r="K58" t="s">
        <v>330</v>
      </c>
      <c r="L58">
        <v>43434</v>
      </c>
      <c r="N58" t="s">
        <v>243</v>
      </c>
      <c r="O58" t="s">
        <v>331</v>
      </c>
      <c r="P58" t="s">
        <v>535</v>
      </c>
    </row>
    <row r="59" spans="1:16" x14ac:dyDescent="0.15">
      <c r="A59" t="s">
        <v>2624</v>
      </c>
      <c r="B59" t="s">
        <v>537</v>
      </c>
      <c r="C59" t="s">
        <v>325</v>
      </c>
      <c r="D59" t="s">
        <v>326</v>
      </c>
      <c r="F59" t="s">
        <v>538</v>
      </c>
      <c r="H59" t="s">
        <v>388</v>
      </c>
      <c r="J59">
        <v>2017</v>
      </c>
      <c r="K59" t="s">
        <v>330</v>
      </c>
      <c r="L59">
        <v>42853</v>
      </c>
      <c r="N59" t="s">
        <v>243</v>
      </c>
      <c r="O59" t="s">
        <v>331</v>
      </c>
      <c r="P59" t="s">
        <v>539</v>
      </c>
    </row>
    <row r="60" spans="1:16" x14ac:dyDescent="0.15">
      <c r="A60" t="s">
        <v>2625</v>
      </c>
      <c r="B60" t="s">
        <v>540</v>
      </c>
      <c r="C60" t="s">
        <v>325</v>
      </c>
      <c r="D60" t="s">
        <v>350</v>
      </c>
      <c r="E60" t="s">
        <v>350</v>
      </c>
      <c r="H60" t="s">
        <v>351</v>
      </c>
      <c r="J60">
        <v>2017</v>
      </c>
      <c r="K60" t="s">
        <v>521</v>
      </c>
      <c r="N60" t="s">
        <v>243</v>
      </c>
      <c r="O60" t="s">
        <v>331</v>
      </c>
      <c r="P60" t="s">
        <v>541</v>
      </c>
    </row>
    <row r="61" spans="1:16" x14ac:dyDescent="0.15">
      <c r="A61" t="s">
        <v>2626</v>
      </c>
      <c r="B61" t="s">
        <v>542</v>
      </c>
      <c r="C61" t="s">
        <v>325</v>
      </c>
      <c r="D61" t="s">
        <v>528</v>
      </c>
      <c r="E61" t="s">
        <v>524</v>
      </c>
      <c r="F61" t="s">
        <v>543</v>
      </c>
      <c r="G61" t="s">
        <v>544</v>
      </c>
      <c r="H61" t="s">
        <v>374</v>
      </c>
      <c r="J61">
        <v>2017</v>
      </c>
      <c r="K61" t="s">
        <v>330</v>
      </c>
      <c r="N61" t="s">
        <v>243</v>
      </c>
      <c r="O61" t="s">
        <v>545</v>
      </c>
      <c r="P61" t="s">
        <v>546</v>
      </c>
    </row>
    <row r="62" spans="1:16" x14ac:dyDescent="0.15">
      <c r="A62" t="s">
        <v>2627</v>
      </c>
      <c r="B62" t="s">
        <v>547</v>
      </c>
      <c r="C62" t="s">
        <v>325</v>
      </c>
      <c r="D62" t="s">
        <v>415</v>
      </c>
      <c r="F62" t="s">
        <v>548</v>
      </c>
      <c r="H62" t="s">
        <v>485</v>
      </c>
      <c r="J62">
        <v>2017</v>
      </c>
      <c r="K62" t="s">
        <v>443</v>
      </c>
      <c r="L62" t="s">
        <v>549</v>
      </c>
      <c r="M62" t="s">
        <v>550</v>
      </c>
      <c r="N62" t="s">
        <v>243</v>
      </c>
      <c r="O62" t="s">
        <v>331</v>
      </c>
      <c r="P62" t="s">
        <v>551</v>
      </c>
    </row>
    <row r="63" spans="1:16" x14ac:dyDescent="0.15">
      <c r="A63" t="s">
        <v>2628</v>
      </c>
      <c r="B63" t="s">
        <v>552</v>
      </c>
      <c r="C63" t="s">
        <v>325</v>
      </c>
      <c r="D63" t="s">
        <v>371</v>
      </c>
      <c r="E63" t="s">
        <v>372</v>
      </c>
      <c r="F63" t="s">
        <v>553</v>
      </c>
      <c r="H63" t="s">
        <v>554</v>
      </c>
      <c r="J63">
        <v>2017</v>
      </c>
      <c r="K63" t="s">
        <v>330</v>
      </c>
      <c r="L63">
        <v>42913</v>
      </c>
      <c r="M63" t="s">
        <v>555</v>
      </c>
      <c r="N63" t="s">
        <v>243</v>
      </c>
      <c r="O63" t="s">
        <v>331</v>
      </c>
      <c r="P63" t="s">
        <v>556</v>
      </c>
    </row>
    <row r="64" spans="1:16" x14ac:dyDescent="0.15">
      <c r="A64" t="s">
        <v>2629</v>
      </c>
      <c r="B64" t="s">
        <v>557</v>
      </c>
      <c r="C64" t="s">
        <v>325</v>
      </c>
      <c r="D64" t="s">
        <v>558</v>
      </c>
      <c r="F64" t="s">
        <v>559</v>
      </c>
      <c r="G64" t="s">
        <v>560</v>
      </c>
      <c r="H64" t="s">
        <v>341</v>
      </c>
      <c r="J64">
        <v>2017</v>
      </c>
      <c r="K64" t="s">
        <v>561</v>
      </c>
      <c r="L64">
        <v>42948</v>
      </c>
      <c r="N64" t="s">
        <v>243</v>
      </c>
      <c r="O64" t="s">
        <v>331</v>
      </c>
      <c r="P64" t="s">
        <v>562</v>
      </c>
    </row>
    <row r="65" spans="1:16" x14ac:dyDescent="0.15">
      <c r="A65" t="s">
        <v>2630</v>
      </c>
      <c r="B65" t="s">
        <v>563</v>
      </c>
      <c r="C65" t="s">
        <v>325</v>
      </c>
      <c r="D65" t="s">
        <v>345</v>
      </c>
      <c r="F65" t="s">
        <v>564</v>
      </c>
      <c r="H65" t="s">
        <v>485</v>
      </c>
      <c r="J65">
        <v>2017</v>
      </c>
      <c r="K65" t="s">
        <v>443</v>
      </c>
      <c r="L65">
        <v>43281</v>
      </c>
      <c r="N65" t="s">
        <v>243</v>
      </c>
      <c r="O65" t="s">
        <v>331</v>
      </c>
      <c r="P65" t="s">
        <v>565</v>
      </c>
    </row>
    <row r="66" spans="1:16" x14ac:dyDescent="0.15">
      <c r="A66" t="s">
        <v>2631</v>
      </c>
      <c r="B66" t="s">
        <v>566</v>
      </c>
      <c r="C66" t="s">
        <v>325</v>
      </c>
      <c r="D66" t="s">
        <v>567</v>
      </c>
      <c r="H66" t="s">
        <v>341</v>
      </c>
      <c r="J66">
        <v>2017</v>
      </c>
      <c r="K66" t="s">
        <v>561</v>
      </c>
      <c r="L66">
        <v>42929</v>
      </c>
      <c r="N66" t="s">
        <v>336</v>
      </c>
      <c r="O66" t="s">
        <v>331</v>
      </c>
      <c r="P66" t="s">
        <v>568</v>
      </c>
    </row>
    <row r="67" spans="1:16" x14ac:dyDescent="0.15">
      <c r="A67" t="s">
        <v>2632</v>
      </c>
      <c r="B67" t="s">
        <v>569</v>
      </c>
      <c r="C67" t="s">
        <v>325</v>
      </c>
      <c r="D67" t="s">
        <v>570</v>
      </c>
      <c r="F67" t="s">
        <v>571</v>
      </c>
      <c r="G67" t="s">
        <v>572</v>
      </c>
      <c r="H67" t="s">
        <v>341</v>
      </c>
      <c r="J67">
        <v>2017</v>
      </c>
      <c r="K67" t="s">
        <v>561</v>
      </c>
      <c r="L67">
        <v>43089</v>
      </c>
      <c r="N67" t="s">
        <v>573</v>
      </c>
      <c r="O67" t="s">
        <v>573</v>
      </c>
      <c r="P67" t="s">
        <v>574</v>
      </c>
    </row>
    <row r="68" spans="1:16" x14ac:dyDescent="0.15">
      <c r="A68" t="s">
        <v>2632</v>
      </c>
      <c r="B68" t="s">
        <v>575</v>
      </c>
      <c r="C68" t="s">
        <v>325</v>
      </c>
      <c r="D68" t="s">
        <v>570</v>
      </c>
      <c r="F68" t="s">
        <v>571</v>
      </c>
      <c r="G68" t="s">
        <v>392</v>
      </c>
      <c r="H68" t="s">
        <v>341</v>
      </c>
      <c r="J68">
        <v>2017</v>
      </c>
      <c r="K68" t="s">
        <v>521</v>
      </c>
      <c r="L68">
        <v>42957</v>
      </c>
      <c r="N68" t="s">
        <v>336</v>
      </c>
      <c r="O68" t="s">
        <v>331</v>
      </c>
      <c r="P68" t="s">
        <v>574</v>
      </c>
    </row>
    <row r="69" spans="1:16" x14ac:dyDescent="0.15">
      <c r="A69" t="s">
        <v>2633</v>
      </c>
      <c r="B69" t="s">
        <v>576</v>
      </c>
      <c r="C69" t="s">
        <v>325</v>
      </c>
      <c r="D69" t="s">
        <v>326</v>
      </c>
      <c r="F69" t="s">
        <v>577</v>
      </c>
      <c r="H69" t="s">
        <v>578</v>
      </c>
      <c r="J69">
        <v>2017</v>
      </c>
      <c r="K69" t="s">
        <v>443</v>
      </c>
      <c r="L69">
        <v>43012</v>
      </c>
      <c r="N69" t="s">
        <v>243</v>
      </c>
      <c r="O69" t="s">
        <v>331</v>
      </c>
      <c r="P69" t="s">
        <v>579</v>
      </c>
    </row>
    <row r="70" spans="1:16" x14ac:dyDescent="0.15">
      <c r="A70" t="s">
        <v>2633</v>
      </c>
      <c r="B70" t="s">
        <v>580</v>
      </c>
      <c r="C70" t="s">
        <v>325</v>
      </c>
      <c r="D70" t="s">
        <v>326</v>
      </c>
      <c r="F70" t="s">
        <v>577</v>
      </c>
      <c r="G70" t="s">
        <v>581</v>
      </c>
      <c r="H70" t="s">
        <v>578</v>
      </c>
      <c r="J70">
        <v>2017</v>
      </c>
      <c r="L70">
        <v>43031</v>
      </c>
      <c r="N70" t="s">
        <v>336</v>
      </c>
      <c r="O70" t="s">
        <v>331</v>
      </c>
      <c r="P70" t="s">
        <v>579</v>
      </c>
    </row>
    <row r="71" spans="1:16" x14ac:dyDescent="0.15">
      <c r="A71" t="s">
        <v>2634</v>
      </c>
      <c r="B71" t="s">
        <v>582</v>
      </c>
      <c r="C71" t="s">
        <v>325</v>
      </c>
      <c r="D71" t="s">
        <v>357</v>
      </c>
      <c r="F71" t="s">
        <v>357</v>
      </c>
      <c r="H71" t="s">
        <v>347</v>
      </c>
      <c r="J71">
        <v>2017</v>
      </c>
      <c r="K71" t="s">
        <v>408</v>
      </c>
      <c r="L71">
        <v>42947</v>
      </c>
      <c r="N71" t="s">
        <v>243</v>
      </c>
      <c r="O71" t="s">
        <v>331</v>
      </c>
      <c r="P71" t="s">
        <v>583</v>
      </c>
    </row>
    <row r="72" spans="1:16" x14ac:dyDescent="0.15">
      <c r="A72" t="s">
        <v>2635</v>
      </c>
      <c r="B72" t="s">
        <v>584</v>
      </c>
      <c r="C72" t="s">
        <v>325</v>
      </c>
      <c r="D72" t="s">
        <v>415</v>
      </c>
      <c r="F72" t="s">
        <v>585</v>
      </c>
      <c r="G72" t="s">
        <v>586</v>
      </c>
      <c r="H72" t="s">
        <v>436</v>
      </c>
      <c r="J72">
        <v>2017</v>
      </c>
      <c r="K72" t="s">
        <v>330</v>
      </c>
      <c r="L72">
        <v>43140</v>
      </c>
      <c r="N72" t="s">
        <v>243</v>
      </c>
      <c r="O72" t="s">
        <v>331</v>
      </c>
      <c r="P72" t="s">
        <v>587</v>
      </c>
    </row>
    <row r="73" spans="1:16" x14ac:dyDescent="0.15">
      <c r="A73" t="s">
        <v>2635</v>
      </c>
      <c r="B73" t="s">
        <v>588</v>
      </c>
      <c r="C73" t="s">
        <v>325</v>
      </c>
      <c r="D73" t="s">
        <v>415</v>
      </c>
      <c r="F73" t="s">
        <v>585</v>
      </c>
      <c r="G73" t="s">
        <v>589</v>
      </c>
      <c r="H73" t="s">
        <v>436</v>
      </c>
      <c r="J73">
        <v>2017</v>
      </c>
      <c r="K73" t="s">
        <v>443</v>
      </c>
      <c r="L73">
        <v>43403</v>
      </c>
      <c r="N73" t="s">
        <v>243</v>
      </c>
      <c r="O73" t="s">
        <v>331</v>
      </c>
      <c r="P73" t="s">
        <v>587</v>
      </c>
    </row>
    <row r="74" spans="1:16" x14ac:dyDescent="0.15">
      <c r="A74" t="s">
        <v>2636</v>
      </c>
      <c r="B74" t="s">
        <v>590</v>
      </c>
      <c r="C74" t="s">
        <v>325</v>
      </c>
      <c r="D74" t="s">
        <v>361</v>
      </c>
      <c r="F74" t="s">
        <v>357</v>
      </c>
      <c r="H74" t="s">
        <v>347</v>
      </c>
      <c r="J74">
        <v>2017</v>
      </c>
      <c r="K74" t="s">
        <v>408</v>
      </c>
      <c r="L74">
        <v>42947</v>
      </c>
      <c r="N74" t="s">
        <v>243</v>
      </c>
      <c r="O74" t="s">
        <v>331</v>
      </c>
      <c r="P74" t="s">
        <v>591</v>
      </c>
    </row>
    <row r="75" spans="1:16" x14ac:dyDescent="0.15">
      <c r="A75" t="s">
        <v>2637</v>
      </c>
      <c r="B75" t="s">
        <v>592</v>
      </c>
      <c r="C75" t="s">
        <v>325</v>
      </c>
      <c r="D75" t="s">
        <v>404</v>
      </c>
      <c r="E75" t="s">
        <v>593</v>
      </c>
      <c r="F75" t="s">
        <v>594</v>
      </c>
      <c r="H75" t="s">
        <v>595</v>
      </c>
      <c r="J75">
        <v>2017</v>
      </c>
      <c r="K75" t="s">
        <v>408</v>
      </c>
      <c r="L75">
        <v>43126</v>
      </c>
      <c r="M75" t="s">
        <v>596</v>
      </c>
      <c r="N75" t="s">
        <v>597</v>
      </c>
      <c r="O75" t="s">
        <v>331</v>
      </c>
      <c r="P75" t="s">
        <v>598</v>
      </c>
    </row>
    <row r="76" spans="1:16" x14ac:dyDescent="0.15">
      <c r="A76" t="s">
        <v>2638</v>
      </c>
      <c r="B76" t="s">
        <v>599</v>
      </c>
      <c r="C76" t="s">
        <v>325</v>
      </c>
      <c r="D76" t="s">
        <v>372</v>
      </c>
      <c r="F76" t="s">
        <v>600</v>
      </c>
      <c r="H76" t="s">
        <v>485</v>
      </c>
      <c r="J76">
        <v>2017</v>
      </c>
      <c r="K76" t="s">
        <v>521</v>
      </c>
      <c r="L76">
        <v>42977</v>
      </c>
      <c r="N76" t="s">
        <v>243</v>
      </c>
      <c r="O76" t="s">
        <v>331</v>
      </c>
      <c r="P76" t="s">
        <v>601</v>
      </c>
    </row>
    <row r="77" spans="1:16" x14ac:dyDescent="0.15">
      <c r="A77" t="s">
        <v>2639</v>
      </c>
      <c r="B77" t="s">
        <v>602</v>
      </c>
      <c r="C77" t="s">
        <v>325</v>
      </c>
      <c r="D77" t="s">
        <v>603</v>
      </c>
      <c r="F77" t="s">
        <v>604</v>
      </c>
      <c r="H77" t="s">
        <v>554</v>
      </c>
      <c r="J77">
        <v>2017</v>
      </c>
      <c r="K77" t="s">
        <v>408</v>
      </c>
      <c r="L77">
        <v>43190</v>
      </c>
      <c r="N77" t="s">
        <v>243</v>
      </c>
      <c r="O77" t="s">
        <v>331</v>
      </c>
      <c r="P77" t="s">
        <v>605</v>
      </c>
    </row>
    <row r="78" spans="1:16" x14ac:dyDescent="0.15">
      <c r="A78" t="s">
        <v>2640</v>
      </c>
      <c r="B78" t="s">
        <v>606</v>
      </c>
      <c r="C78" t="s">
        <v>325</v>
      </c>
      <c r="D78" t="s">
        <v>558</v>
      </c>
      <c r="F78" t="s">
        <v>559</v>
      </c>
      <c r="G78" t="s">
        <v>607</v>
      </c>
      <c r="H78" t="s">
        <v>341</v>
      </c>
      <c r="J78">
        <v>2017</v>
      </c>
      <c r="K78" t="s">
        <v>561</v>
      </c>
      <c r="L78">
        <v>42996</v>
      </c>
      <c r="N78" t="s">
        <v>243</v>
      </c>
      <c r="O78" t="s">
        <v>331</v>
      </c>
      <c r="P78" t="s">
        <v>608</v>
      </c>
    </row>
    <row r="79" spans="1:16" x14ac:dyDescent="0.15">
      <c r="A79" t="s">
        <v>2641</v>
      </c>
      <c r="B79" t="s">
        <v>609</v>
      </c>
      <c r="C79" t="s">
        <v>325</v>
      </c>
      <c r="D79" t="s">
        <v>372</v>
      </c>
      <c r="F79" t="s">
        <v>610</v>
      </c>
      <c r="G79" t="s">
        <v>611</v>
      </c>
      <c r="H79" t="s">
        <v>612</v>
      </c>
      <c r="J79">
        <v>2017</v>
      </c>
      <c r="K79" t="s">
        <v>330</v>
      </c>
      <c r="L79">
        <v>42958</v>
      </c>
      <c r="N79" t="s">
        <v>243</v>
      </c>
      <c r="O79" t="s">
        <v>331</v>
      </c>
      <c r="P79" t="s">
        <v>613</v>
      </c>
    </row>
    <row r="80" spans="1:16" x14ac:dyDescent="0.15">
      <c r="A80" t="s">
        <v>2641</v>
      </c>
      <c r="B80" t="s">
        <v>614</v>
      </c>
      <c r="C80" t="s">
        <v>325</v>
      </c>
      <c r="D80" t="s">
        <v>372</v>
      </c>
      <c r="F80" t="s">
        <v>610</v>
      </c>
      <c r="G80" t="s">
        <v>615</v>
      </c>
      <c r="H80" t="s">
        <v>612</v>
      </c>
      <c r="J80">
        <v>2017</v>
      </c>
      <c r="K80" t="s">
        <v>330</v>
      </c>
      <c r="L80" t="s">
        <v>616</v>
      </c>
      <c r="N80" t="s">
        <v>243</v>
      </c>
      <c r="O80" t="s">
        <v>331</v>
      </c>
      <c r="P80" t="s">
        <v>613</v>
      </c>
    </row>
    <row r="81" spans="1:16" x14ac:dyDescent="0.15">
      <c r="A81" t="s">
        <v>2642</v>
      </c>
      <c r="B81" t="s">
        <v>617</v>
      </c>
      <c r="C81" t="s">
        <v>325</v>
      </c>
      <c r="D81" t="s">
        <v>618</v>
      </c>
      <c r="F81" t="s">
        <v>619</v>
      </c>
      <c r="H81" t="s">
        <v>620</v>
      </c>
      <c r="J81">
        <v>2017</v>
      </c>
      <c r="K81" t="s">
        <v>443</v>
      </c>
      <c r="L81">
        <v>43026</v>
      </c>
      <c r="N81" t="s">
        <v>243</v>
      </c>
      <c r="O81" t="s">
        <v>331</v>
      </c>
      <c r="P81" t="s">
        <v>621</v>
      </c>
    </row>
    <row r="82" spans="1:16" x14ac:dyDescent="0.15">
      <c r="A82" t="s">
        <v>2643</v>
      </c>
      <c r="B82" t="s">
        <v>597</v>
      </c>
      <c r="C82" t="s">
        <v>325</v>
      </c>
      <c r="D82" t="s">
        <v>404</v>
      </c>
      <c r="E82" t="s">
        <v>622</v>
      </c>
      <c r="F82" t="s">
        <v>623</v>
      </c>
      <c r="H82" t="s">
        <v>624</v>
      </c>
      <c r="J82">
        <v>2017</v>
      </c>
      <c r="K82" t="s">
        <v>408</v>
      </c>
      <c r="L82">
        <v>43040</v>
      </c>
      <c r="N82" t="s">
        <v>597</v>
      </c>
      <c r="O82" t="s">
        <v>331</v>
      </c>
      <c r="P82" t="s">
        <v>625</v>
      </c>
    </row>
    <row r="83" spans="1:16" x14ac:dyDescent="0.15">
      <c r="A83" t="s">
        <v>2644</v>
      </c>
      <c r="B83" t="s">
        <v>626</v>
      </c>
      <c r="C83" t="s">
        <v>325</v>
      </c>
      <c r="D83" t="s">
        <v>326</v>
      </c>
      <c r="E83" t="s">
        <v>372</v>
      </c>
      <c r="F83" t="s">
        <v>448</v>
      </c>
      <c r="H83" t="s">
        <v>449</v>
      </c>
      <c r="J83">
        <v>2017</v>
      </c>
      <c r="K83" t="s">
        <v>450</v>
      </c>
      <c r="L83" t="s">
        <v>627</v>
      </c>
      <c r="N83" t="s">
        <v>243</v>
      </c>
      <c r="O83" t="s">
        <v>331</v>
      </c>
      <c r="P83" t="s">
        <v>628</v>
      </c>
    </row>
    <row r="84" spans="1:16" x14ac:dyDescent="0.15">
      <c r="A84" t="s">
        <v>2644</v>
      </c>
      <c r="B84" t="s">
        <v>629</v>
      </c>
      <c r="C84" t="s">
        <v>325</v>
      </c>
      <c r="D84" t="s">
        <v>326</v>
      </c>
      <c r="E84" t="s">
        <v>372</v>
      </c>
      <c r="F84" t="s">
        <v>448</v>
      </c>
      <c r="H84" t="s">
        <v>449</v>
      </c>
      <c r="J84">
        <v>2018</v>
      </c>
      <c r="K84" t="s">
        <v>443</v>
      </c>
      <c r="L84">
        <v>43381</v>
      </c>
      <c r="N84" t="s">
        <v>243</v>
      </c>
      <c r="O84" t="s">
        <v>331</v>
      </c>
      <c r="P84" t="s">
        <v>630</v>
      </c>
    </row>
    <row r="85" spans="1:16" x14ac:dyDescent="0.15">
      <c r="A85" t="s">
        <v>2645</v>
      </c>
      <c r="C85" t="s">
        <v>325</v>
      </c>
      <c r="D85" t="s">
        <v>631</v>
      </c>
      <c r="F85" t="s">
        <v>632</v>
      </c>
      <c r="H85" t="s">
        <v>411</v>
      </c>
      <c r="J85">
        <v>2017</v>
      </c>
      <c r="K85" t="s">
        <v>443</v>
      </c>
      <c r="M85" t="s">
        <v>633</v>
      </c>
      <c r="N85" t="s">
        <v>336</v>
      </c>
      <c r="O85" t="s">
        <v>573</v>
      </c>
      <c r="P85" t="s">
        <v>634</v>
      </c>
    </row>
    <row r="86" spans="1:16" x14ac:dyDescent="0.15">
      <c r="A86" t="s">
        <v>2646</v>
      </c>
      <c r="B86" t="s">
        <v>635</v>
      </c>
      <c r="C86" t="s">
        <v>325</v>
      </c>
      <c r="D86" t="s">
        <v>345</v>
      </c>
      <c r="F86" t="s">
        <v>636</v>
      </c>
      <c r="J86">
        <v>2017</v>
      </c>
      <c r="K86" t="s">
        <v>637</v>
      </c>
      <c r="L86">
        <v>43035</v>
      </c>
      <c r="N86" t="s">
        <v>243</v>
      </c>
      <c r="O86" t="s">
        <v>331</v>
      </c>
      <c r="P86" t="s">
        <v>638</v>
      </c>
    </row>
    <row r="87" spans="1:16" x14ac:dyDescent="0.15">
      <c r="A87" t="s">
        <v>2647</v>
      </c>
      <c r="B87" t="s">
        <v>639</v>
      </c>
      <c r="C87" t="s">
        <v>325</v>
      </c>
      <c r="D87" t="s">
        <v>640</v>
      </c>
      <c r="E87" t="s">
        <v>641</v>
      </c>
      <c r="F87" t="s">
        <v>642</v>
      </c>
      <c r="H87" t="s">
        <v>494</v>
      </c>
      <c r="J87">
        <v>2017</v>
      </c>
      <c r="K87" t="s">
        <v>480</v>
      </c>
      <c r="L87">
        <v>42916</v>
      </c>
      <c r="N87" t="s">
        <v>243</v>
      </c>
      <c r="O87" t="s">
        <v>331</v>
      </c>
      <c r="P87" t="s">
        <v>643</v>
      </c>
    </row>
    <row r="88" spans="1:16" x14ac:dyDescent="0.15">
      <c r="A88" t="s">
        <v>2648</v>
      </c>
      <c r="B88" t="s">
        <v>644</v>
      </c>
      <c r="C88" t="s">
        <v>325</v>
      </c>
      <c r="D88" t="s">
        <v>327</v>
      </c>
      <c r="F88" t="s">
        <v>462</v>
      </c>
      <c r="H88" t="s">
        <v>462</v>
      </c>
      <c r="J88">
        <v>2017</v>
      </c>
      <c r="K88" t="s">
        <v>521</v>
      </c>
      <c r="L88">
        <v>43017</v>
      </c>
      <c r="N88" t="s">
        <v>243</v>
      </c>
      <c r="O88" t="s">
        <v>331</v>
      </c>
      <c r="P88" t="s">
        <v>645</v>
      </c>
    </row>
    <row r="89" spans="1:16" x14ac:dyDescent="0.15">
      <c r="A89" t="s">
        <v>2649</v>
      </c>
      <c r="B89" t="s">
        <v>646</v>
      </c>
      <c r="C89" t="s">
        <v>325</v>
      </c>
      <c r="D89" t="s">
        <v>497</v>
      </c>
      <c r="F89" t="s">
        <v>647</v>
      </c>
      <c r="G89" t="s">
        <v>648</v>
      </c>
      <c r="H89" t="s">
        <v>341</v>
      </c>
      <c r="J89">
        <v>2017</v>
      </c>
      <c r="K89" t="s">
        <v>458</v>
      </c>
      <c r="L89">
        <v>43008</v>
      </c>
      <c r="M89" t="s">
        <v>476</v>
      </c>
      <c r="N89" t="s">
        <v>243</v>
      </c>
      <c r="O89" t="s">
        <v>331</v>
      </c>
      <c r="P89" t="s">
        <v>649</v>
      </c>
    </row>
    <row r="90" spans="1:16" x14ac:dyDescent="0.15">
      <c r="A90" t="s">
        <v>2649</v>
      </c>
      <c r="B90" t="s">
        <v>650</v>
      </c>
      <c r="C90" t="s">
        <v>325</v>
      </c>
      <c r="D90" t="s">
        <v>497</v>
      </c>
      <c r="F90" t="s">
        <v>647</v>
      </c>
      <c r="H90" t="s">
        <v>341</v>
      </c>
      <c r="J90">
        <v>2017</v>
      </c>
      <c r="K90" t="s">
        <v>443</v>
      </c>
      <c r="L90">
        <v>43038</v>
      </c>
      <c r="M90" t="s">
        <v>651</v>
      </c>
      <c r="N90" t="s">
        <v>243</v>
      </c>
      <c r="O90" t="s">
        <v>331</v>
      </c>
      <c r="P90" t="s">
        <v>649</v>
      </c>
    </row>
    <row r="91" spans="1:16" x14ac:dyDescent="0.15">
      <c r="A91" t="s">
        <v>2649</v>
      </c>
      <c r="B91" t="s">
        <v>652</v>
      </c>
      <c r="C91" t="s">
        <v>325</v>
      </c>
      <c r="D91" t="s">
        <v>497</v>
      </c>
      <c r="F91" t="s">
        <v>647</v>
      </c>
      <c r="G91" t="s">
        <v>648</v>
      </c>
      <c r="H91" t="s">
        <v>341</v>
      </c>
      <c r="J91">
        <v>2017</v>
      </c>
      <c r="K91" t="s">
        <v>443</v>
      </c>
      <c r="L91">
        <v>43069</v>
      </c>
      <c r="N91" t="s">
        <v>336</v>
      </c>
      <c r="O91" t="s">
        <v>331</v>
      </c>
      <c r="P91" t="s">
        <v>649</v>
      </c>
    </row>
    <row r="92" spans="1:16" x14ac:dyDescent="0.15">
      <c r="A92" t="s">
        <v>2649</v>
      </c>
      <c r="B92" t="s">
        <v>653</v>
      </c>
      <c r="C92" t="s">
        <v>325</v>
      </c>
      <c r="D92" t="s">
        <v>497</v>
      </c>
      <c r="F92" t="s">
        <v>647</v>
      </c>
      <c r="G92" t="s">
        <v>654</v>
      </c>
      <c r="H92" t="s">
        <v>341</v>
      </c>
      <c r="J92">
        <v>2017</v>
      </c>
      <c r="L92">
        <v>43115</v>
      </c>
      <c r="M92" t="s">
        <v>655</v>
      </c>
      <c r="N92" t="s">
        <v>336</v>
      </c>
      <c r="O92" t="s">
        <v>331</v>
      </c>
      <c r="P92" t="s">
        <v>649</v>
      </c>
    </row>
    <row r="93" spans="1:16" x14ac:dyDescent="0.15">
      <c r="A93" t="s">
        <v>2649</v>
      </c>
      <c r="B93" t="s">
        <v>656</v>
      </c>
      <c r="C93" t="s">
        <v>325</v>
      </c>
      <c r="D93" t="s">
        <v>497</v>
      </c>
      <c r="F93" t="s">
        <v>647</v>
      </c>
      <c r="G93" t="s">
        <v>657</v>
      </c>
      <c r="H93" t="s">
        <v>341</v>
      </c>
      <c r="J93">
        <v>2017</v>
      </c>
      <c r="L93">
        <v>43119</v>
      </c>
      <c r="N93" t="s">
        <v>336</v>
      </c>
      <c r="O93" t="s">
        <v>331</v>
      </c>
      <c r="P93" t="s">
        <v>649</v>
      </c>
    </row>
    <row r="94" spans="1:16" x14ac:dyDescent="0.15">
      <c r="A94" t="s">
        <v>2649</v>
      </c>
      <c r="B94" t="s">
        <v>658</v>
      </c>
      <c r="C94" t="s">
        <v>325</v>
      </c>
      <c r="D94" t="s">
        <v>497</v>
      </c>
      <c r="F94" t="s">
        <v>647</v>
      </c>
      <c r="H94" t="s">
        <v>341</v>
      </c>
      <c r="J94">
        <v>2017</v>
      </c>
      <c r="K94" t="s">
        <v>330</v>
      </c>
      <c r="L94">
        <v>43205</v>
      </c>
      <c r="M94" t="s">
        <v>651</v>
      </c>
      <c r="N94" t="s">
        <v>243</v>
      </c>
      <c r="O94" t="s">
        <v>331</v>
      </c>
      <c r="P94" t="s">
        <v>649</v>
      </c>
    </row>
    <row r="95" spans="1:16" x14ac:dyDescent="0.15">
      <c r="A95" t="s">
        <v>2649</v>
      </c>
      <c r="B95" t="s">
        <v>659</v>
      </c>
      <c r="C95" t="s">
        <v>325</v>
      </c>
      <c r="D95" t="s">
        <v>497</v>
      </c>
      <c r="F95" t="s">
        <v>647</v>
      </c>
      <c r="G95" t="s">
        <v>660</v>
      </c>
      <c r="H95" t="s">
        <v>341</v>
      </c>
      <c r="J95">
        <v>2018</v>
      </c>
      <c r="K95" t="s">
        <v>330</v>
      </c>
      <c r="L95">
        <v>43238</v>
      </c>
      <c r="N95" t="s">
        <v>336</v>
      </c>
      <c r="O95" t="s">
        <v>331</v>
      </c>
      <c r="P95" t="s">
        <v>661</v>
      </c>
    </row>
    <row r="96" spans="1:16" x14ac:dyDescent="0.15">
      <c r="A96" t="s">
        <v>2649</v>
      </c>
      <c r="B96" t="s">
        <v>662</v>
      </c>
      <c r="C96" t="s">
        <v>325</v>
      </c>
      <c r="D96" t="s">
        <v>497</v>
      </c>
      <c r="F96" t="s">
        <v>647</v>
      </c>
      <c r="G96" t="s">
        <v>663</v>
      </c>
      <c r="H96" t="s">
        <v>341</v>
      </c>
      <c r="J96">
        <v>2018</v>
      </c>
      <c r="L96">
        <v>43238</v>
      </c>
      <c r="N96" t="s">
        <v>336</v>
      </c>
      <c r="O96" t="s">
        <v>331</v>
      </c>
      <c r="P96" t="s">
        <v>661</v>
      </c>
    </row>
    <row r="97" spans="1:16" x14ac:dyDescent="0.15">
      <c r="A97" t="s">
        <v>2649</v>
      </c>
      <c r="B97" t="s">
        <v>664</v>
      </c>
      <c r="C97" t="s">
        <v>325</v>
      </c>
      <c r="D97" t="s">
        <v>497</v>
      </c>
      <c r="F97" t="s">
        <v>647</v>
      </c>
      <c r="G97" t="s">
        <v>665</v>
      </c>
      <c r="H97" t="s">
        <v>341</v>
      </c>
      <c r="J97">
        <v>2018</v>
      </c>
      <c r="K97" t="s">
        <v>666</v>
      </c>
      <c r="L97">
        <v>43423</v>
      </c>
      <c r="M97" t="s">
        <v>651</v>
      </c>
      <c r="N97" t="s">
        <v>243</v>
      </c>
      <c r="P97" t="s">
        <v>661</v>
      </c>
    </row>
    <row r="98" spans="1:16" x14ac:dyDescent="0.15">
      <c r="A98" t="s">
        <v>2649</v>
      </c>
      <c r="B98" t="s">
        <v>667</v>
      </c>
      <c r="C98" t="s">
        <v>325</v>
      </c>
      <c r="D98" t="s">
        <v>497</v>
      </c>
      <c r="F98" t="s">
        <v>647</v>
      </c>
      <c r="G98" t="s">
        <v>668</v>
      </c>
      <c r="H98" t="s">
        <v>341</v>
      </c>
      <c r="J98">
        <v>2018</v>
      </c>
      <c r="K98" t="s">
        <v>666</v>
      </c>
      <c r="L98">
        <v>43605</v>
      </c>
      <c r="N98" t="s">
        <v>243</v>
      </c>
      <c r="P98" t="s">
        <v>661</v>
      </c>
    </row>
    <row r="99" spans="1:16" x14ac:dyDescent="0.15">
      <c r="A99" t="s">
        <v>2649</v>
      </c>
      <c r="B99" t="s">
        <v>667</v>
      </c>
      <c r="C99" t="s">
        <v>325</v>
      </c>
      <c r="D99" t="s">
        <v>497</v>
      </c>
      <c r="F99" t="s">
        <v>647</v>
      </c>
      <c r="G99" t="s">
        <v>668</v>
      </c>
      <c r="H99" t="s">
        <v>341</v>
      </c>
      <c r="J99">
        <v>2018</v>
      </c>
      <c r="K99" t="s">
        <v>666</v>
      </c>
      <c r="L99">
        <v>43605</v>
      </c>
      <c r="N99" t="s">
        <v>243</v>
      </c>
      <c r="P99" t="s">
        <v>661</v>
      </c>
    </row>
    <row r="100" spans="1:16" x14ac:dyDescent="0.15">
      <c r="A100" t="s">
        <v>2650</v>
      </c>
      <c r="B100" t="s">
        <v>669</v>
      </c>
      <c r="C100" t="s">
        <v>325</v>
      </c>
      <c r="D100" t="s">
        <v>483</v>
      </c>
      <c r="F100" t="s">
        <v>670</v>
      </c>
      <c r="H100" t="s">
        <v>612</v>
      </c>
      <c r="J100">
        <v>2017</v>
      </c>
      <c r="K100" t="s">
        <v>480</v>
      </c>
      <c r="L100">
        <v>43028</v>
      </c>
      <c r="N100" t="s">
        <v>243</v>
      </c>
      <c r="O100" t="s">
        <v>331</v>
      </c>
      <c r="P100" t="s">
        <v>671</v>
      </c>
    </row>
    <row r="101" spans="1:16" x14ac:dyDescent="0.15">
      <c r="A101" t="s">
        <v>2651</v>
      </c>
      <c r="B101" t="s">
        <v>672</v>
      </c>
      <c r="C101" t="s">
        <v>325</v>
      </c>
      <c r="D101" t="s">
        <v>361</v>
      </c>
      <c r="F101" t="s">
        <v>673</v>
      </c>
      <c r="H101" t="s">
        <v>388</v>
      </c>
      <c r="J101">
        <v>2017</v>
      </c>
      <c r="K101" t="s">
        <v>521</v>
      </c>
      <c r="L101">
        <v>43051</v>
      </c>
      <c r="N101" t="s">
        <v>243</v>
      </c>
      <c r="O101" t="s">
        <v>331</v>
      </c>
      <c r="P101" t="s">
        <v>674</v>
      </c>
    </row>
    <row r="102" spans="1:16" x14ac:dyDescent="0.15">
      <c r="A102" t="s">
        <v>2652</v>
      </c>
      <c r="B102" t="s">
        <v>597</v>
      </c>
      <c r="C102" t="s">
        <v>325</v>
      </c>
      <c r="D102" t="s">
        <v>404</v>
      </c>
      <c r="E102" t="s">
        <v>675</v>
      </c>
      <c r="F102" t="s">
        <v>676</v>
      </c>
      <c r="H102" t="s">
        <v>411</v>
      </c>
      <c r="J102">
        <v>2017</v>
      </c>
      <c r="K102" t="s">
        <v>408</v>
      </c>
      <c r="L102">
        <v>43008</v>
      </c>
      <c r="N102" t="s">
        <v>243</v>
      </c>
      <c r="O102" t="s">
        <v>331</v>
      </c>
      <c r="P102" t="s">
        <v>677</v>
      </c>
    </row>
    <row r="103" spans="1:16" x14ac:dyDescent="0.15">
      <c r="A103" t="s">
        <v>2653</v>
      </c>
      <c r="B103" t="s">
        <v>678</v>
      </c>
      <c r="C103" t="s">
        <v>325</v>
      </c>
      <c r="D103" t="s">
        <v>415</v>
      </c>
      <c r="F103" t="s">
        <v>679</v>
      </c>
      <c r="H103" t="s">
        <v>680</v>
      </c>
      <c r="J103">
        <v>2017</v>
      </c>
      <c r="K103" t="s">
        <v>521</v>
      </c>
      <c r="L103">
        <v>43046</v>
      </c>
      <c r="N103" t="s">
        <v>243</v>
      </c>
      <c r="O103" t="s">
        <v>331</v>
      </c>
      <c r="P103" t="s">
        <v>681</v>
      </c>
    </row>
    <row r="104" spans="1:16" x14ac:dyDescent="0.15">
      <c r="A104" t="s">
        <v>2654</v>
      </c>
      <c r="B104" t="s">
        <v>682</v>
      </c>
      <c r="C104" t="s">
        <v>325</v>
      </c>
      <c r="D104" t="s">
        <v>372</v>
      </c>
      <c r="F104" t="s">
        <v>683</v>
      </c>
      <c r="G104" t="s">
        <v>354</v>
      </c>
      <c r="H104" t="s">
        <v>684</v>
      </c>
      <c r="J104">
        <v>2017</v>
      </c>
      <c r="K104" t="s">
        <v>330</v>
      </c>
      <c r="L104">
        <v>43230</v>
      </c>
      <c r="N104" t="s">
        <v>243</v>
      </c>
      <c r="O104" t="s">
        <v>331</v>
      </c>
      <c r="P104" t="s">
        <v>685</v>
      </c>
    </row>
    <row r="105" spans="1:16" x14ac:dyDescent="0.15">
      <c r="A105" t="s">
        <v>2655</v>
      </c>
      <c r="B105" t="s">
        <v>686</v>
      </c>
      <c r="C105" t="s">
        <v>325</v>
      </c>
      <c r="D105" t="s">
        <v>687</v>
      </c>
      <c r="F105" t="s">
        <v>688</v>
      </c>
      <c r="G105" t="s">
        <v>689</v>
      </c>
      <c r="H105" t="s">
        <v>388</v>
      </c>
      <c r="J105">
        <v>2017</v>
      </c>
      <c r="K105" t="s">
        <v>408</v>
      </c>
      <c r="L105">
        <v>43091</v>
      </c>
      <c r="N105" t="s">
        <v>243</v>
      </c>
      <c r="O105" t="s">
        <v>331</v>
      </c>
      <c r="P105" t="s">
        <v>690</v>
      </c>
    </row>
    <row r="106" spans="1:16" x14ac:dyDescent="0.15">
      <c r="A106" t="s">
        <v>2656</v>
      </c>
      <c r="B106" t="s">
        <v>691</v>
      </c>
      <c r="C106" t="s">
        <v>325</v>
      </c>
      <c r="D106" t="s">
        <v>692</v>
      </c>
      <c r="E106" t="s">
        <v>483</v>
      </c>
      <c r="F106" t="s">
        <v>693</v>
      </c>
      <c r="H106" t="s">
        <v>388</v>
      </c>
      <c r="J106">
        <v>2017</v>
      </c>
      <c r="K106" t="s">
        <v>458</v>
      </c>
      <c r="L106">
        <v>43159</v>
      </c>
      <c r="N106" t="s">
        <v>243</v>
      </c>
      <c r="O106" t="s">
        <v>331</v>
      </c>
      <c r="P106" t="s">
        <v>694</v>
      </c>
    </row>
    <row r="107" spans="1:16" x14ac:dyDescent="0.15">
      <c r="A107" t="s">
        <v>2656</v>
      </c>
      <c r="B107" t="s">
        <v>695</v>
      </c>
      <c r="C107" t="s">
        <v>325</v>
      </c>
      <c r="D107" t="s">
        <v>692</v>
      </c>
      <c r="E107" t="s">
        <v>483</v>
      </c>
      <c r="F107" t="s">
        <v>693</v>
      </c>
      <c r="G107" t="s">
        <v>696</v>
      </c>
      <c r="H107" t="s">
        <v>388</v>
      </c>
      <c r="J107">
        <v>2017</v>
      </c>
      <c r="K107" t="s">
        <v>408</v>
      </c>
      <c r="L107">
        <v>43159</v>
      </c>
      <c r="N107" t="s">
        <v>243</v>
      </c>
      <c r="O107" t="s">
        <v>331</v>
      </c>
      <c r="P107" t="s">
        <v>694</v>
      </c>
    </row>
    <row r="108" spans="1:16" x14ac:dyDescent="0.15">
      <c r="A108" t="s">
        <v>2656</v>
      </c>
      <c r="B108" t="s">
        <v>697</v>
      </c>
      <c r="C108" t="s">
        <v>325</v>
      </c>
      <c r="D108" t="s">
        <v>692</v>
      </c>
      <c r="E108" t="s">
        <v>483</v>
      </c>
      <c r="F108" t="s">
        <v>693</v>
      </c>
      <c r="G108" t="s">
        <v>698</v>
      </c>
      <c r="H108" t="s">
        <v>388</v>
      </c>
      <c r="J108">
        <v>2018</v>
      </c>
      <c r="K108" t="s">
        <v>458</v>
      </c>
      <c r="L108">
        <v>43294</v>
      </c>
      <c r="N108" t="s">
        <v>336</v>
      </c>
      <c r="O108" t="s">
        <v>331</v>
      </c>
      <c r="P108" t="s">
        <v>699</v>
      </c>
    </row>
    <row r="109" spans="1:16" x14ac:dyDescent="0.15">
      <c r="A109" t="s">
        <v>2657</v>
      </c>
      <c r="B109" t="s">
        <v>700</v>
      </c>
      <c r="C109" t="s">
        <v>325</v>
      </c>
      <c r="D109" t="s">
        <v>415</v>
      </c>
      <c r="F109" t="s">
        <v>701</v>
      </c>
      <c r="H109" t="s">
        <v>374</v>
      </c>
      <c r="J109">
        <v>2017</v>
      </c>
      <c r="K109" t="s">
        <v>408</v>
      </c>
      <c r="L109">
        <v>43089</v>
      </c>
      <c r="M109" t="s">
        <v>702</v>
      </c>
      <c r="N109" t="s">
        <v>243</v>
      </c>
      <c r="O109" t="s">
        <v>331</v>
      </c>
      <c r="P109" t="s">
        <v>703</v>
      </c>
    </row>
    <row r="110" spans="1:16" x14ac:dyDescent="0.15">
      <c r="A110" t="s">
        <v>2658</v>
      </c>
      <c r="B110" t="s">
        <v>704</v>
      </c>
      <c r="C110" t="s">
        <v>325</v>
      </c>
      <c r="D110" t="s">
        <v>377</v>
      </c>
      <c r="E110" t="s">
        <v>372</v>
      </c>
      <c r="F110" t="s">
        <v>705</v>
      </c>
      <c r="G110" t="s">
        <v>689</v>
      </c>
      <c r="H110" t="s">
        <v>388</v>
      </c>
      <c r="J110">
        <v>2017</v>
      </c>
      <c r="K110" t="s">
        <v>408</v>
      </c>
      <c r="L110">
        <v>43091</v>
      </c>
      <c r="M110" t="s">
        <v>706</v>
      </c>
      <c r="N110" t="s">
        <v>243</v>
      </c>
      <c r="O110" t="s">
        <v>331</v>
      </c>
      <c r="P110" t="s">
        <v>707</v>
      </c>
    </row>
    <row r="111" spans="1:16" x14ac:dyDescent="0.15">
      <c r="A111" t="s">
        <v>2658</v>
      </c>
      <c r="B111" t="s">
        <v>708</v>
      </c>
      <c r="C111" t="s">
        <v>325</v>
      </c>
      <c r="D111" t="s">
        <v>377</v>
      </c>
      <c r="E111" t="s">
        <v>372</v>
      </c>
      <c r="F111" t="s">
        <v>705</v>
      </c>
      <c r="G111" t="s">
        <v>689</v>
      </c>
      <c r="H111" t="s">
        <v>388</v>
      </c>
      <c r="J111">
        <v>2017</v>
      </c>
      <c r="K111" t="s">
        <v>408</v>
      </c>
      <c r="L111">
        <v>43091</v>
      </c>
      <c r="M111" t="s">
        <v>709</v>
      </c>
      <c r="N111" t="s">
        <v>243</v>
      </c>
      <c r="O111" t="s">
        <v>331</v>
      </c>
      <c r="P111" t="s">
        <v>707</v>
      </c>
    </row>
    <row r="112" spans="1:16" x14ac:dyDescent="0.15">
      <c r="A112" t="s">
        <v>2658</v>
      </c>
      <c r="B112" t="s">
        <v>710</v>
      </c>
      <c r="C112" t="s">
        <v>325</v>
      </c>
      <c r="D112" t="s">
        <v>377</v>
      </c>
      <c r="E112" t="s">
        <v>372</v>
      </c>
      <c r="F112" t="s">
        <v>705</v>
      </c>
      <c r="G112" t="s">
        <v>711</v>
      </c>
      <c r="H112" t="s">
        <v>388</v>
      </c>
      <c r="J112">
        <v>2018</v>
      </c>
      <c r="K112" t="s">
        <v>521</v>
      </c>
      <c r="L112">
        <v>43189</v>
      </c>
      <c r="N112" t="s">
        <v>243</v>
      </c>
      <c r="O112" t="s">
        <v>331</v>
      </c>
      <c r="P112" t="s">
        <v>712</v>
      </c>
    </row>
    <row r="113" spans="1:16" x14ac:dyDescent="0.15">
      <c r="A113" t="s">
        <v>2659</v>
      </c>
      <c r="B113" t="s">
        <v>713</v>
      </c>
      <c r="C113" t="s">
        <v>325</v>
      </c>
      <c r="D113" t="s">
        <v>714</v>
      </c>
      <c r="F113" t="s">
        <v>715</v>
      </c>
      <c r="G113" t="s">
        <v>716</v>
      </c>
      <c r="H113" t="s">
        <v>368</v>
      </c>
      <c r="J113">
        <v>2017</v>
      </c>
      <c r="K113" t="s">
        <v>408</v>
      </c>
      <c r="L113">
        <v>43133</v>
      </c>
      <c r="N113" t="s">
        <v>243</v>
      </c>
      <c r="O113" t="s">
        <v>331</v>
      </c>
      <c r="P113" t="s">
        <v>717</v>
      </c>
    </row>
    <row r="114" spans="1:16" x14ac:dyDescent="0.15">
      <c r="A114" t="s">
        <v>2660</v>
      </c>
      <c r="B114" t="s">
        <v>718</v>
      </c>
      <c r="C114" t="s">
        <v>325</v>
      </c>
      <c r="D114" t="s">
        <v>345</v>
      </c>
      <c r="F114" t="s">
        <v>719</v>
      </c>
      <c r="H114" t="s">
        <v>624</v>
      </c>
      <c r="J114">
        <v>2017</v>
      </c>
      <c r="K114" t="s">
        <v>330</v>
      </c>
      <c r="L114">
        <v>43160</v>
      </c>
      <c r="N114" t="s">
        <v>243</v>
      </c>
      <c r="O114" t="s">
        <v>331</v>
      </c>
      <c r="P114" t="s">
        <v>720</v>
      </c>
    </row>
    <row r="115" spans="1:16" x14ac:dyDescent="0.15">
      <c r="A115" t="s">
        <v>2661</v>
      </c>
      <c r="B115" t="s">
        <v>721</v>
      </c>
      <c r="C115" t="s">
        <v>325</v>
      </c>
      <c r="D115" t="s">
        <v>415</v>
      </c>
      <c r="E115" t="s">
        <v>483</v>
      </c>
      <c r="F115" t="s">
        <v>722</v>
      </c>
      <c r="H115" t="s">
        <v>578</v>
      </c>
      <c r="J115">
        <v>2017</v>
      </c>
      <c r="K115" t="s">
        <v>408</v>
      </c>
      <c r="L115">
        <v>43137</v>
      </c>
      <c r="N115" t="s">
        <v>243</v>
      </c>
      <c r="O115" t="s">
        <v>331</v>
      </c>
      <c r="P115" t="s">
        <v>723</v>
      </c>
    </row>
    <row r="116" spans="1:16" x14ac:dyDescent="0.15">
      <c r="A116" t="s">
        <v>2662</v>
      </c>
      <c r="B116" t="s">
        <v>724</v>
      </c>
      <c r="C116" t="s">
        <v>325</v>
      </c>
      <c r="D116" t="s">
        <v>326</v>
      </c>
      <c r="F116" t="s">
        <v>725</v>
      </c>
      <c r="H116" t="s">
        <v>624</v>
      </c>
      <c r="J116">
        <v>2017</v>
      </c>
      <c r="K116" t="s">
        <v>443</v>
      </c>
      <c r="L116">
        <v>43301</v>
      </c>
      <c r="M116" t="s">
        <v>726</v>
      </c>
      <c r="N116" t="s">
        <v>336</v>
      </c>
      <c r="O116" t="s">
        <v>573</v>
      </c>
      <c r="P116" t="s">
        <v>727</v>
      </c>
    </row>
    <row r="117" spans="1:16" x14ac:dyDescent="0.15">
      <c r="A117" t="s">
        <v>2663</v>
      </c>
      <c r="B117" t="s">
        <v>728</v>
      </c>
      <c r="C117" t="s">
        <v>325</v>
      </c>
      <c r="D117" t="s">
        <v>570</v>
      </c>
      <c r="F117" t="s">
        <v>571</v>
      </c>
      <c r="G117" t="s">
        <v>392</v>
      </c>
      <c r="H117" t="s">
        <v>341</v>
      </c>
      <c r="J117">
        <v>2018</v>
      </c>
      <c r="K117" t="s">
        <v>408</v>
      </c>
      <c r="L117">
        <v>43250</v>
      </c>
      <c r="N117" t="s">
        <v>243</v>
      </c>
      <c r="O117" t="s">
        <v>331</v>
      </c>
      <c r="P117" t="s">
        <v>729</v>
      </c>
    </row>
    <row r="118" spans="1:16" x14ac:dyDescent="0.15">
      <c r="A118" t="s">
        <v>2664</v>
      </c>
      <c r="B118" t="s">
        <v>730</v>
      </c>
      <c r="C118" t="s">
        <v>325</v>
      </c>
      <c r="D118" t="s">
        <v>731</v>
      </c>
      <c r="E118" t="s">
        <v>497</v>
      </c>
      <c r="F118" t="s">
        <v>732</v>
      </c>
      <c r="H118" t="s">
        <v>733</v>
      </c>
      <c r="J118">
        <v>2017</v>
      </c>
      <c r="K118" t="s">
        <v>443</v>
      </c>
      <c r="L118">
        <v>43373</v>
      </c>
      <c r="N118" t="s">
        <v>243</v>
      </c>
      <c r="O118" t="s">
        <v>331</v>
      </c>
      <c r="P118" t="s">
        <v>734</v>
      </c>
    </row>
    <row r="119" spans="1:16" x14ac:dyDescent="0.15">
      <c r="A119" t="s">
        <v>2665</v>
      </c>
      <c r="B119" t="s">
        <v>735</v>
      </c>
      <c r="C119" t="s">
        <v>325</v>
      </c>
      <c r="D119" t="s">
        <v>326</v>
      </c>
      <c r="E119" t="s">
        <v>497</v>
      </c>
      <c r="F119" t="s">
        <v>736</v>
      </c>
      <c r="H119" t="s">
        <v>733</v>
      </c>
      <c r="J119">
        <v>2017</v>
      </c>
      <c r="K119" t="s">
        <v>458</v>
      </c>
      <c r="L119">
        <v>43223</v>
      </c>
      <c r="N119" t="s">
        <v>243</v>
      </c>
      <c r="O119" t="s">
        <v>331</v>
      </c>
      <c r="P119" t="s">
        <v>737</v>
      </c>
    </row>
    <row r="120" spans="1:16" x14ac:dyDescent="0.15">
      <c r="A120" t="s">
        <v>2666</v>
      </c>
      <c r="C120" t="s">
        <v>325</v>
      </c>
      <c r="D120" t="s">
        <v>415</v>
      </c>
      <c r="E120" t="s">
        <v>738</v>
      </c>
      <c r="F120" t="s">
        <v>366</v>
      </c>
      <c r="H120" t="s">
        <v>368</v>
      </c>
      <c r="J120">
        <v>2017</v>
      </c>
      <c r="K120" t="s">
        <v>443</v>
      </c>
      <c r="M120" t="s">
        <v>739</v>
      </c>
      <c r="N120" t="s">
        <v>243</v>
      </c>
      <c r="O120" t="s">
        <v>331</v>
      </c>
      <c r="P120" t="s">
        <v>740</v>
      </c>
    </row>
    <row r="121" spans="1:16" x14ac:dyDescent="0.15">
      <c r="A121" t="s">
        <v>2667</v>
      </c>
      <c r="B121" t="s">
        <v>597</v>
      </c>
      <c r="C121" t="s">
        <v>325</v>
      </c>
      <c r="D121" t="s">
        <v>404</v>
      </c>
      <c r="E121" t="s">
        <v>741</v>
      </c>
      <c r="F121" t="s">
        <v>676</v>
      </c>
      <c r="H121" t="s">
        <v>411</v>
      </c>
      <c r="J121">
        <v>2017</v>
      </c>
      <c r="K121" t="s">
        <v>408</v>
      </c>
      <c r="L121">
        <v>43084</v>
      </c>
      <c r="N121" t="s">
        <v>243</v>
      </c>
      <c r="O121" t="s">
        <v>331</v>
      </c>
      <c r="P121" t="s">
        <v>742</v>
      </c>
    </row>
    <row r="122" spans="1:16" x14ac:dyDescent="0.15">
      <c r="A122" t="s">
        <v>2668</v>
      </c>
      <c r="B122" t="s">
        <v>743</v>
      </c>
      <c r="C122" t="s">
        <v>325</v>
      </c>
      <c r="D122" t="s">
        <v>558</v>
      </c>
      <c r="F122" t="s">
        <v>559</v>
      </c>
      <c r="G122" t="s">
        <v>744</v>
      </c>
      <c r="H122" t="s">
        <v>341</v>
      </c>
      <c r="J122">
        <v>2017</v>
      </c>
      <c r="K122" t="s">
        <v>561</v>
      </c>
      <c r="L122">
        <v>43172</v>
      </c>
      <c r="M122" t="s">
        <v>745</v>
      </c>
      <c r="N122" t="s">
        <v>336</v>
      </c>
      <c r="O122" t="s">
        <v>331</v>
      </c>
      <c r="P122" t="s">
        <v>746</v>
      </c>
    </row>
    <row r="123" spans="1:16" x14ac:dyDescent="0.15">
      <c r="A123" t="s">
        <v>2669</v>
      </c>
      <c r="B123" t="s">
        <v>597</v>
      </c>
      <c r="C123" t="s">
        <v>325</v>
      </c>
      <c r="D123" t="s">
        <v>404</v>
      </c>
      <c r="E123" t="s">
        <v>747</v>
      </c>
      <c r="F123" t="s">
        <v>748</v>
      </c>
      <c r="H123" t="s">
        <v>624</v>
      </c>
      <c r="J123">
        <v>2017</v>
      </c>
      <c r="K123" t="s">
        <v>408</v>
      </c>
      <c r="L123">
        <v>43054</v>
      </c>
      <c r="N123" t="s">
        <v>597</v>
      </c>
      <c r="O123" t="s">
        <v>331</v>
      </c>
      <c r="P123" t="s">
        <v>749</v>
      </c>
    </row>
    <row r="124" spans="1:16" x14ac:dyDescent="0.15">
      <c r="A124" t="s">
        <v>2670</v>
      </c>
      <c r="B124" t="s">
        <v>750</v>
      </c>
      <c r="C124" t="s">
        <v>325</v>
      </c>
      <c r="D124" t="s">
        <v>365</v>
      </c>
      <c r="F124" t="s">
        <v>366</v>
      </c>
      <c r="G124" t="s">
        <v>751</v>
      </c>
      <c r="H124" t="s">
        <v>368</v>
      </c>
      <c r="J124">
        <v>2018</v>
      </c>
      <c r="K124" t="s">
        <v>458</v>
      </c>
      <c r="L124">
        <v>43168</v>
      </c>
      <c r="M124" t="s">
        <v>752</v>
      </c>
      <c r="N124" t="s">
        <v>243</v>
      </c>
      <c r="O124" t="s">
        <v>331</v>
      </c>
      <c r="P124" t="s">
        <v>753</v>
      </c>
    </row>
    <row r="125" spans="1:16" x14ac:dyDescent="0.15">
      <c r="A125" t="s">
        <v>2671</v>
      </c>
      <c r="B125" t="s">
        <v>754</v>
      </c>
      <c r="C125" t="s">
        <v>325</v>
      </c>
      <c r="D125" t="s">
        <v>372</v>
      </c>
      <c r="F125" t="s">
        <v>755</v>
      </c>
      <c r="G125" t="s">
        <v>756</v>
      </c>
      <c r="H125" t="s">
        <v>449</v>
      </c>
      <c r="J125">
        <v>2018</v>
      </c>
      <c r="K125" t="s">
        <v>330</v>
      </c>
      <c r="L125" t="s">
        <v>757</v>
      </c>
      <c r="M125" t="s">
        <v>758</v>
      </c>
      <c r="N125" t="s">
        <v>243</v>
      </c>
      <c r="O125" t="s">
        <v>331</v>
      </c>
      <c r="P125" t="s">
        <v>759</v>
      </c>
    </row>
    <row r="126" spans="1:16" x14ac:dyDescent="0.15">
      <c r="A126" t="s">
        <v>2672</v>
      </c>
      <c r="B126" t="s">
        <v>760</v>
      </c>
      <c r="C126" t="s">
        <v>325</v>
      </c>
      <c r="D126" t="s">
        <v>761</v>
      </c>
      <c r="F126" t="s">
        <v>762</v>
      </c>
      <c r="G126" t="s">
        <v>763</v>
      </c>
      <c r="H126" t="s">
        <v>388</v>
      </c>
      <c r="J126">
        <v>2018</v>
      </c>
      <c r="K126" t="s">
        <v>408</v>
      </c>
      <c r="L126" t="s">
        <v>764</v>
      </c>
      <c r="N126" t="s">
        <v>243</v>
      </c>
      <c r="O126" t="s">
        <v>331</v>
      </c>
      <c r="P126" t="s">
        <v>765</v>
      </c>
    </row>
    <row r="127" spans="1:16" x14ac:dyDescent="0.15">
      <c r="A127" t="s">
        <v>2673</v>
      </c>
      <c r="B127" t="s">
        <v>766</v>
      </c>
      <c r="C127" t="s">
        <v>325</v>
      </c>
      <c r="D127" t="s">
        <v>761</v>
      </c>
      <c r="F127" t="s">
        <v>767</v>
      </c>
      <c r="G127" t="s">
        <v>763</v>
      </c>
      <c r="H127" t="s">
        <v>768</v>
      </c>
      <c r="J127">
        <v>2018</v>
      </c>
      <c r="K127" t="s">
        <v>408</v>
      </c>
      <c r="L127">
        <v>43265</v>
      </c>
      <c r="N127" t="s">
        <v>243</v>
      </c>
      <c r="O127" t="s">
        <v>331</v>
      </c>
      <c r="P127" t="s">
        <v>769</v>
      </c>
    </row>
    <row r="128" spans="1:16" x14ac:dyDescent="0.15">
      <c r="A128" t="s">
        <v>2674</v>
      </c>
      <c r="B128" t="s">
        <v>770</v>
      </c>
      <c r="C128" t="s">
        <v>325</v>
      </c>
      <c r="D128" t="s">
        <v>771</v>
      </c>
      <c r="E128" t="s">
        <v>372</v>
      </c>
      <c r="F128" t="s">
        <v>772</v>
      </c>
      <c r="H128" t="s">
        <v>773</v>
      </c>
      <c r="J128">
        <v>2018</v>
      </c>
      <c r="K128" t="s">
        <v>443</v>
      </c>
      <c r="L128">
        <v>43411</v>
      </c>
      <c r="N128" t="s">
        <v>243</v>
      </c>
      <c r="O128" t="s">
        <v>331</v>
      </c>
      <c r="P128" t="s">
        <v>774</v>
      </c>
    </row>
    <row r="129" spans="1:16" x14ac:dyDescent="0.15">
      <c r="A129" t="s">
        <v>2674</v>
      </c>
      <c r="B129" t="s">
        <v>775</v>
      </c>
      <c r="C129" t="s">
        <v>325</v>
      </c>
      <c r="D129" t="s">
        <v>771</v>
      </c>
      <c r="E129" t="s">
        <v>372</v>
      </c>
      <c r="F129" t="s">
        <v>772</v>
      </c>
      <c r="H129" t="s">
        <v>773</v>
      </c>
      <c r="J129">
        <v>2018</v>
      </c>
      <c r="K129" t="s">
        <v>443</v>
      </c>
      <c r="L129">
        <v>43399</v>
      </c>
      <c r="N129" t="s">
        <v>243</v>
      </c>
      <c r="O129" t="s">
        <v>331</v>
      </c>
      <c r="P129" t="s">
        <v>774</v>
      </c>
    </row>
    <row r="130" spans="1:16" x14ac:dyDescent="0.15">
      <c r="A130" t="s">
        <v>2675</v>
      </c>
      <c r="B130" t="s">
        <v>776</v>
      </c>
      <c r="C130" t="s">
        <v>325</v>
      </c>
      <c r="D130" t="s">
        <v>345</v>
      </c>
      <c r="E130" t="s">
        <v>777</v>
      </c>
      <c r="G130" t="s">
        <v>778</v>
      </c>
      <c r="H130" t="s">
        <v>368</v>
      </c>
      <c r="J130">
        <v>2018</v>
      </c>
      <c r="K130" t="s">
        <v>521</v>
      </c>
      <c r="L130">
        <v>43131</v>
      </c>
      <c r="N130" t="s">
        <v>336</v>
      </c>
      <c r="O130" t="s">
        <v>331</v>
      </c>
      <c r="P130" t="s">
        <v>779</v>
      </c>
    </row>
    <row r="131" spans="1:16" x14ac:dyDescent="0.15">
      <c r="A131" t="s">
        <v>2676</v>
      </c>
      <c r="B131" t="s">
        <v>780</v>
      </c>
      <c r="C131" t="s">
        <v>325</v>
      </c>
      <c r="D131" t="s">
        <v>593</v>
      </c>
      <c r="E131" t="s">
        <v>497</v>
      </c>
      <c r="F131" t="s">
        <v>647</v>
      </c>
      <c r="G131" t="s">
        <v>781</v>
      </c>
      <c r="H131" t="s">
        <v>341</v>
      </c>
      <c r="J131">
        <v>2018</v>
      </c>
      <c r="K131" t="s">
        <v>408</v>
      </c>
      <c r="L131">
        <v>43221</v>
      </c>
      <c r="M131" t="s">
        <v>596</v>
      </c>
      <c r="N131" t="s">
        <v>336</v>
      </c>
      <c r="O131" t="s">
        <v>331</v>
      </c>
      <c r="P131" t="s">
        <v>782</v>
      </c>
    </row>
    <row r="132" spans="1:16" x14ac:dyDescent="0.15">
      <c r="A132" t="s">
        <v>2677</v>
      </c>
      <c r="B132" t="s">
        <v>597</v>
      </c>
      <c r="C132" t="s">
        <v>325</v>
      </c>
      <c r="D132" t="s">
        <v>404</v>
      </c>
      <c r="E132" t="s">
        <v>593</v>
      </c>
      <c r="F132" t="s">
        <v>783</v>
      </c>
      <c r="H132" t="s">
        <v>341</v>
      </c>
      <c r="J132">
        <v>2018</v>
      </c>
      <c r="K132" t="s">
        <v>408</v>
      </c>
      <c r="L132">
        <v>43190</v>
      </c>
      <c r="N132" t="s">
        <v>597</v>
      </c>
      <c r="O132" t="s">
        <v>331</v>
      </c>
      <c r="P132" t="s">
        <v>784</v>
      </c>
    </row>
    <row r="133" spans="1:16" x14ac:dyDescent="0.15">
      <c r="A133" t="s">
        <v>2678</v>
      </c>
      <c r="B133" t="s">
        <v>785</v>
      </c>
      <c r="C133" t="s">
        <v>325</v>
      </c>
      <c r="D133" t="s">
        <v>377</v>
      </c>
      <c r="E133" t="s">
        <v>372</v>
      </c>
      <c r="F133" t="s">
        <v>762</v>
      </c>
      <c r="G133" t="s">
        <v>786</v>
      </c>
      <c r="H133" t="s">
        <v>388</v>
      </c>
      <c r="J133">
        <v>2018</v>
      </c>
      <c r="K133" t="s">
        <v>408</v>
      </c>
      <c r="L133">
        <v>43250</v>
      </c>
      <c r="N133" t="s">
        <v>243</v>
      </c>
      <c r="O133" t="s">
        <v>331</v>
      </c>
      <c r="P133" t="s">
        <v>787</v>
      </c>
    </row>
    <row r="134" spans="1:16" x14ac:dyDescent="0.15">
      <c r="A134" t="s">
        <v>2679</v>
      </c>
      <c r="B134" t="s">
        <v>788</v>
      </c>
      <c r="C134" t="s">
        <v>325</v>
      </c>
      <c r="D134" t="s">
        <v>377</v>
      </c>
      <c r="E134" t="s">
        <v>372</v>
      </c>
      <c r="F134" t="s">
        <v>767</v>
      </c>
      <c r="G134" t="s">
        <v>786</v>
      </c>
      <c r="H134" t="s">
        <v>768</v>
      </c>
      <c r="J134">
        <v>2018</v>
      </c>
      <c r="K134" t="s">
        <v>408</v>
      </c>
      <c r="L134">
        <v>43281</v>
      </c>
      <c r="N134" t="s">
        <v>243</v>
      </c>
      <c r="O134" t="s">
        <v>331</v>
      </c>
      <c r="P134" t="s">
        <v>789</v>
      </c>
    </row>
    <row r="135" spans="1:16" x14ac:dyDescent="0.15">
      <c r="A135" t="s">
        <v>2680</v>
      </c>
      <c r="B135" t="s">
        <v>790</v>
      </c>
      <c r="C135" t="s">
        <v>325</v>
      </c>
      <c r="D135" t="s">
        <v>791</v>
      </c>
      <c r="E135" t="s">
        <v>577</v>
      </c>
      <c r="F135" t="s">
        <v>792</v>
      </c>
      <c r="H135" t="s">
        <v>578</v>
      </c>
      <c r="J135">
        <v>2018</v>
      </c>
      <c r="K135" t="s">
        <v>521</v>
      </c>
      <c r="L135">
        <v>43313</v>
      </c>
      <c r="N135" t="s">
        <v>243</v>
      </c>
      <c r="O135" t="s">
        <v>331</v>
      </c>
      <c r="P135" t="s">
        <v>793</v>
      </c>
    </row>
    <row r="136" spans="1:16" x14ac:dyDescent="0.15">
      <c r="A136" t="s">
        <v>2681</v>
      </c>
      <c r="B136" t="s">
        <v>794</v>
      </c>
      <c r="C136" t="s">
        <v>325</v>
      </c>
      <c r="D136" t="s">
        <v>415</v>
      </c>
      <c r="E136" t="s">
        <v>795</v>
      </c>
      <c r="F136" t="s">
        <v>795</v>
      </c>
      <c r="G136" t="s">
        <v>796</v>
      </c>
      <c r="H136" t="s">
        <v>795</v>
      </c>
      <c r="J136">
        <v>2018</v>
      </c>
      <c r="K136" t="s">
        <v>521</v>
      </c>
      <c r="L136">
        <v>43231</v>
      </c>
      <c r="N136" t="s">
        <v>243</v>
      </c>
      <c r="O136" t="s">
        <v>331</v>
      </c>
      <c r="P136" t="s">
        <v>797</v>
      </c>
    </row>
    <row r="137" spans="1:16" x14ac:dyDescent="0.15">
      <c r="A137" t="s">
        <v>2682</v>
      </c>
      <c r="B137" t="s">
        <v>798</v>
      </c>
      <c r="C137" t="s">
        <v>325</v>
      </c>
      <c r="D137" t="s">
        <v>799</v>
      </c>
      <c r="F137" t="s">
        <v>800</v>
      </c>
      <c r="H137" t="s">
        <v>680</v>
      </c>
      <c r="J137">
        <v>2018</v>
      </c>
      <c r="K137" t="s">
        <v>330</v>
      </c>
      <c r="L137" t="s">
        <v>801</v>
      </c>
      <c r="M137" t="s">
        <v>802</v>
      </c>
      <c r="N137" t="s">
        <v>243</v>
      </c>
      <c r="P137" t="s">
        <v>803</v>
      </c>
    </row>
    <row r="138" spans="1:16" x14ac:dyDescent="0.15">
      <c r="A138" t="s">
        <v>2682</v>
      </c>
      <c r="B138" t="s">
        <v>804</v>
      </c>
      <c r="C138" t="s">
        <v>325</v>
      </c>
      <c r="D138" t="s">
        <v>799</v>
      </c>
      <c r="F138" t="s">
        <v>800</v>
      </c>
      <c r="H138" t="s">
        <v>680</v>
      </c>
      <c r="J138">
        <v>2018</v>
      </c>
      <c r="K138" t="s">
        <v>330</v>
      </c>
      <c r="L138">
        <v>43371</v>
      </c>
      <c r="N138" t="s">
        <v>243</v>
      </c>
      <c r="O138" t="s">
        <v>331</v>
      </c>
      <c r="P138" t="s">
        <v>803</v>
      </c>
    </row>
    <row r="139" spans="1:16" x14ac:dyDescent="0.15">
      <c r="A139" t="s">
        <v>2683</v>
      </c>
      <c r="B139" t="s">
        <v>805</v>
      </c>
      <c r="C139" t="s">
        <v>325</v>
      </c>
      <c r="D139" t="s">
        <v>528</v>
      </c>
      <c r="E139" t="s">
        <v>523</v>
      </c>
      <c r="F139" t="s">
        <v>806</v>
      </c>
      <c r="G139" t="s">
        <v>807</v>
      </c>
      <c r="H139" t="s">
        <v>374</v>
      </c>
      <c r="J139">
        <v>2018</v>
      </c>
      <c r="K139" t="s">
        <v>666</v>
      </c>
      <c r="L139">
        <v>43185</v>
      </c>
      <c r="N139" t="s">
        <v>243</v>
      </c>
      <c r="O139" t="s">
        <v>331</v>
      </c>
      <c r="P139" t="s">
        <v>808</v>
      </c>
    </row>
    <row r="140" spans="1:16" x14ac:dyDescent="0.15">
      <c r="A140" t="s">
        <v>2684</v>
      </c>
      <c r="B140" t="s">
        <v>809</v>
      </c>
      <c r="C140" t="s">
        <v>325</v>
      </c>
      <c r="D140" t="s">
        <v>810</v>
      </c>
      <c r="E140" t="s">
        <v>811</v>
      </c>
      <c r="F140" t="s">
        <v>812</v>
      </c>
      <c r="G140" t="s">
        <v>813</v>
      </c>
      <c r="H140" t="s">
        <v>341</v>
      </c>
      <c r="J140">
        <v>2018</v>
      </c>
      <c r="K140" t="s">
        <v>666</v>
      </c>
      <c r="L140">
        <v>43291</v>
      </c>
      <c r="N140" t="s">
        <v>243</v>
      </c>
      <c r="O140" t="s">
        <v>331</v>
      </c>
      <c r="P140" t="s">
        <v>814</v>
      </c>
    </row>
    <row r="141" spans="1:16" x14ac:dyDescent="0.15">
      <c r="A141" t="s">
        <v>2684</v>
      </c>
      <c r="B141" t="s">
        <v>815</v>
      </c>
      <c r="C141" t="s">
        <v>325</v>
      </c>
      <c r="D141" t="s">
        <v>810</v>
      </c>
      <c r="E141" t="s">
        <v>811</v>
      </c>
      <c r="F141" t="s">
        <v>812</v>
      </c>
      <c r="H141" t="s">
        <v>341</v>
      </c>
      <c r="J141">
        <v>2018</v>
      </c>
      <c r="K141" t="s">
        <v>666</v>
      </c>
      <c r="L141">
        <v>43434</v>
      </c>
      <c r="M141" t="s">
        <v>816</v>
      </c>
      <c r="N141" t="s">
        <v>243</v>
      </c>
      <c r="P141" t="s">
        <v>814</v>
      </c>
    </row>
    <row r="142" spans="1:16" x14ac:dyDescent="0.15">
      <c r="A142" t="s">
        <v>2685</v>
      </c>
      <c r="B142" t="s">
        <v>817</v>
      </c>
      <c r="C142" t="s">
        <v>325</v>
      </c>
      <c r="D142" t="s">
        <v>818</v>
      </c>
      <c r="E142" t="s">
        <v>558</v>
      </c>
      <c r="F142" t="s">
        <v>819</v>
      </c>
      <c r="G142" t="s">
        <v>820</v>
      </c>
      <c r="H142" t="s">
        <v>341</v>
      </c>
      <c r="J142">
        <v>2018</v>
      </c>
      <c r="K142" t="s">
        <v>666</v>
      </c>
      <c r="L142">
        <v>43283</v>
      </c>
      <c r="M142" t="s">
        <v>816</v>
      </c>
      <c r="N142" t="s">
        <v>243</v>
      </c>
      <c r="O142" t="s">
        <v>331</v>
      </c>
      <c r="P142" t="s">
        <v>821</v>
      </c>
    </row>
    <row r="143" spans="1:16" x14ac:dyDescent="0.15">
      <c r="A143" t="s">
        <v>2685</v>
      </c>
      <c r="B143" t="s">
        <v>822</v>
      </c>
      <c r="C143" t="s">
        <v>325</v>
      </c>
      <c r="D143" t="s">
        <v>818</v>
      </c>
      <c r="E143" t="s">
        <v>558</v>
      </c>
      <c r="F143" t="s">
        <v>819</v>
      </c>
      <c r="G143" t="s">
        <v>820</v>
      </c>
      <c r="H143" t="s">
        <v>341</v>
      </c>
      <c r="J143">
        <v>2018</v>
      </c>
      <c r="K143" t="s">
        <v>666</v>
      </c>
      <c r="L143">
        <v>43322</v>
      </c>
      <c r="N143" t="s">
        <v>243</v>
      </c>
      <c r="O143" t="s">
        <v>331</v>
      </c>
      <c r="P143" t="s">
        <v>821</v>
      </c>
    </row>
    <row r="144" spans="1:16" x14ac:dyDescent="0.15">
      <c r="A144" t="s">
        <v>2686</v>
      </c>
      <c r="B144" t="s">
        <v>823</v>
      </c>
      <c r="C144" t="s">
        <v>325</v>
      </c>
      <c r="D144" t="s">
        <v>824</v>
      </c>
      <c r="F144" t="s">
        <v>825</v>
      </c>
      <c r="H144" t="s">
        <v>411</v>
      </c>
      <c r="J144">
        <v>2018</v>
      </c>
      <c r="K144" t="s">
        <v>458</v>
      </c>
      <c r="L144">
        <v>43240</v>
      </c>
      <c r="N144" t="s">
        <v>336</v>
      </c>
      <c r="O144" t="s">
        <v>331</v>
      </c>
      <c r="P144" t="s">
        <v>826</v>
      </c>
    </row>
    <row r="145" spans="1:16" x14ac:dyDescent="0.15">
      <c r="A145" t="s">
        <v>2687</v>
      </c>
      <c r="B145" t="s">
        <v>827</v>
      </c>
      <c r="C145" t="s">
        <v>325</v>
      </c>
      <c r="D145" t="s">
        <v>593</v>
      </c>
      <c r="F145" t="s">
        <v>828</v>
      </c>
      <c r="H145" t="s">
        <v>680</v>
      </c>
      <c r="J145">
        <v>2018</v>
      </c>
      <c r="K145" t="s">
        <v>408</v>
      </c>
      <c r="L145">
        <v>43245</v>
      </c>
      <c r="N145" t="s">
        <v>597</v>
      </c>
      <c r="O145" t="s">
        <v>331</v>
      </c>
      <c r="P145" t="s">
        <v>829</v>
      </c>
    </row>
    <row r="146" spans="1:16" x14ac:dyDescent="0.15">
      <c r="A146" t="s">
        <v>2688</v>
      </c>
      <c r="B146" t="s">
        <v>597</v>
      </c>
      <c r="C146" t="s">
        <v>325</v>
      </c>
      <c r="D146" t="s">
        <v>404</v>
      </c>
      <c r="F146" t="s">
        <v>830</v>
      </c>
      <c r="H146" t="s">
        <v>831</v>
      </c>
      <c r="J146">
        <v>2018</v>
      </c>
      <c r="K146" t="s">
        <v>408</v>
      </c>
      <c r="L146">
        <v>43373</v>
      </c>
      <c r="N146" t="s">
        <v>597</v>
      </c>
      <c r="O146" t="s">
        <v>331</v>
      </c>
      <c r="P146" t="s">
        <v>832</v>
      </c>
    </row>
    <row r="147" spans="1:16" x14ac:dyDescent="0.15">
      <c r="A147" t="s">
        <v>2689</v>
      </c>
      <c r="B147" t="s">
        <v>833</v>
      </c>
      <c r="C147" t="s">
        <v>325</v>
      </c>
      <c r="D147" t="s">
        <v>483</v>
      </c>
      <c r="F147" t="s">
        <v>648</v>
      </c>
      <c r="H147" t="s">
        <v>436</v>
      </c>
      <c r="J147">
        <v>2018</v>
      </c>
      <c r="K147" t="s">
        <v>458</v>
      </c>
      <c r="L147">
        <v>43249</v>
      </c>
      <c r="N147" t="s">
        <v>336</v>
      </c>
      <c r="O147" t="s">
        <v>331</v>
      </c>
      <c r="P147" t="s">
        <v>834</v>
      </c>
    </row>
    <row r="148" spans="1:16" x14ac:dyDescent="0.15">
      <c r="A148" t="s">
        <v>2690</v>
      </c>
      <c r="B148" t="s">
        <v>597</v>
      </c>
      <c r="C148" t="s">
        <v>325</v>
      </c>
      <c r="D148" t="s">
        <v>404</v>
      </c>
      <c r="E148" t="s">
        <v>835</v>
      </c>
      <c r="F148" t="s">
        <v>748</v>
      </c>
      <c r="H148" t="s">
        <v>624</v>
      </c>
      <c r="J148">
        <v>2018</v>
      </c>
      <c r="K148" t="s">
        <v>408</v>
      </c>
      <c r="L148">
        <v>43205</v>
      </c>
      <c r="N148" t="s">
        <v>597</v>
      </c>
      <c r="O148" t="s">
        <v>331</v>
      </c>
      <c r="P148" t="s">
        <v>836</v>
      </c>
    </row>
    <row r="149" spans="1:16" x14ac:dyDescent="0.15">
      <c r="A149" t="s">
        <v>2691</v>
      </c>
      <c r="B149" t="s">
        <v>827</v>
      </c>
      <c r="C149" t="s">
        <v>325</v>
      </c>
      <c r="D149" t="s">
        <v>404</v>
      </c>
      <c r="E149" t="s">
        <v>593</v>
      </c>
      <c r="F149" t="s">
        <v>828</v>
      </c>
      <c r="H149" t="s">
        <v>680</v>
      </c>
      <c r="J149">
        <v>2018</v>
      </c>
      <c r="K149" t="s">
        <v>408</v>
      </c>
      <c r="L149">
        <v>43190</v>
      </c>
      <c r="N149" t="s">
        <v>597</v>
      </c>
      <c r="O149" t="s">
        <v>331</v>
      </c>
      <c r="P149" t="s">
        <v>837</v>
      </c>
    </row>
    <row r="150" spans="1:16" x14ac:dyDescent="0.15">
      <c r="A150" t="s">
        <v>2692</v>
      </c>
      <c r="B150" t="s">
        <v>838</v>
      </c>
      <c r="C150" t="s">
        <v>325</v>
      </c>
      <c r="D150" t="s">
        <v>593</v>
      </c>
      <c r="E150" t="s">
        <v>577</v>
      </c>
      <c r="F150" t="s">
        <v>792</v>
      </c>
      <c r="H150" t="s">
        <v>578</v>
      </c>
      <c r="J150">
        <v>2018</v>
      </c>
      <c r="K150" t="s">
        <v>408</v>
      </c>
      <c r="L150">
        <v>43259</v>
      </c>
      <c r="N150" t="s">
        <v>597</v>
      </c>
      <c r="O150" t="s">
        <v>331</v>
      </c>
      <c r="P150" t="s">
        <v>839</v>
      </c>
    </row>
    <row r="151" spans="1:16" x14ac:dyDescent="0.15">
      <c r="A151" t="s">
        <v>2693</v>
      </c>
      <c r="B151" t="s">
        <v>840</v>
      </c>
      <c r="C151" t="s">
        <v>325</v>
      </c>
      <c r="D151" t="s">
        <v>377</v>
      </c>
      <c r="E151" t="s">
        <v>577</v>
      </c>
      <c r="F151" t="s">
        <v>841</v>
      </c>
      <c r="H151" t="s">
        <v>388</v>
      </c>
      <c r="J151">
        <v>2018</v>
      </c>
      <c r="K151" t="s">
        <v>666</v>
      </c>
      <c r="L151">
        <v>43350</v>
      </c>
      <c r="N151" t="s">
        <v>243</v>
      </c>
      <c r="O151" t="s">
        <v>331</v>
      </c>
      <c r="P151" t="s">
        <v>842</v>
      </c>
    </row>
    <row r="152" spans="1:16" x14ac:dyDescent="0.15">
      <c r="A152" t="s">
        <v>2694</v>
      </c>
      <c r="B152" t="s">
        <v>843</v>
      </c>
      <c r="C152" t="s">
        <v>325</v>
      </c>
      <c r="D152" t="s">
        <v>377</v>
      </c>
      <c r="E152" t="s">
        <v>372</v>
      </c>
      <c r="F152" t="s">
        <v>683</v>
      </c>
      <c r="G152" t="s">
        <v>786</v>
      </c>
      <c r="H152" t="s">
        <v>684</v>
      </c>
      <c r="J152">
        <v>2018</v>
      </c>
      <c r="K152" t="s">
        <v>408</v>
      </c>
      <c r="L152">
        <v>43311</v>
      </c>
      <c r="N152" t="s">
        <v>243</v>
      </c>
      <c r="O152" t="s">
        <v>331</v>
      </c>
      <c r="P152" t="s">
        <v>844</v>
      </c>
    </row>
    <row r="153" spans="1:16" x14ac:dyDescent="0.15">
      <c r="A153" t="s">
        <v>2694</v>
      </c>
      <c r="B153" t="s">
        <v>845</v>
      </c>
      <c r="C153" t="s">
        <v>325</v>
      </c>
      <c r="D153" t="s">
        <v>377</v>
      </c>
      <c r="E153" t="s">
        <v>372</v>
      </c>
      <c r="F153" t="s">
        <v>683</v>
      </c>
      <c r="G153" t="s">
        <v>846</v>
      </c>
      <c r="H153" t="s">
        <v>684</v>
      </c>
      <c r="J153">
        <v>2018</v>
      </c>
      <c r="K153" t="s">
        <v>521</v>
      </c>
      <c r="L153">
        <v>43340</v>
      </c>
      <c r="N153" t="s">
        <v>243</v>
      </c>
      <c r="O153" t="s">
        <v>331</v>
      </c>
      <c r="P153" t="s">
        <v>844</v>
      </c>
    </row>
    <row r="154" spans="1:16" x14ac:dyDescent="0.15">
      <c r="A154" t="s">
        <v>2695</v>
      </c>
      <c r="B154" t="s">
        <v>847</v>
      </c>
      <c r="C154" t="s">
        <v>325</v>
      </c>
      <c r="D154" t="s">
        <v>326</v>
      </c>
      <c r="E154" t="s">
        <v>679</v>
      </c>
      <c r="F154" t="s">
        <v>848</v>
      </c>
      <c r="G154" t="s">
        <v>849</v>
      </c>
      <c r="H154" t="s">
        <v>680</v>
      </c>
      <c r="J154">
        <v>2018</v>
      </c>
      <c r="K154" t="s">
        <v>666</v>
      </c>
      <c r="L154">
        <v>43354</v>
      </c>
      <c r="M154" t="s">
        <v>816</v>
      </c>
      <c r="N154" t="s">
        <v>243</v>
      </c>
      <c r="P154" t="s">
        <v>850</v>
      </c>
    </row>
    <row r="155" spans="1:16" x14ac:dyDescent="0.15">
      <c r="A155" t="s">
        <v>2696</v>
      </c>
      <c r="B155" t="s">
        <v>851</v>
      </c>
      <c r="C155" t="s">
        <v>325</v>
      </c>
      <c r="D155" t="s">
        <v>852</v>
      </c>
      <c r="E155" t="s">
        <v>852</v>
      </c>
      <c r="F155" t="s">
        <v>852</v>
      </c>
      <c r="G155" t="s">
        <v>853</v>
      </c>
      <c r="H155" t="s">
        <v>485</v>
      </c>
      <c r="J155">
        <v>2018</v>
      </c>
      <c r="K155" t="s">
        <v>854</v>
      </c>
      <c r="L155">
        <v>43256</v>
      </c>
      <c r="N155" t="s">
        <v>243</v>
      </c>
      <c r="O155" t="s">
        <v>331</v>
      </c>
      <c r="P155" t="s">
        <v>855</v>
      </c>
    </row>
    <row r="156" spans="1:16" x14ac:dyDescent="0.15">
      <c r="A156" t="s">
        <v>2697</v>
      </c>
      <c r="B156" t="s">
        <v>856</v>
      </c>
      <c r="C156" t="s">
        <v>325</v>
      </c>
      <c r="D156" t="s">
        <v>326</v>
      </c>
      <c r="F156" t="s">
        <v>857</v>
      </c>
      <c r="H156" t="s">
        <v>374</v>
      </c>
      <c r="J156">
        <v>2018</v>
      </c>
      <c r="K156" t="s">
        <v>666</v>
      </c>
      <c r="L156">
        <v>43446</v>
      </c>
      <c r="N156" t="s">
        <v>243</v>
      </c>
      <c r="P156" t="s">
        <v>858</v>
      </c>
    </row>
    <row r="157" spans="1:16" x14ac:dyDescent="0.15">
      <c r="A157" t="s">
        <v>2698</v>
      </c>
      <c r="B157" t="s">
        <v>859</v>
      </c>
      <c r="C157" t="s">
        <v>325</v>
      </c>
      <c r="D157" t="s">
        <v>377</v>
      </c>
      <c r="E157" t="s">
        <v>372</v>
      </c>
      <c r="F157" t="s">
        <v>860</v>
      </c>
      <c r="H157" t="s">
        <v>861</v>
      </c>
      <c r="J157">
        <v>2018</v>
      </c>
      <c r="K157" t="s">
        <v>458</v>
      </c>
      <c r="L157">
        <v>43271</v>
      </c>
      <c r="M157" t="s">
        <v>862</v>
      </c>
      <c r="N157" t="s">
        <v>336</v>
      </c>
      <c r="O157" t="s">
        <v>331</v>
      </c>
      <c r="P157" t="s">
        <v>863</v>
      </c>
    </row>
    <row r="158" spans="1:16" x14ac:dyDescent="0.15">
      <c r="A158" t="s">
        <v>2699</v>
      </c>
      <c r="B158" t="s">
        <v>864</v>
      </c>
      <c r="C158" t="s">
        <v>325</v>
      </c>
      <c r="D158" t="s">
        <v>567</v>
      </c>
      <c r="H158" t="s">
        <v>341</v>
      </c>
      <c r="J158">
        <v>2018</v>
      </c>
      <c r="K158" t="s">
        <v>458</v>
      </c>
      <c r="L158">
        <v>43355</v>
      </c>
      <c r="M158" t="s">
        <v>865</v>
      </c>
      <c r="N158" t="s">
        <v>336</v>
      </c>
      <c r="O158" t="s">
        <v>331</v>
      </c>
      <c r="P158" t="s">
        <v>866</v>
      </c>
    </row>
    <row r="159" spans="1:16" x14ac:dyDescent="0.15">
      <c r="A159" t="s">
        <v>2699</v>
      </c>
      <c r="B159" t="s">
        <v>867</v>
      </c>
      <c r="C159" t="s">
        <v>325</v>
      </c>
      <c r="D159" t="s">
        <v>567</v>
      </c>
      <c r="G159" t="s">
        <v>868</v>
      </c>
      <c r="H159" t="s">
        <v>341</v>
      </c>
      <c r="J159">
        <v>2018</v>
      </c>
      <c r="K159" t="s">
        <v>458</v>
      </c>
      <c r="L159">
        <v>43335</v>
      </c>
      <c r="N159" t="s">
        <v>243</v>
      </c>
      <c r="O159" t="s">
        <v>331</v>
      </c>
      <c r="P159" t="s">
        <v>866</v>
      </c>
    </row>
    <row r="160" spans="1:16" x14ac:dyDescent="0.15">
      <c r="A160" t="s">
        <v>2700</v>
      </c>
      <c r="B160" t="s">
        <v>869</v>
      </c>
      <c r="C160" t="s">
        <v>325</v>
      </c>
      <c r="D160" t="s">
        <v>483</v>
      </c>
      <c r="F160" t="s">
        <v>484</v>
      </c>
      <c r="H160" t="s">
        <v>485</v>
      </c>
      <c r="J160">
        <v>2018</v>
      </c>
      <c r="K160" t="s">
        <v>443</v>
      </c>
      <c r="L160">
        <v>43320</v>
      </c>
      <c r="M160" t="s">
        <v>870</v>
      </c>
      <c r="N160" t="s">
        <v>243</v>
      </c>
      <c r="O160" t="s">
        <v>331</v>
      </c>
      <c r="P160" t="s">
        <v>871</v>
      </c>
    </row>
    <row r="161" spans="1:16" x14ac:dyDescent="0.15">
      <c r="A161" t="s">
        <v>2701</v>
      </c>
      <c r="B161" t="s">
        <v>872</v>
      </c>
      <c r="C161" t="s">
        <v>325</v>
      </c>
      <c r="D161" t="s">
        <v>761</v>
      </c>
      <c r="E161" t="s">
        <v>372</v>
      </c>
      <c r="F161" t="s">
        <v>873</v>
      </c>
      <c r="G161" t="s">
        <v>763</v>
      </c>
      <c r="H161" t="s">
        <v>874</v>
      </c>
      <c r="J161">
        <v>2018</v>
      </c>
      <c r="K161" t="s">
        <v>408</v>
      </c>
      <c r="L161">
        <v>43496</v>
      </c>
      <c r="N161" t="s">
        <v>243</v>
      </c>
      <c r="O161" t="s">
        <v>331</v>
      </c>
      <c r="P161" t="s">
        <v>875</v>
      </c>
    </row>
    <row r="162" spans="1:16" x14ac:dyDescent="0.15">
      <c r="A162" t="s">
        <v>2702</v>
      </c>
      <c r="B162" t="s">
        <v>876</v>
      </c>
      <c r="C162" t="s">
        <v>325</v>
      </c>
      <c r="D162" t="s">
        <v>372</v>
      </c>
      <c r="E162" t="s">
        <v>372</v>
      </c>
      <c r="F162" t="s">
        <v>509</v>
      </c>
      <c r="G162" t="s">
        <v>877</v>
      </c>
      <c r="H162" t="s">
        <v>374</v>
      </c>
      <c r="J162">
        <v>2018</v>
      </c>
      <c r="K162" t="s">
        <v>330</v>
      </c>
      <c r="L162">
        <v>43311</v>
      </c>
      <c r="N162" t="s">
        <v>243</v>
      </c>
      <c r="O162" t="s">
        <v>331</v>
      </c>
      <c r="P162" t="s">
        <v>878</v>
      </c>
    </row>
    <row r="163" spans="1:16" x14ac:dyDescent="0.15">
      <c r="A163" t="s">
        <v>2702</v>
      </c>
      <c r="B163" t="s">
        <v>879</v>
      </c>
      <c r="C163" t="s">
        <v>325</v>
      </c>
      <c r="D163" t="s">
        <v>372</v>
      </c>
      <c r="E163" t="s">
        <v>372</v>
      </c>
      <c r="F163" t="s">
        <v>509</v>
      </c>
      <c r="G163" t="s">
        <v>880</v>
      </c>
      <c r="H163" t="s">
        <v>374</v>
      </c>
      <c r="J163">
        <v>2018</v>
      </c>
      <c r="K163" t="s">
        <v>330</v>
      </c>
      <c r="L163">
        <v>43318</v>
      </c>
      <c r="N163" t="s">
        <v>243</v>
      </c>
      <c r="O163" t="s">
        <v>881</v>
      </c>
      <c r="P163" t="s">
        <v>878</v>
      </c>
    </row>
    <row r="164" spans="1:16" x14ac:dyDescent="0.15">
      <c r="A164" t="s">
        <v>2702</v>
      </c>
      <c r="B164" t="s">
        <v>882</v>
      </c>
      <c r="C164" t="s">
        <v>325</v>
      </c>
      <c r="D164" t="s">
        <v>372</v>
      </c>
      <c r="E164" t="s">
        <v>372</v>
      </c>
      <c r="F164" t="s">
        <v>509</v>
      </c>
      <c r="G164" t="s">
        <v>883</v>
      </c>
      <c r="H164" t="s">
        <v>374</v>
      </c>
      <c r="J164">
        <v>2018</v>
      </c>
      <c r="K164" t="s">
        <v>330</v>
      </c>
      <c r="L164">
        <v>43287</v>
      </c>
      <c r="N164" t="s">
        <v>336</v>
      </c>
      <c r="O164" t="s">
        <v>884</v>
      </c>
      <c r="P164" t="s">
        <v>878</v>
      </c>
    </row>
    <row r="165" spans="1:16" x14ac:dyDescent="0.15">
      <c r="A165" t="s">
        <v>2703</v>
      </c>
      <c r="B165" t="s">
        <v>885</v>
      </c>
      <c r="C165" t="s">
        <v>325</v>
      </c>
      <c r="D165" t="s">
        <v>483</v>
      </c>
      <c r="F165" t="s">
        <v>693</v>
      </c>
      <c r="G165" t="s">
        <v>886</v>
      </c>
      <c r="H165" t="s">
        <v>388</v>
      </c>
      <c r="J165">
        <v>2018</v>
      </c>
      <c r="K165" t="s">
        <v>458</v>
      </c>
      <c r="L165">
        <v>43357</v>
      </c>
      <c r="N165" t="s">
        <v>243</v>
      </c>
      <c r="O165" t="s">
        <v>331</v>
      </c>
      <c r="P165" t="s">
        <v>887</v>
      </c>
    </row>
    <row r="166" spans="1:16" x14ac:dyDescent="0.15">
      <c r="A166" t="s">
        <v>2704</v>
      </c>
      <c r="B166" t="s">
        <v>597</v>
      </c>
      <c r="C166" t="s">
        <v>325</v>
      </c>
      <c r="D166" t="s">
        <v>404</v>
      </c>
      <c r="E166" t="s">
        <v>593</v>
      </c>
      <c r="F166" t="s">
        <v>888</v>
      </c>
      <c r="H166" t="s">
        <v>388</v>
      </c>
      <c r="J166">
        <v>2018</v>
      </c>
      <c r="K166" t="s">
        <v>408</v>
      </c>
      <c r="L166">
        <v>43190</v>
      </c>
      <c r="N166" t="s">
        <v>597</v>
      </c>
      <c r="O166" t="s">
        <v>331</v>
      </c>
      <c r="P166" t="s">
        <v>889</v>
      </c>
    </row>
    <row r="167" spans="1:16" x14ac:dyDescent="0.15">
      <c r="A167" t="s">
        <v>2705</v>
      </c>
      <c r="B167" t="s">
        <v>890</v>
      </c>
      <c r="C167" t="s">
        <v>325</v>
      </c>
      <c r="D167" t="s">
        <v>483</v>
      </c>
      <c r="F167" t="s">
        <v>891</v>
      </c>
      <c r="H167" t="s">
        <v>329</v>
      </c>
      <c r="J167">
        <v>2018</v>
      </c>
      <c r="K167" t="s">
        <v>458</v>
      </c>
      <c r="L167" t="s">
        <v>892</v>
      </c>
      <c r="N167" t="s">
        <v>243</v>
      </c>
      <c r="P167" t="s">
        <v>893</v>
      </c>
    </row>
    <row r="168" spans="1:16" x14ac:dyDescent="0.15">
      <c r="A168" t="s">
        <v>2706</v>
      </c>
      <c r="B168" t="s">
        <v>894</v>
      </c>
      <c r="C168" t="s">
        <v>325</v>
      </c>
      <c r="D168" t="s">
        <v>345</v>
      </c>
      <c r="E168" t="s">
        <v>738</v>
      </c>
      <c r="F168" t="s">
        <v>895</v>
      </c>
      <c r="H168" t="s">
        <v>578</v>
      </c>
      <c r="J168">
        <v>2018</v>
      </c>
      <c r="K168" t="s">
        <v>443</v>
      </c>
      <c r="L168">
        <v>43570</v>
      </c>
      <c r="N168" t="s">
        <v>243</v>
      </c>
      <c r="O168" t="s">
        <v>331</v>
      </c>
      <c r="P168" t="s">
        <v>896</v>
      </c>
    </row>
    <row r="169" spans="1:16" x14ac:dyDescent="0.15">
      <c r="A169" t="s">
        <v>2707</v>
      </c>
      <c r="B169" t="s">
        <v>597</v>
      </c>
      <c r="C169" t="s">
        <v>325</v>
      </c>
      <c r="D169" t="s">
        <v>404</v>
      </c>
      <c r="E169" t="s">
        <v>675</v>
      </c>
      <c r="F169" t="s">
        <v>897</v>
      </c>
      <c r="H169" t="s">
        <v>411</v>
      </c>
      <c r="J169">
        <v>2018</v>
      </c>
      <c r="K169" t="s">
        <v>408</v>
      </c>
      <c r="L169">
        <v>43466</v>
      </c>
      <c r="N169" t="s">
        <v>243</v>
      </c>
      <c r="O169" t="s">
        <v>331</v>
      </c>
      <c r="P169" t="s">
        <v>898</v>
      </c>
    </row>
    <row r="170" spans="1:16" x14ac:dyDescent="0.15">
      <c r="A170" t="s">
        <v>2708</v>
      </c>
      <c r="B170" t="s">
        <v>899</v>
      </c>
      <c r="C170" t="s">
        <v>325</v>
      </c>
      <c r="D170" t="s">
        <v>528</v>
      </c>
      <c r="E170" t="s">
        <v>524</v>
      </c>
      <c r="F170" t="s">
        <v>533</v>
      </c>
      <c r="G170" t="s">
        <v>900</v>
      </c>
      <c r="H170" t="s">
        <v>374</v>
      </c>
      <c r="J170">
        <v>2018</v>
      </c>
      <c r="K170" t="s">
        <v>443</v>
      </c>
      <c r="L170">
        <v>43480</v>
      </c>
      <c r="N170" t="s">
        <v>243</v>
      </c>
      <c r="O170" t="s">
        <v>331</v>
      </c>
      <c r="P170" t="s">
        <v>901</v>
      </c>
    </row>
    <row r="171" spans="1:16" x14ac:dyDescent="0.15">
      <c r="A171" t="s">
        <v>2709</v>
      </c>
      <c r="B171" t="s">
        <v>902</v>
      </c>
      <c r="C171" t="s">
        <v>325</v>
      </c>
      <c r="D171" t="s">
        <v>857</v>
      </c>
      <c r="F171" t="s">
        <v>857</v>
      </c>
      <c r="G171" t="s">
        <v>903</v>
      </c>
      <c r="H171" t="s">
        <v>374</v>
      </c>
      <c r="J171">
        <v>2018</v>
      </c>
      <c r="K171" t="s">
        <v>666</v>
      </c>
      <c r="L171">
        <v>43495</v>
      </c>
      <c r="N171" t="s">
        <v>243</v>
      </c>
      <c r="P171" t="s">
        <v>904</v>
      </c>
    </row>
    <row r="172" spans="1:16" x14ac:dyDescent="0.15">
      <c r="A172" t="s">
        <v>2710</v>
      </c>
      <c r="B172" t="s">
        <v>905</v>
      </c>
      <c r="C172" t="s">
        <v>325</v>
      </c>
      <c r="D172" t="s">
        <v>906</v>
      </c>
      <c r="F172" t="s">
        <v>907</v>
      </c>
      <c r="G172" t="s">
        <v>908</v>
      </c>
      <c r="H172" t="s">
        <v>680</v>
      </c>
      <c r="J172">
        <v>2018</v>
      </c>
      <c r="K172" t="s">
        <v>330</v>
      </c>
      <c r="L172">
        <v>43524</v>
      </c>
      <c r="N172" t="s">
        <v>243</v>
      </c>
      <c r="P172" t="s">
        <v>909</v>
      </c>
    </row>
    <row r="173" spans="1:16" x14ac:dyDescent="0.15">
      <c r="A173" t="s">
        <v>2711</v>
      </c>
      <c r="B173" t="s">
        <v>910</v>
      </c>
      <c r="C173" t="s">
        <v>325</v>
      </c>
      <c r="D173" t="s">
        <v>593</v>
      </c>
      <c r="F173" t="s">
        <v>911</v>
      </c>
      <c r="G173" t="s">
        <v>912</v>
      </c>
      <c r="H173" t="s">
        <v>347</v>
      </c>
      <c r="J173">
        <v>2018</v>
      </c>
      <c r="K173" t="s">
        <v>408</v>
      </c>
      <c r="L173">
        <v>43378</v>
      </c>
      <c r="N173" t="s">
        <v>336</v>
      </c>
      <c r="O173" t="s">
        <v>331</v>
      </c>
      <c r="P173" t="s">
        <v>913</v>
      </c>
    </row>
    <row r="174" spans="1:16" x14ac:dyDescent="0.15">
      <c r="A174" t="s">
        <v>2712</v>
      </c>
      <c r="B174" t="s">
        <v>914</v>
      </c>
      <c r="C174" t="s">
        <v>325</v>
      </c>
      <c r="D174" t="s">
        <v>915</v>
      </c>
      <c r="E174" t="s">
        <v>916</v>
      </c>
      <c r="F174" t="s">
        <v>917</v>
      </c>
      <c r="H174" t="s">
        <v>499</v>
      </c>
      <c r="J174">
        <v>2018</v>
      </c>
      <c r="K174" t="s">
        <v>666</v>
      </c>
      <c r="L174">
        <v>43447</v>
      </c>
      <c r="N174" t="s">
        <v>243</v>
      </c>
      <c r="P174" t="s">
        <v>918</v>
      </c>
    </row>
    <row r="175" spans="1:16" x14ac:dyDescent="0.15">
      <c r="A175" t="s">
        <v>2712</v>
      </c>
      <c r="B175" t="s">
        <v>919</v>
      </c>
      <c r="C175" t="s">
        <v>325</v>
      </c>
      <c r="D175" t="s">
        <v>915</v>
      </c>
      <c r="E175" t="s">
        <v>916</v>
      </c>
      <c r="F175" t="s">
        <v>917</v>
      </c>
      <c r="H175" t="s">
        <v>499</v>
      </c>
      <c r="J175">
        <v>2018</v>
      </c>
      <c r="K175" t="s">
        <v>666</v>
      </c>
      <c r="L175">
        <v>43137</v>
      </c>
      <c r="N175" t="s">
        <v>243</v>
      </c>
      <c r="P175" t="s">
        <v>918</v>
      </c>
    </row>
    <row r="176" spans="1:16" x14ac:dyDescent="0.15">
      <c r="A176" t="s">
        <v>2713</v>
      </c>
      <c r="B176" t="s">
        <v>920</v>
      </c>
      <c r="C176" t="s">
        <v>325</v>
      </c>
      <c r="D176" t="s">
        <v>921</v>
      </c>
      <c r="F176" t="s">
        <v>922</v>
      </c>
      <c r="G176" t="s">
        <v>923</v>
      </c>
      <c r="H176" t="s">
        <v>554</v>
      </c>
      <c r="J176">
        <v>2018</v>
      </c>
      <c r="K176" t="s">
        <v>458</v>
      </c>
      <c r="L176">
        <v>43402</v>
      </c>
      <c r="N176" t="s">
        <v>243</v>
      </c>
      <c r="P176" t="s">
        <v>924</v>
      </c>
    </row>
    <row r="177" spans="1:16" x14ac:dyDescent="0.15">
      <c r="A177" t="s">
        <v>2714</v>
      </c>
      <c r="B177" t="s">
        <v>925</v>
      </c>
      <c r="C177" t="s">
        <v>325</v>
      </c>
      <c r="D177" t="s">
        <v>326</v>
      </c>
      <c r="E177" t="s">
        <v>738</v>
      </c>
      <c r="F177" t="s">
        <v>895</v>
      </c>
      <c r="H177" t="s">
        <v>578</v>
      </c>
      <c r="J177">
        <v>2018</v>
      </c>
      <c r="K177" t="s">
        <v>666</v>
      </c>
      <c r="L177">
        <v>43565</v>
      </c>
      <c r="N177" t="s">
        <v>243</v>
      </c>
      <c r="P177" t="s">
        <v>926</v>
      </c>
    </row>
    <row r="178" spans="1:16" x14ac:dyDescent="0.15">
      <c r="A178" t="s">
        <v>2715</v>
      </c>
      <c r="B178" t="s">
        <v>927</v>
      </c>
      <c r="C178" t="s">
        <v>325</v>
      </c>
      <c r="D178" t="s">
        <v>326</v>
      </c>
      <c r="E178" t="s">
        <v>372</v>
      </c>
      <c r="F178" t="s">
        <v>928</v>
      </c>
      <c r="G178" t="s">
        <v>929</v>
      </c>
      <c r="H178" t="s">
        <v>620</v>
      </c>
      <c r="J178">
        <v>2018</v>
      </c>
      <c r="K178" t="s">
        <v>930</v>
      </c>
      <c r="L178">
        <v>43538</v>
      </c>
      <c r="N178" t="s">
        <v>243</v>
      </c>
      <c r="O178" t="s">
        <v>331</v>
      </c>
      <c r="P178" t="s">
        <v>931</v>
      </c>
    </row>
    <row r="179" spans="1:16" x14ac:dyDescent="0.15">
      <c r="A179" t="s">
        <v>2715</v>
      </c>
      <c r="B179" t="s">
        <v>932</v>
      </c>
      <c r="C179" t="s">
        <v>325</v>
      </c>
      <c r="D179" t="s">
        <v>326</v>
      </c>
      <c r="E179" t="s">
        <v>372</v>
      </c>
      <c r="F179" t="s">
        <v>928</v>
      </c>
      <c r="G179" t="s">
        <v>933</v>
      </c>
      <c r="H179" t="s">
        <v>620</v>
      </c>
      <c r="J179">
        <v>2018</v>
      </c>
      <c r="K179" t="s">
        <v>330</v>
      </c>
      <c r="L179">
        <v>43591</v>
      </c>
      <c r="N179" t="s">
        <v>243</v>
      </c>
      <c r="P179" t="s">
        <v>931</v>
      </c>
    </row>
    <row r="180" spans="1:16" x14ac:dyDescent="0.15">
      <c r="A180" t="s">
        <v>2715</v>
      </c>
      <c r="B180" t="s">
        <v>934</v>
      </c>
      <c r="C180" t="s">
        <v>325</v>
      </c>
      <c r="D180" t="s">
        <v>326</v>
      </c>
      <c r="E180" t="s">
        <v>372</v>
      </c>
      <c r="F180" t="s">
        <v>928</v>
      </c>
      <c r="H180" t="s">
        <v>620</v>
      </c>
      <c r="J180">
        <v>2019</v>
      </c>
      <c r="K180" t="s">
        <v>330</v>
      </c>
      <c r="L180">
        <v>43644</v>
      </c>
      <c r="N180" t="s">
        <v>243</v>
      </c>
      <c r="P180" t="s">
        <v>935</v>
      </c>
    </row>
    <row r="181" spans="1:16" x14ac:dyDescent="0.15">
      <c r="A181" t="s">
        <v>2715</v>
      </c>
      <c r="B181" t="s">
        <v>936</v>
      </c>
      <c r="C181" t="s">
        <v>325</v>
      </c>
      <c r="D181" t="s">
        <v>326</v>
      </c>
      <c r="E181" t="s">
        <v>372</v>
      </c>
      <c r="F181" t="s">
        <v>928</v>
      </c>
      <c r="H181" t="s">
        <v>620</v>
      </c>
      <c r="J181">
        <v>2019</v>
      </c>
      <c r="K181" t="s">
        <v>521</v>
      </c>
      <c r="L181">
        <v>43725</v>
      </c>
      <c r="N181" t="s">
        <v>243</v>
      </c>
      <c r="P181" t="s">
        <v>935</v>
      </c>
    </row>
    <row r="182" spans="1:16" x14ac:dyDescent="0.15">
      <c r="A182" t="s">
        <v>2716</v>
      </c>
      <c r="B182" t="s">
        <v>937</v>
      </c>
      <c r="C182" t="s">
        <v>325</v>
      </c>
      <c r="D182" t="s">
        <v>345</v>
      </c>
      <c r="E182" t="s">
        <v>938</v>
      </c>
      <c r="F182" t="s">
        <v>939</v>
      </c>
      <c r="H182" t="s">
        <v>368</v>
      </c>
      <c r="J182">
        <v>2018</v>
      </c>
      <c r="K182" t="s">
        <v>408</v>
      </c>
      <c r="L182">
        <v>43524</v>
      </c>
      <c r="N182" t="s">
        <v>243</v>
      </c>
      <c r="O182" t="s">
        <v>331</v>
      </c>
      <c r="P182" t="s">
        <v>940</v>
      </c>
    </row>
    <row r="183" spans="1:16" x14ac:dyDescent="0.15">
      <c r="A183" t="s">
        <v>2717</v>
      </c>
      <c r="B183" t="s">
        <v>941</v>
      </c>
      <c r="C183" t="s">
        <v>325</v>
      </c>
      <c r="D183" t="s">
        <v>942</v>
      </c>
      <c r="F183" t="s">
        <v>538</v>
      </c>
      <c r="H183" t="s">
        <v>388</v>
      </c>
      <c r="J183">
        <v>2018</v>
      </c>
      <c r="K183" t="s">
        <v>330</v>
      </c>
      <c r="L183">
        <v>43448</v>
      </c>
      <c r="N183" t="s">
        <v>943</v>
      </c>
      <c r="P183" t="s">
        <v>944</v>
      </c>
    </row>
    <row r="184" spans="1:16" x14ac:dyDescent="0.15">
      <c r="A184" t="s">
        <v>2717</v>
      </c>
      <c r="B184" t="s">
        <v>945</v>
      </c>
      <c r="C184" t="s">
        <v>325</v>
      </c>
      <c r="D184" t="s">
        <v>946</v>
      </c>
      <c r="E184" t="s">
        <v>942</v>
      </c>
      <c r="F184" t="s">
        <v>538</v>
      </c>
      <c r="G184" t="s">
        <v>947</v>
      </c>
      <c r="H184" t="s">
        <v>388</v>
      </c>
      <c r="J184">
        <v>2019</v>
      </c>
      <c r="K184" t="s">
        <v>458</v>
      </c>
      <c r="L184">
        <v>43707</v>
      </c>
      <c r="N184" t="s">
        <v>243</v>
      </c>
      <c r="O184" t="s">
        <v>948</v>
      </c>
      <c r="P184" t="s">
        <v>949</v>
      </c>
    </row>
    <row r="185" spans="1:16" x14ac:dyDescent="0.15">
      <c r="A185" t="s">
        <v>2717</v>
      </c>
      <c r="B185" t="s">
        <v>950</v>
      </c>
      <c r="C185" t="s">
        <v>325</v>
      </c>
      <c r="D185" t="s">
        <v>946</v>
      </c>
      <c r="E185" t="s">
        <v>942</v>
      </c>
      <c r="F185" t="s">
        <v>538</v>
      </c>
      <c r="G185" t="s">
        <v>951</v>
      </c>
      <c r="H185" t="s">
        <v>388</v>
      </c>
      <c r="J185">
        <v>2019</v>
      </c>
      <c r="K185" t="s">
        <v>458</v>
      </c>
      <c r="L185">
        <v>43710</v>
      </c>
      <c r="N185" t="s">
        <v>243</v>
      </c>
      <c r="P185" t="s">
        <v>949</v>
      </c>
    </row>
    <row r="186" spans="1:16" x14ac:dyDescent="0.15">
      <c r="A186" t="s">
        <v>2718</v>
      </c>
      <c r="B186" t="s">
        <v>952</v>
      </c>
      <c r="C186" t="s">
        <v>325</v>
      </c>
      <c r="D186" t="s">
        <v>953</v>
      </c>
      <c r="F186" t="s">
        <v>954</v>
      </c>
      <c r="H186" t="s">
        <v>485</v>
      </c>
      <c r="J186">
        <v>2018</v>
      </c>
      <c r="K186" t="s">
        <v>443</v>
      </c>
      <c r="L186">
        <v>43542</v>
      </c>
      <c r="N186" t="s">
        <v>243</v>
      </c>
      <c r="O186" t="s">
        <v>331</v>
      </c>
      <c r="P186" t="s">
        <v>955</v>
      </c>
    </row>
    <row r="187" spans="1:16" x14ac:dyDescent="0.15">
      <c r="A187" t="s">
        <v>2719</v>
      </c>
      <c r="B187" t="s">
        <v>956</v>
      </c>
      <c r="C187" t="s">
        <v>325</v>
      </c>
      <c r="D187" t="s">
        <v>377</v>
      </c>
      <c r="E187" t="s">
        <v>372</v>
      </c>
      <c r="F187" t="s">
        <v>435</v>
      </c>
      <c r="G187" t="s">
        <v>957</v>
      </c>
      <c r="H187" t="s">
        <v>436</v>
      </c>
      <c r="J187">
        <v>2018</v>
      </c>
      <c r="K187" t="s">
        <v>521</v>
      </c>
      <c r="L187">
        <v>43396</v>
      </c>
      <c r="N187" t="s">
        <v>243</v>
      </c>
      <c r="P187" t="s">
        <v>958</v>
      </c>
    </row>
    <row r="188" spans="1:16" x14ac:dyDescent="0.15">
      <c r="A188" t="s">
        <v>2720</v>
      </c>
      <c r="B188" t="s">
        <v>597</v>
      </c>
      <c r="C188" t="s">
        <v>325</v>
      </c>
      <c r="D188" t="s">
        <v>404</v>
      </c>
      <c r="E188" t="s">
        <v>675</v>
      </c>
      <c r="F188" t="s">
        <v>897</v>
      </c>
      <c r="G188" t="s">
        <v>959</v>
      </c>
      <c r="H188" t="s">
        <v>411</v>
      </c>
      <c r="J188">
        <v>2018</v>
      </c>
      <c r="K188" t="s">
        <v>408</v>
      </c>
      <c r="L188">
        <v>43496</v>
      </c>
      <c r="N188" t="s">
        <v>597</v>
      </c>
      <c r="O188" t="s">
        <v>331</v>
      </c>
      <c r="P188" t="s">
        <v>960</v>
      </c>
    </row>
    <row r="189" spans="1:16" x14ac:dyDescent="0.15">
      <c r="A189" t="s">
        <v>2721</v>
      </c>
      <c r="B189" t="s">
        <v>961</v>
      </c>
      <c r="C189" t="s">
        <v>325</v>
      </c>
      <c r="D189" t="s">
        <v>405</v>
      </c>
      <c r="F189" t="s">
        <v>354</v>
      </c>
      <c r="G189" t="s">
        <v>962</v>
      </c>
      <c r="H189" t="s">
        <v>407</v>
      </c>
      <c r="J189">
        <v>2018</v>
      </c>
      <c r="K189" t="s">
        <v>408</v>
      </c>
      <c r="L189">
        <v>43437</v>
      </c>
      <c r="N189" t="s">
        <v>243</v>
      </c>
      <c r="O189" t="s">
        <v>331</v>
      </c>
      <c r="P189" t="s">
        <v>963</v>
      </c>
    </row>
    <row r="190" spans="1:16" x14ac:dyDescent="0.15">
      <c r="A190" t="s">
        <v>2722</v>
      </c>
      <c r="B190" t="s">
        <v>964</v>
      </c>
      <c r="C190" t="s">
        <v>325</v>
      </c>
      <c r="D190" t="s">
        <v>593</v>
      </c>
      <c r="E190" t="s">
        <v>365</v>
      </c>
      <c r="F190" t="s">
        <v>965</v>
      </c>
      <c r="G190" t="s">
        <v>966</v>
      </c>
      <c r="J190">
        <v>2018</v>
      </c>
      <c r="K190" t="s">
        <v>443</v>
      </c>
      <c r="L190">
        <v>43585</v>
      </c>
      <c r="N190" t="s">
        <v>243</v>
      </c>
      <c r="O190" t="s">
        <v>331</v>
      </c>
      <c r="P190" t="s">
        <v>967</v>
      </c>
    </row>
    <row r="191" spans="1:16" x14ac:dyDescent="0.15">
      <c r="A191" t="s">
        <v>2722</v>
      </c>
      <c r="B191" t="s">
        <v>968</v>
      </c>
      <c r="C191" t="s">
        <v>325</v>
      </c>
      <c r="D191" t="s">
        <v>593</v>
      </c>
      <c r="E191" t="s">
        <v>365</v>
      </c>
      <c r="F191" t="s">
        <v>965</v>
      </c>
      <c r="G191" t="s">
        <v>969</v>
      </c>
      <c r="J191">
        <v>2018</v>
      </c>
      <c r="K191" t="s">
        <v>443</v>
      </c>
      <c r="L191">
        <v>43444</v>
      </c>
      <c r="N191" t="s">
        <v>336</v>
      </c>
      <c r="O191" t="s">
        <v>331</v>
      </c>
      <c r="P191" t="s">
        <v>967</v>
      </c>
    </row>
    <row r="192" spans="1:16" x14ac:dyDescent="0.15">
      <c r="A192" t="s">
        <v>2723</v>
      </c>
      <c r="B192" t="s">
        <v>919</v>
      </c>
      <c r="C192" t="s">
        <v>325</v>
      </c>
      <c r="D192" t="s">
        <v>731</v>
      </c>
      <c r="E192" t="s">
        <v>970</v>
      </c>
      <c r="F192" t="s">
        <v>971</v>
      </c>
      <c r="G192" t="s">
        <v>971</v>
      </c>
      <c r="H192" t="s">
        <v>499</v>
      </c>
      <c r="J192">
        <v>2018</v>
      </c>
      <c r="K192" t="s">
        <v>443</v>
      </c>
      <c r="L192">
        <v>43539</v>
      </c>
      <c r="N192" t="s">
        <v>243</v>
      </c>
      <c r="O192" t="s">
        <v>331</v>
      </c>
      <c r="P192" t="s">
        <v>972</v>
      </c>
    </row>
    <row r="193" spans="1:16" x14ac:dyDescent="0.15">
      <c r="A193" t="s">
        <v>2724</v>
      </c>
      <c r="B193" t="s">
        <v>973</v>
      </c>
      <c r="C193" t="s">
        <v>325</v>
      </c>
      <c r="D193" t="s">
        <v>415</v>
      </c>
      <c r="F193" t="s">
        <v>974</v>
      </c>
      <c r="H193" t="s">
        <v>431</v>
      </c>
      <c r="J193">
        <v>2018</v>
      </c>
      <c r="K193" t="s">
        <v>408</v>
      </c>
      <c r="L193">
        <v>43508</v>
      </c>
      <c r="N193" t="s">
        <v>243</v>
      </c>
      <c r="O193" t="s">
        <v>331</v>
      </c>
      <c r="P193" t="s">
        <v>975</v>
      </c>
    </row>
    <row r="194" spans="1:16" x14ac:dyDescent="0.15">
      <c r="A194" t="s">
        <v>2724</v>
      </c>
      <c r="B194" t="s">
        <v>976</v>
      </c>
      <c r="C194" t="s">
        <v>325</v>
      </c>
      <c r="D194" t="s">
        <v>415</v>
      </c>
      <c r="F194" t="s">
        <v>974</v>
      </c>
      <c r="H194" t="s">
        <v>431</v>
      </c>
      <c r="J194">
        <v>2018</v>
      </c>
      <c r="K194" t="s">
        <v>408</v>
      </c>
      <c r="L194">
        <v>43636</v>
      </c>
      <c r="N194" t="s">
        <v>243</v>
      </c>
      <c r="O194" t="s">
        <v>331</v>
      </c>
      <c r="P194" t="s">
        <v>975</v>
      </c>
    </row>
    <row r="195" spans="1:16" x14ac:dyDescent="0.15">
      <c r="A195" t="s">
        <v>2724</v>
      </c>
      <c r="B195" t="s">
        <v>977</v>
      </c>
      <c r="C195" t="s">
        <v>325</v>
      </c>
      <c r="D195" t="s">
        <v>415</v>
      </c>
      <c r="F195" t="s">
        <v>974</v>
      </c>
      <c r="H195" t="s">
        <v>431</v>
      </c>
      <c r="J195">
        <v>2019</v>
      </c>
      <c r="K195" t="s">
        <v>408</v>
      </c>
      <c r="L195">
        <v>43668</v>
      </c>
      <c r="N195" t="s">
        <v>243</v>
      </c>
      <c r="O195" t="s">
        <v>331</v>
      </c>
      <c r="P195" t="s">
        <v>978</v>
      </c>
    </row>
    <row r="196" spans="1:16" x14ac:dyDescent="0.15">
      <c r="A196" t="s">
        <v>2725</v>
      </c>
      <c r="B196" t="s">
        <v>979</v>
      </c>
      <c r="C196" t="s">
        <v>325</v>
      </c>
      <c r="D196" t="s">
        <v>345</v>
      </c>
      <c r="F196" t="s">
        <v>980</v>
      </c>
      <c r="G196" t="s">
        <v>981</v>
      </c>
      <c r="H196" t="s">
        <v>485</v>
      </c>
      <c r="J196">
        <v>2018</v>
      </c>
      <c r="K196" t="s">
        <v>408</v>
      </c>
      <c r="L196">
        <v>43524</v>
      </c>
      <c r="N196" t="s">
        <v>243</v>
      </c>
      <c r="O196" t="s">
        <v>331</v>
      </c>
      <c r="P196" t="s">
        <v>982</v>
      </c>
    </row>
    <row r="197" spans="1:16" x14ac:dyDescent="0.15">
      <c r="A197" t="s">
        <v>2725</v>
      </c>
      <c r="B197" t="s">
        <v>983</v>
      </c>
      <c r="C197" t="s">
        <v>325</v>
      </c>
      <c r="D197" t="s">
        <v>345</v>
      </c>
      <c r="F197" t="s">
        <v>984</v>
      </c>
      <c r="G197" t="s">
        <v>985</v>
      </c>
      <c r="H197" t="s">
        <v>485</v>
      </c>
      <c r="J197">
        <v>2018</v>
      </c>
      <c r="K197" t="s">
        <v>408</v>
      </c>
      <c r="L197">
        <v>43524</v>
      </c>
      <c r="N197" t="s">
        <v>243</v>
      </c>
      <c r="O197" t="s">
        <v>331</v>
      </c>
      <c r="P197" t="s">
        <v>986</v>
      </c>
    </row>
    <row r="198" spans="1:16" x14ac:dyDescent="0.15">
      <c r="A198" t="s">
        <v>2726</v>
      </c>
      <c r="B198" t="s">
        <v>987</v>
      </c>
      <c r="C198" t="s">
        <v>325</v>
      </c>
      <c r="D198" t="s">
        <v>570</v>
      </c>
      <c r="F198" t="s">
        <v>988</v>
      </c>
      <c r="H198" t="s">
        <v>341</v>
      </c>
      <c r="J198">
        <v>2018</v>
      </c>
      <c r="K198" t="s">
        <v>408</v>
      </c>
      <c r="L198" t="s">
        <v>989</v>
      </c>
      <c r="N198" t="s">
        <v>243</v>
      </c>
      <c r="O198" t="s">
        <v>331</v>
      </c>
      <c r="P198" t="s">
        <v>990</v>
      </c>
    </row>
    <row r="199" spans="1:16" x14ac:dyDescent="0.15">
      <c r="A199" t="s">
        <v>2727</v>
      </c>
      <c r="B199" t="s">
        <v>991</v>
      </c>
      <c r="C199" t="s">
        <v>325</v>
      </c>
      <c r="D199" t="s">
        <v>326</v>
      </c>
      <c r="F199" t="s">
        <v>992</v>
      </c>
      <c r="H199" t="s">
        <v>993</v>
      </c>
      <c r="J199">
        <v>2018</v>
      </c>
      <c r="K199" t="s">
        <v>443</v>
      </c>
      <c r="L199">
        <v>43524</v>
      </c>
      <c r="N199" t="s">
        <v>243</v>
      </c>
      <c r="O199" t="s">
        <v>331</v>
      </c>
      <c r="P199" t="s">
        <v>994</v>
      </c>
    </row>
    <row r="200" spans="1:16" x14ac:dyDescent="0.15">
      <c r="A200" t="s">
        <v>2728</v>
      </c>
      <c r="B200" t="s">
        <v>995</v>
      </c>
      <c r="C200" t="s">
        <v>325</v>
      </c>
      <c r="D200" t="s">
        <v>377</v>
      </c>
      <c r="E200" t="s">
        <v>372</v>
      </c>
      <c r="F200" t="s">
        <v>873</v>
      </c>
      <c r="G200" t="s">
        <v>786</v>
      </c>
      <c r="H200" t="s">
        <v>874</v>
      </c>
      <c r="J200">
        <v>2018</v>
      </c>
      <c r="K200" t="s">
        <v>408</v>
      </c>
      <c r="L200">
        <v>43495</v>
      </c>
      <c r="N200" t="s">
        <v>243</v>
      </c>
      <c r="O200" t="s">
        <v>331</v>
      </c>
      <c r="P200" t="s">
        <v>996</v>
      </c>
    </row>
    <row r="201" spans="1:16" x14ac:dyDescent="0.15">
      <c r="A201" t="s">
        <v>2729</v>
      </c>
      <c r="B201" t="s">
        <v>997</v>
      </c>
      <c r="C201" t="s">
        <v>325</v>
      </c>
      <c r="D201" t="s">
        <v>570</v>
      </c>
      <c r="F201" t="s">
        <v>571</v>
      </c>
      <c r="H201" t="s">
        <v>341</v>
      </c>
      <c r="J201">
        <v>2018</v>
      </c>
      <c r="K201" t="s">
        <v>408</v>
      </c>
      <c r="L201" t="s">
        <v>998</v>
      </c>
      <c r="N201" t="s">
        <v>243</v>
      </c>
      <c r="O201" t="s">
        <v>331</v>
      </c>
      <c r="P201" t="s">
        <v>999</v>
      </c>
    </row>
    <row r="202" spans="1:16" x14ac:dyDescent="0.15">
      <c r="A202" t="s">
        <v>2729</v>
      </c>
      <c r="B202" t="s">
        <v>1000</v>
      </c>
      <c r="C202" t="s">
        <v>325</v>
      </c>
      <c r="D202" t="s">
        <v>570</v>
      </c>
      <c r="F202" t="s">
        <v>571</v>
      </c>
      <c r="H202" t="s">
        <v>341</v>
      </c>
      <c r="J202">
        <v>2018</v>
      </c>
      <c r="K202" t="s">
        <v>521</v>
      </c>
      <c r="L202">
        <v>43455</v>
      </c>
      <c r="N202" t="s">
        <v>336</v>
      </c>
      <c r="P202" t="s">
        <v>999</v>
      </c>
    </row>
    <row r="203" spans="1:16" x14ac:dyDescent="0.15">
      <c r="A203" t="s">
        <v>2730</v>
      </c>
      <c r="B203" t="s">
        <v>1001</v>
      </c>
      <c r="C203" t="s">
        <v>325</v>
      </c>
      <c r="D203" t="s">
        <v>1002</v>
      </c>
      <c r="F203" t="s">
        <v>860</v>
      </c>
      <c r="H203" t="s">
        <v>861</v>
      </c>
      <c r="J203">
        <v>2018</v>
      </c>
      <c r="K203" t="s">
        <v>408</v>
      </c>
      <c r="L203">
        <v>43524</v>
      </c>
      <c r="N203" t="s">
        <v>243</v>
      </c>
      <c r="O203" t="s">
        <v>331</v>
      </c>
      <c r="P203" t="s">
        <v>1003</v>
      </c>
    </row>
    <row r="204" spans="1:16" x14ac:dyDescent="0.15">
      <c r="A204" t="s">
        <v>2731</v>
      </c>
      <c r="B204" t="s">
        <v>1004</v>
      </c>
      <c r="C204" t="s">
        <v>325</v>
      </c>
      <c r="D204" t="s">
        <v>326</v>
      </c>
      <c r="F204" t="s">
        <v>1005</v>
      </c>
      <c r="G204" t="s">
        <v>1006</v>
      </c>
      <c r="H204" t="s">
        <v>993</v>
      </c>
      <c r="J204">
        <v>2018</v>
      </c>
      <c r="K204" t="s">
        <v>443</v>
      </c>
      <c r="L204">
        <v>43570</v>
      </c>
      <c r="N204" t="s">
        <v>243</v>
      </c>
      <c r="O204" t="s">
        <v>331</v>
      </c>
      <c r="P204" t="s">
        <v>1007</v>
      </c>
    </row>
    <row r="205" spans="1:16" x14ac:dyDescent="0.15">
      <c r="A205" t="s">
        <v>2731</v>
      </c>
      <c r="B205" t="s">
        <v>1008</v>
      </c>
      <c r="C205" t="s">
        <v>325</v>
      </c>
      <c r="D205" t="s">
        <v>326</v>
      </c>
      <c r="F205" t="s">
        <v>1005</v>
      </c>
      <c r="G205" t="s">
        <v>1009</v>
      </c>
      <c r="H205" t="s">
        <v>993</v>
      </c>
      <c r="J205">
        <v>2018</v>
      </c>
      <c r="K205" t="s">
        <v>443</v>
      </c>
      <c r="L205">
        <v>43585</v>
      </c>
      <c r="N205" t="s">
        <v>243</v>
      </c>
      <c r="O205" t="s">
        <v>331</v>
      </c>
      <c r="P205" t="s">
        <v>1007</v>
      </c>
    </row>
    <row r="206" spans="1:16" x14ac:dyDescent="0.15">
      <c r="A206" t="s">
        <v>2732</v>
      </c>
      <c r="B206" t="s">
        <v>1010</v>
      </c>
      <c r="C206" t="s">
        <v>325</v>
      </c>
      <c r="D206" t="s">
        <v>415</v>
      </c>
      <c r="E206" t="s">
        <v>327</v>
      </c>
      <c r="F206" t="s">
        <v>1011</v>
      </c>
      <c r="H206" t="s">
        <v>1012</v>
      </c>
      <c r="J206">
        <v>2018</v>
      </c>
      <c r="K206" t="s">
        <v>408</v>
      </c>
      <c r="L206">
        <v>43529</v>
      </c>
      <c r="N206" t="s">
        <v>243</v>
      </c>
      <c r="O206" t="s">
        <v>331</v>
      </c>
      <c r="P206" t="s">
        <v>1013</v>
      </c>
    </row>
    <row r="207" spans="1:16" x14ac:dyDescent="0.15">
      <c r="A207" t="s">
        <v>2733</v>
      </c>
      <c r="B207" t="s">
        <v>1014</v>
      </c>
      <c r="C207" t="s">
        <v>325</v>
      </c>
      <c r="D207" t="s">
        <v>361</v>
      </c>
      <c r="F207" t="s">
        <v>1015</v>
      </c>
      <c r="G207" t="s">
        <v>673</v>
      </c>
      <c r="H207" t="s">
        <v>578</v>
      </c>
      <c r="J207">
        <v>2018</v>
      </c>
      <c r="K207" t="s">
        <v>521</v>
      </c>
      <c r="L207">
        <v>43537</v>
      </c>
      <c r="N207" t="s">
        <v>243</v>
      </c>
      <c r="P207" t="s">
        <v>1016</v>
      </c>
    </row>
    <row r="208" spans="1:16" x14ac:dyDescent="0.15">
      <c r="A208" t="s">
        <v>2734</v>
      </c>
      <c r="B208" t="s">
        <v>1017</v>
      </c>
      <c r="C208" t="s">
        <v>325</v>
      </c>
      <c r="D208" t="s">
        <v>372</v>
      </c>
      <c r="F208" t="s">
        <v>1018</v>
      </c>
      <c r="H208" t="s">
        <v>374</v>
      </c>
      <c r="J208">
        <v>2018</v>
      </c>
      <c r="K208" t="s">
        <v>330</v>
      </c>
      <c r="L208">
        <v>43615</v>
      </c>
      <c r="N208" t="s">
        <v>243</v>
      </c>
      <c r="P208" t="s">
        <v>1019</v>
      </c>
    </row>
    <row r="209" spans="1:16" x14ac:dyDescent="0.15">
      <c r="A209" t="s">
        <v>2734</v>
      </c>
      <c r="B209" t="s">
        <v>1020</v>
      </c>
      <c r="C209" t="s">
        <v>325</v>
      </c>
      <c r="D209" t="s">
        <v>372</v>
      </c>
      <c r="F209" t="s">
        <v>1018</v>
      </c>
      <c r="K209" t="s">
        <v>330</v>
      </c>
      <c r="L209">
        <v>43661</v>
      </c>
      <c r="N209" t="s">
        <v>243</v>
      </c>
      <c r="P209" t="s">
        <v>1019</v>
      </c>
    </row>
    <row r="210" spans="1:16" x14ac:dyDescent="0.15">
      <c r="A210" t="s">
        <v>2734</v>
      </c>
      <c r="B210" t="s">
        <v>1021</v>
      </c>
      <c r="C210" t="s">
        <v>325</v>
      </c>
      <c r="D210" t="s">
        <v>377</v>
      </c>
      <c r="E210" t="s">
        <v>372</v>
      </c>
      <c r="F210" t="s">
        <v>1018</v>
      </c>
      <c r="H210" t="s">
        <v>374</v>
      </c>
      <c r="J210">
        <v>2019</v>
      </c>
      <c r="K210" t="s">
        <v>330</v>
      </c>
      <c r="L210">
        <v>43600</v>
      </c>
      <c r="N210" t="s">
        <v>243</v>
      </c>
      <c r="P210" t="s">
        <v>1019</v>
      </c>
    </row>
    <row r="211" spans="1:16" x14ac:dyDescent="0.15">
      <c r="A211" t="s">
        <v>2735</v>
      </c>
      <c r="B211" t="s">
        <v>1022</v>
      </c>
      <c r="C211" t="s">
        <v>325</v>
      </c>
      <c r="D211" t="s">
        <v>593</v>
      </c>
      <c r="F211" t="s">
        <v>594</v>
      </c>
      <c r="G211" t="s">
        <v>1023</v>
      </c>
      <c r="H211" t="s">
        <v>595</v>
      </c>
      <c r="J211">
        <v>2018</v>
      </c>
      <c r="K211" t="s">
        <v>408</v>
      </c>
      <c r="L211">
        <v>43600</v>
      </c>
      <c r="N211" t="s">
        <v>336</v>
      </c>
      <c r="O211" t="s">
        <v>331</v>
      </c>
      <c r="P211" t="s">
        <v>1024</v>
      </c>
    </row>
    <row r="212" spans="1:16" x14ac:dyDescent="0.15">
      <c r="A212" t="s">
        <v>2736</v>
      </c>
      <c r="B212" t="s">
        <v>1025</v>
      </c>
      <c r="C212" t="s">
        <v>325</v>
      </c>
      <c r="D212" t="s">
        <v>570</v>
      </c>
      <c r="F212" t="s">
        <v>988</v>
      </c>
      <c r="H212" t="s">
        <v>341</v>
      </c>
      <c r="J212">
        <v>2019</v>
      </c>
      <c r="K212" t="s">
        <v>521</v>
      </c>
      <c r="L212">
        <v>43528</v>
      </c>
      <c r="N212" t="s">
        <v>336</v>
      </c>
      <c r="O212" t="s">
        <v>331</v>
      </c>
      <c r="P212" t="s">
        <v>1026</v>
      </c>
    </row>
    <row r="213" spans="1:16" x14ac:dyDescent="0.15">
      <c r="A213" t="s">
        <v>2736</v>
      </c>
      <c r="B213" t="s">
        <v>1027</v>
      </c>
      <c r="C213" t="s">
        <v>325</v>
      </c>
      <c r="D213" t="s">
        <v>570</v>
      </c>
      <c r="F213" t="s">
        <v>988</v>
      </c>
      <c r="H213" t="s">
        <v>341</v>
      </c>
      <c r="J213">
        <v>2019</v>
      </c>
      <c r="K213" t="s">
        <v>521</v>
      </c>
      <c r="L213">
        <v>43668</v>
      </c>
      <c r="N213" t="s">
        <v>243</v>
      </c>
      <c r="P213" t="s">
        <v>1026</v>
      </c>
    </row>
    <row r="214" spans="1:16" x14ac:dyDescent="0.15">
      <c r="A214" t="s">
        <v>2737</v>
      </c>
      <c r="B214" t="s">
        <v>1028</v>
      </c>
      <c r="C214" t="s">
        <v>325</v>
      </c>
      <c r="D214" t="s">
        <v>372</v>
      </c>
      <c r="F214" t="s">
        <v>1029</v>
      </c>
      <c r="G214" t="s">
        <v>1030</v>
      </c>
      <c r="H214" t="s">
        <v>374</v>
      </c>
      <c r="J214">
        <v>2018</v>
      </c>
      <c r="K214" t="s">
        <v>521</v>
      </c>
      <c r="L214">
        <v>43529</v>
      </c>
      <c r="N214" t="s">
        <v>243</v>
      </c>
      <c r="O214" t="s">
        <v>331</v>
      </c>
      <c r="P214" t="s">
        <v>1031</v>
      </c>
    </row>
    <row r="215" spans="1:16" x14ac:dyDescent="0.15">
      <c r="A215" t="s">
        <v>2738</v>
      </c>
      <c r="B215" t="s">
        <v>1032</v>
      </c>
      <c r="C215" t="s">
        <v>325</v>
      </c>
      <c r="D215" t="s">
        <v>483</v>
      </c>
      <c r="F215" t="s">
        <v>1033</v>
      </c>
      <c r="G215" t="s">
        <v>1034</v>
      </c>
      <c r="H215" t="s">
        <v>436</v>
      </c>
      <c r="J215">
        <v>2019</v>
      </c>
      <c r="K215" t="s">
        <v>458</v>
      </c>
      <c r="L215">
        <v>43558</v>
      </c>
      <c r="N215" t="s">
        <v>243</v>
      </c>
      <c r="P215" t="s">
        <v>1035</v>
      </c>
    </row>
    <row r="216" spans="1:16" x14ac:dyDescent="0.15">
      <c r="A216" t="s">
        <v>2738</v>
      </c>
      <c r="B216" t="s">
        <v>1036</v>
      </c>
      <c r="C216" t="s">
        <v>325</v>
      </c>
      <c r="D216" t="s">
        <v>483</v>
      </c>
      <c r="F216" t="s">
        <v>1033</v>
      </c>
      <c r="G216" t="s">
        <v>1037</v>
      </c>
      <c r="H216" t="s">
        <v>436</v>
      </c>
      <c r="J216">
        <v>2019</v>
      </c>
      <c r="K216" t="s">
        <v>458</v>
      </c>
      <c r="L216">
        <v>43558</v>
      </c>
      <c r="N216" t="s">
        <v>243</v>
      </c>
      <c r="P216" t="s">
        <v>1035</v>
      </c>
    </row>
    <row r="217" spans="1:16" x14ac:dyDescent="0.15">
      <c r="A217" t="s">
        <v>2739</v>
      </c>
      <c r="B217" t="s">
        <v>1038</v>
      </c>
      <c r="C217" t="s">
        <v>325</v>
      </c>
      <c r="D217" t="s">
        <v>415</v>
      </c>
      <c r="E217" t="s">
        <v>1039</v>
      </c>
      <c r="F217" t="s">
        <v>1040</v>
      </c>
      <c r="H217" t="s">
        <v>374</v>
      </c>
      <c r="J217">
        <v>2019</v>
      </c>
      <c r="K217" t="s">
        <v>666</v>
      </c>
      <c r="L217">
        <v>43626</v>
      </c>
      <c r="N217" t="s">
        <v>243</v>
      </c>
      <c r="P217" t="s">
        <v>1041</v>
      </c>
    </row>
    <row r="218" spans="1:16" x14ac:dyDescent="0.15">
      <c r="A218" t="s">
        <v>2739</v>
      </c>
      <c r="B218" t="s">
        <v>1042</v>
      </c>
      <c r="C218" t="s">
        <v>325</v>
      </c>
      <c r="D218" t="s">
        <v>415</v>
      </c>
      <c r="E218" t="s">
        <v>1039</v>
      </c>
      <c r="F218" t="s">
        <v>1040</v>
      </c>
      <c r="H218" t="s">
        <v>374</v>
      </c>
      <c r="J218">
        <v>2019</v>
      </c>
      <c r="K218" t="s">
        <v>666</v>
      </c>
      <c r="L218">
        <v>43672</v>
      </c>
      <c r="N218" t="s">
        <v>243</v>
      </c>
      <c r="P218" t="s">
        <v>1041</v>
      </c>
    </row>
    <row r="219" spans="1:16" x14ac:dyDescent="0.15">
      <c r="A219" t="s">
        <v>2740</v>
      </c>
      <c r="B219" t="s">
        <v>1043</v>
      </c>
      <c r="C219" t="s">
        <v>325</v>
      </c>
      <c r="D219" t="s">
        <v>415</v>
      </c>
      <c r="F219" t="s">
        <v>1044</v>
      </c>
      <c r="H219" t="s">
        <v>485</v>
      </c>
      <c r="J219">
        <v>2019</v>
      </c>
      <c r="K219" t="s">
        <v>408</v>
      </c>
      <c r="L219">
        <v>43626</v>
      </c>
      <c r="N219" t="s">
        <v>243</v>
      </c>
      <c r="O219" t="s">
        <v>331</v>
      </c>
      <c r="P219" t="s">
        <v>1045</v>
      </c>
    </row>
    <row r="220" spans="1:16" x14ac:dyDescent="0.15">
      <c r="A220" t="s">
        <v>2740</v>
      </c>
      <c r="B220" t="s">
        <v>1046</v>
      </c>
      <c r="C220" t="s">
        <v>325</v>
      </c>
      <c r="D220" t="s">
        <v>415</v>
      </c>
      <c r="F220" t="s">
        <v>1044</v>
      </c>
      <c r="H220" t="s">
        <v>485</v>
      </c>
      <c r="J220">
        <v>2019</v>
      </c>
      <c r="K220" t="s">
        <v>408</v>
      </c>
      <c r="L220">
        <v>43748</v>
      </c>
      <c r="N220" t="s">
        <v>243</v>
      </c>
      <c r="O220" t="s">
        <v>331</v>
      </c>
      <c r="P220" t="s">
        <v>1045</v>
      </c>
    </row>
    <row r="221" spans="1:16" x14ac:dyDescent="0.15">
      <c r="A221" t="s">
        <v>2741</v>
      </c>
      <c r="B221" t="s">
        <v>1047</v>
      </c>
      <c r="C221" t="s">
        <v>325</v>
      </c>
      <c r="D221" t="s">
        <v>350</v>
      </c>
      <c r="F221" t="s">
        <v>1048</v>
      </c>
      <c r="H221" t="s">
        <v>351</v>
      </c>
      <c r="J221">
        <v>2019</v>
      </c>
      <c r="K221" t="s">
        <v>666</v>
      </c>
      <c r="L221">
        <v>43651</v>
      </c>
      <c r="N221" t="s">
        <v>243</v>
      </c>
      <c r="P221" t="s">
        <v>1049</v>
      </c>
    </row>
    <row r="222" spans="1:16" x14ac:dyDescent="0.15">
      <c r="A222" t="s">
        <v>2741</v>
      </c>
      <c r="B222" t="s">
        <v>1050</v>
      </c>
      <c r="C222" t="s">
        <v>325</v>
      </c>
      <c r="D222" t="s">
        <v>350</v>
      </c>
      <c r="F222" t="s">
        <v>1048</v>
      </c>
      <c r="H222" t="s">
        <v>351</v>
      </c>
      <c r="J222">
        <v>2019</v>
      </c>
      <c r="K222" t="s">
        <v>666</v>
      </c>
      <c r="L222">
        <v>43651</v>
      </c>
      <c r="N222" t="s">
        <v>243</v>
      </c>
      <c r="P222" t="s">
        <v>1049</v>
      </c>
    </row>
    <row r="223" spans="1:16" x14ac:dyDescent="0.15">
      <c r="A223" t="s">
        <v>2742</v>
      </c>
      <c r="B223" t="s">
        <v>1051</v>
      </c>
      <c r="C223" t="s">
        <v>325</v>
      </c>
      <c r="D223" t="s">
        <v>415</v>
      </c>
      <c r="F223" t="s">
        <v>1052</v>
      </c>
      <c r="H223" t="s">
        <v>341</v>
      </c>
      <c r="J223">
        <v>2019</v>
      </c>
      <c r="K223" t="s">
        <v>408</v>
      </c>
      <c r="L223">
        <v>43585</v>
      </c>
      <c r="N223" t="s">
        <v>243</v>
      </c>
      <c r="O223" t="s">
        <v>331</v>
      </c>
      <c r="P223" t="s">
        <v>1053</v>
      </c>
    </row>
    <row r="224" spans="1:16" x14ac:dyDescent="0.15">
      <c r="A224" t="s">
        <v>2743</v>
      </c>
      <c r="B224" t="s">
        <v>1054</v>
      </c>
      <c r="C224" t="s">
        <v>325</v>
      </c>
      <c r="D224" t="s">
        <v>1055</v>
      </c>
      <c r="E224" t="s">
        <v>641</v>
      </c>
      <c r="F224" t="s">
        <v>1056</v>
      </c>
      <c r="H224" t="s">
        <v>494</v>
      </c>
      <c r="J224">
        <v>2019</v>
      </c>
      <c r="K224" t="s">
        <v>408</v>
      </c>
      <c r="L224">
        <v>43605</v>
      </c>
      <c r="N224" t="s">
        <v>243</v>
      </c>
      <c r="O224" t="s">
        <v>331</v>
      </c>
      <c r="P224" t="s">
        <v>1057</v>
      </c>
    </row>
    <row r="225" spans="1:16" x14ac:dyDescent="0.15">
      <c r="A225" t="s">
        <v>2744</v>
      </c>
      <c r="B225" t="s">
        <v>1058</v>
      </c>
      <c r="C225" t="s">
        <v>325</v>
      </c>
      <c r="D225" t="s">
        <v>377</v>
      </c>
      <c r="E225" t="s">
        <v>372</v>
      </c>
      <c r="F225" t="s">
        <v>1059</v>
      </c>
      <c r="H225" t="s">
        <v>554</v>
      </c>
      <c r="J225">
        <v>2019</v>
      </c>
      <c r="K225" t="s">
        <v>408</v>
      </c>
      <c r="L225">
        <v>43585</v>
      </c>
      <c r="N225" t="s">
        <v>243</v>
      </c>
      <c r="O225" t="s">
        <v>331</v>
      </c>
      <c r="P225" t="s">
        <v>1060</v>
      </c>
    </row>
    <row r="226" spans="1:16" x14ac:dyDescent="0.15">
      <c r="A226" t="s">
        <v>2744</v>
      </c>
      <c r="B226" t="s">
        <v>1061</v>
      </c>
      <c r="C226" t="s">
        <v>325</v>
      </c>
      <c r="D226" t="s">
        <v>377</v>
      </c>
      <c r="E226" t="s">
        <v>372</v>
      </c>
      <c r="F226" t="s">
        <v>1059</v>
      </c>
      <c r="H226" t="s">
        <v>554</v>
      </c>
      <c r="J226">
        <v>2019</v>
      </c>
      <c r="K226" t="s">
        <v>408</v>
      </c>
      <c r="L226">
        <v>43585</v>
      </c>
      <c r="N226" t="s">
        <v>243</v>
      </c>
      <c r="O226" t="s">
        <v>331</v>
      </c>
      <c r="P226" t="s">
        <v>1060</v>
      </c>
    </row>
    <row r="227" spans="1:16" x14ac:dyDescent="0.15">
      <c r="A227" t="s">
        <v>2745</v>
      </c>
      <c r="B227" t="s">
        <v>1062</v>
      </c>
      <c r="C227" t="s">
        <v>325</v>
      </c>
      <c r="D227" t="s">
        <v>528</v>
      </c>
      <c r="E227" t="s">
        <v>524</v>
      </c>
      <c r="F227" t="s">
        <v>543</v>
      </c>
      <c r="G227" t="s">
        <v>1063</v>
      </c>
      <c r="H227" t="s">
        <v>374</v>
      </c>
      <c r="J227">
        <v>2019</v>
      </c>
      <c r="K227" t="s">
        <v>443</v>
      </c>
      <c r="L227">
        <v>43647</v>
      </c>
      <c r="N227" t="s">
        <v>243</v>
      </c>
      <c r="O227" t="s">
        <v>331</v>
      </c>
      <c r="P227" t="s">
        <v>1064</v>
      </c>
    </row>
    <row r="228" spans="1:16" x14ac:dyDescent="0.15">
      <c r="A228" t="s">
        <v>2745</v>
      </c>
      <c r="B228" t="s">
        <v>1065</v>
      </c>
      <c r="C228" t="s">
        <v>325</v>
      </c>
      <c r="D228" t="s">
        <v>528</v>
      </c>
      <c r="E228" t="s">
        <v>524</v>
      </c>
      <c r="F228" t="s">
        <v>543</v>
      </c>
      <c r="G228" t="s">
        <v>1066</v>
      </c>
      <c r="H228" t="s">
        <v>374</v>
      </c>
      <c r="J228">
        <v>2019</v>
      </c>
      <c r="K228" t="s">
        <v>443</v>
      </c>
      <c r="L228">
        <v>43724</v>
      </c>
      <c r="N228" t="s">
        <v>243</v>
      </c>
      <c r="O228" t="s">
        <v>331</v>
      </c>
      <c r="P228" t="s">
        <v>1064</v>
      </c>
    </row>
    <row r="229" spans="1:16" x14ac:dyDescent="0.15">
      <c r="A229" t="s">
        <v>2745</v>
      </c>
      <c r="B229" t="s">
        <v>1067</v>
      </c>
      <c r="C229" t="s">
        <v>325</v>
      </c>
      <c r="D229" t="s">
        <v>528</v>
      </c>
      <c r="E229" t="s">
        <v>524</v>
      </c>
      <c r="F229" t="s">
        <v>543</v>
      </c>
      <c r="G229" t="s">
        <v>1068</v>
      </c>
      <c r="H229" t="s">
        <v>374</v>
      </c>
      <c r="J229">
        <v>2019</v>
      </c>
      <c r="K229" t="s">
        <v>443</v>
      </c>
      <c r="L229">
        <v>44032</v>
      </c>
      <c r="N229" t="s">
        <v>243</v>
      </c>
      <c r="O229" t="s">
        <v>331</v>
      </c>
      <c r="P229" t="s">
        <v>1064</v>
      </c>
    </row>
    <row r="230" spans="1:16" x14ac:dyDescent="0.15">
      <c r="A230" t="s">
        <v>2746</v>
      </c>
      <c r="B230" t="s">
        <v>1069</v>
      </c>
      <c r="C230" t="s">
        <v>325</v>
      </c>
      <c r="D230" t="s">
        <v>497</v>
      </c>
      <c r="F230" t="s">
        <v>647</v>
      </c>
      <c r="G230" t="s">
        <v>1070</v>
      </c>
      <c r="H230" t="s">
        <v>341</v>
      </c>
      <c r="J230">
        <v>2019</v>
      </c>
      <c r="K230" t="s">
        <v>408</v>
      </c>
      <c r="L230">
        <v>43584</v>
      </c>
      <c r="N230" t="s">
        <v>243</v>
      </c>
      <c r="O230" t="s">
        <v>331</v>
      </c>
      <c r="P230" t="s">
        <v>1071</v>
      </c>
    </row>
    <row r="231" spans="1:16" x14ac:dyDescent="0.15">
      <c r="A231" t="s">
        <v>2747</v>
      </c>
      <c r="B231" t="s">
        <v>1072</v>
      </c>
      <c r="C231" t="s">
        <v>325</v>
      </c>
      <c r="D231" t="s">
        <v>372</v>
      </c>
      <c r="F231" t="s">
        <v>1073</v>
      </c>
      <c r="H231" t="s">
        <v>578</v>
      </c>
      <c r="J231">
        <v>2019</v>
      </c>
      <c r="K231" t="s">
        <v>458</v>
      </c>
      <c r="L231">
        <v>43655</v>
      </c>
      <c r="M231" t="s">
        <v>1074</v>
      </c>
      <c r="N231" t="s">
        <v>243</v>
      </c>
      <c r="P231" t="s">
        <v>1075</v>
      </c>
    </row>
    <row r="232" spans="1:16" x14ac:dyDescent="0.15">
      <c r="A232" t="s">
        <v>2747</v>
      </c>
      <c r="B232" t="s">
        <v>1076</v>
      </c>
      <c r="C232" t="s">
        <v>325</v>
      </c>
      <c r="D232" t="s">
        <v>372</v>
      </c>
      <c r="F232" t="s">
        <v>1073</v>
      </c>
      <c r="H232" t="s">
        <v>578</v>
      </c>
      <c r="J232">
        <v>2019</v>
      </c>
      <c r="K232" t="s">
        <v>2</v>
      </c>
      <c r="L232">
        <v>43592</v>
      </c>
      <c r="M232" t="s">
        <v>1074</v>
      </c>
      <c r="N232" t="s">
        <v>336</v>
      </c>
      <c r="P232" t="s">
        <v>1075</v>
      </c>
    </row>
    <row r="233" spans="1:16" x14ac:dyDescent="0.15">
      <c r="A233" t="s">
        <v>2748</v>
      </c>
      <c r="B233" t="s">
        <v>1077</v>
      </c>
      <c r="C233" t="s">
        <v>325</v>
      </c>
      <c r="D233" t="s">
        <v>483</v>
      </c>
      <c r="F233" t="s">
        <v>670</v>
      </c>
      <c r="H233" t="s">
        <v>612</v>
      </c>
      <c r="J233">
        <v>2019</v>
      </c>
      <c r="K233" t="s">
        <v>458</v>
      </c>
      <c r="L233">
        <v>43621</v>
      </c>
      <c r="N233" t="s">
        <v>336</v>
      </c>
      <c r="P233" t="s">
        <v>1078</v>
      </c>
    </row>
    <row r="234" spans="1:16" x14ac:dyDescent="0.15">
      <c r="A234" t="s">
        <v>2749</v>
      </c>
      <c r="B234" t="s">
        <v>1079</v>
      </c>
      <c r="C234" t="s">
        <v>325</v>
      </c>
      <c r="D234" t="s">
        <v>818</v>
      </c>
      <c r="E234" t="s">
        <v>558</v>
      </c>
      <c r="F234" t="s">
        <v>819</v>
      </c>
      <c r="G234" t="s">
        <v>1080</v>
      </c>
      <c r="H234" t="s">
        <v>341</v>
      </c>
      <c r="J234">
        <v>2019</v>
      </c>
      <c r="K234" t="s">
        <v>666</v>
      </c>
      <c r="L234">
        <v>43646</v>
      </c>
      <c r="N234" t="s">
        <v>243</v>
      </c>
      <c r="P234" t="s">
        <v>1081</v>
      </c>
    </row>
    <row r="235" spans="1:16" x14ac:dyDescent="0.15">
      <c r="A235" t="s">
        <v>2750</v>
      </c>
      <c r="B235" t="s">
        <v>1082</v>
      </c>
      <c r="C235" t="s">
        <v>325</v>
      </c>
      <c r="D235" t="s">
        <v>345</v>
      </c>
      <c r="F235" t="s">
        <v>1083</v>
      </c>
      <c r="H235" t="s">
        <v>485</v>
      </c>
      <c r="J235">
        <v>2019</v>
      </c>
      <c r="K235" t="s">
        <v>443</v>
      </c>
      <c r="L235">
        <v>43656</v>
      </c>
      <c r="N235" t="s">
        <v>243</v>
      </c>
      <c r="O235" t="s">
        <v>331</v>
      </c>
      <c r="P235" t="s">
        <v>1084</v>
      </c>
    </row>
    <row r="236" spans="1:16" x14ac:dyDescent="0.15">
      <c r="A236" t="s">
        <v>2750</v>
      </c>
      <c r="B236" t="s">
        <v>1085</v>
      </c>
      <c r="C236" t="s">
        <v>325</v>
      </c>
      <c r="D236" t="s">
        <v>345</v>
      </c>
      <c r="F236" t="s">
        <v>1083</v>
      </c>
      <c r="G236" t="s">
        <v>1086</v>
      </c>
      <c r="H236" t="s">
        <v>485</v>
      </c>
      <c r="J236">
        <v>2019</v>
      </c>
      <c r="K236" t="s">
        <v>443</v>
      </c>
      <c r="L236">
        <v>43656</v>
      </c>
      <c r="M236" t="s">
        <v>1087</v>
      </c>
      <c r="N236" t="s">
        <v>336</v>
      </c>
      <c r="O236" t="s">
        <v>331</v>
      </c>
      <c r="P236" t="s">
        <v>1084</v>
      </c>
    </row>
    <row r="237" spans="1:16" x14ac:dyDescent="0.15">
      <c r="A237" t="s">
        <v>2751</v>
      </c>
      <c r="B237" t="s">
        <v>1088</v>
      </c>
      <c r="C237" t="s">
        <v>325</v>
      </c>
      <c r="D237" t="s">
        <v>593</v>
      </c>
      <c r="F237" t="s">
        <v>1089</v>
      </c>
      <c r="G237" t="s">
        <v>1023</v>
      </c>
      <c r="H237" t="s">
        <v>595</v>
      </c>
      <c r="J237">
        <v>2019</v>
      </c>
      <c r="K237" t="s">
        <v>408</v>
      </c>
      <c r="L237">
        <v>43678</v>
      </c>
      <c r="N237" t="s">
        <v>336</v>
      </c>
      <c r="O237" t="s">
        <v>331</v>
      </c>
      <c r="P237" t="s">
        <v>1090</v>
      </c>
    </row>
    <row r="238" spans="1:16" x14ac:dyDescent="0.15">
      <c r="A238" t="s">
        <v>2752</v>
      </c>
      <c r="B238" t="s">
        <v>1091</v>
      </c>
      <c r="C238" t="s">
        <v>325</v>
      </c>
      <c r="D238" t="s">
        <v>714</v>
      </c>
      <c r="F238" t="s">
        <v>715</v>
      </c>
      <c r="G238" t="s">
        <v>1092</v>
      </c>
      <c r="H238" t="s">
        <v>368</v>
      </c>
      <c r="J238">
        <v>2019</v>
      </c>
      <c r="K238" t="s">
        <v>666</v>
      </c>
      <c r="L238">
        <v>43707</v>
      </c>
      <c r="N238" t="s">
        <v>243</v>
      </c>
      <c r="P238" t="s">
        <v>1093</v>
      </c>
    </row>
    <row r="239" spans="1:16" x14ac:dyDescent="0.15">
      <c r="A239" t="s">
        <v>2752</v>
      </c>
      <c r="B239" t="s">
        <v>1094</v>
      </c>
      <c r="C239" t="s">
        <v>325</v>
      </c>
      <c r="D239" t="s">
        <v>714</v>
      </c>
      <c r="F239" t="s">
        <v>715</v>
      </c>
      <c r="G239" t="s">
        <v>1092</v>
      </c>
      <c r="H239" t="s">
        <v>368</v>
      </c>
      <c r="J239">
        <v>2019</v>
      </c>
      <c r="K239" t="s">
        <v>666</v>
      </c>
      <c r="L239">
        <v>43665</v>
      </c>
      <c r="N239" t="s">
        <v>336</v>
      </c>
      <c r="P239" t="s">
        <v>1093</v>
      </c>
    </row>
    <row r="240" spans="1:16" x14ac:dyDescent="0.15">
      <c r="A240" t="s">
        <v>2753</v>
      </c>
      <c r="B240" t="s">
        <v>1095</v>
      </c>
      <c r="C240" t="s">
        <v>325</v>
      </c>
      <c r="D240" t="s">
        <v>946</v>
      </c>
      <c r="E240" t="s">
        <v>942</v>
      </c>
      <c r="F240" t="s">
        <v>1059</v>
      </c>
      <c r="G240" t="s">
        <v>1096</v>
      </c>
      <c r="H240" t="s">
        <v>554</v>
      </c>
      <c r="J240">
        <v>2019</v>
      </c>
      <c r="K240" t="s">
        <v>666</v>
      </c>
      <c r="L240">
        <v>43631</v>
      </c>
      <c r="N240" t="s">
        <v>243</v>
      </c>
      <c r="P240" t="s">
        <v>1097</v>
      </c>
    </row>
    <row r="241" spans="1:16" x14ac:dyDescent="0.15">
      <c r="A241" t="s">
        <v>2754</v>
      </c>
      <c r="B241" t="s">
        <v>1098</v>
      </c>
      <c r="C241" t="s">
        <v>325</v>
      </c>
      <c r="D241" t="s">
        <v>1099</v>
      </c>
      <c r="E241" t="s">
        <v>372</v>
      </c>
      <c r="F241" t="s">
        <v>553</v>
      </c>
      <c r="H241" t="s">
        <v>554</v>
      </c>
      <c r="J241">
        <v>2019</v>
      </c>
      <c r="K241" t="s">
        <v>330</v>
      </c>
      <c r="L241">
        <v>43665</v>
      </c>
      <c r="N241" t="s">
        <v>243</v>
      </c>
      <c r="P241" t="s">
        <v>1100</v>
      </c>
    </row>
    <row r="242" spans="1:16" x14ac:dyDescent="0.15">
      <c r="A242" t="s">
        <v>2755</v>
      </c>
      <c r="C242" t="s">
        <v>325</v>
      </c>
      <c r="D242" t="s">
        <v>372</v>
      </c>
      <c r="F242" t="s">
        <v>435</v>
      </c>
      <c r="G242" t="s">
        <v>1101</v>
      </c>
      <c r="H242" t="s">
        <v>436</v>
      </c>
      <c r="J242">
        <v>2019</v>
      </c>
      <c r="K242" t="s">
        <v>458</v>
      </c>
      <c r="N242" t="s">
        <v>243</v>
      </c>
      <c r="P242" t="s">
        <v>1102</v>
      </c>
    </row>
    <row r="243" spans="1:16" x14ac:dyDescent="0.15">
      <c r="A243" t="s">
        <v>2756</v>
      </c>
      <c r="B243" t="s">
        <v>1103</v>
      </c>
      <c r="C243" t="s">
        <v>325</v>
      </c>
      <c r="D243" t="s">
        <v>1104</v>
      </c>
      <c r="F243" t="s">
        <v>1105</v>
      </c>
      <c r="H243" t="s">
        <v>1106</v>
      </c>
      <c r="J243">
        <v>2019</v>
      </c>
      <c r="K243" t="s">
        <v>443</v>
      </c>
      <c r="L243">
        <v>43800</v>
      </c>
      <c r="N243" t="s">
        <v>243</v>
      </c>
      <c r="O243" t="s">
        <v>331</v>
      </c>
      <c r="P243" t="s">
        <v>1107</v>
      </c>
    </row>
    <row r="244" spans="1:16" x14ac:dyDescent="0.15">
      <c r="A244" t="s">
        <v>2756</v>
      </c>
      <c r="B244" t="s">
        <v>1108</v>
      </c>
      <c r="C244" t="s">
        <v>325</v>
      </c>
      <c r="D244" t="s">
        <v>1104</v>
      </c>
      <c r="F244" t="s">
        <v>1105</v>
      </c>
      <c r="H244" t="s">
        <v>1106</v>
      </c>
      <c r="J244">
        <v>2019</v>
      </c>
      <c r="K244" t="s">
        <v>443</v>
      </c>
      <c r="L244">
        <v>43906</v>
      </c>
      <c r="N244" t="s">
        <v>243</v>
      </c>
      <c r="O244" t="s">
        <v>331</v>
      </c>
      <c r="P244" t="s">
        <v>1107</v>
      </c>
    </row>
    <row r="245" spans="1:16" x14ac:dyDescent="0.15">
      <c r="A245" t="s">
        <v>2757</v>
      </c>
      <c r="B245" t="s">
        <v>1109</v>
      </c>
      <c r="C245" t="s">
        <v>325</v>
      </c>
      <c r="D245" t="s">
        <v>1110</v>
      </c>
      <c r="E245" t="s">
        <v>524</v>
      </c>
      <c r="F245" t="s">
        <v>1111</v>
      </c>
      <c r="G245" t="s">
        <v>1112</v>
      </c>
      <c r="H245" t="s">
        <v>374</v>
      </c>
      <c r="J245">
        <v>2019</v>
      </c>
      <c r="K245" t="s">
        <v>330</v>
      </c>
      <c r="L245">
        <v>43718</v>
      </c>
      <c r="N245" t="s">
        <v>243</v>
      </c>
      <c r="P245" t="s">
        <v>1113</v>
      </c>
    </row>
    <row r="246" spans="1:16" x14ac:dyDescent="0.15">
      <c r="A246" t="s">
        <v>2758</v>
      </c>
      <c r="B246" t="s">
        <v>1114</v>
      </c>
      <c r="C246" t="s">
        <v>325</v>
      </c>
      <c r="D246" t="s">
        <v>372</v>
      </c>
      <c r="F246" t="s">
        <v>860</v>
      </c>
      <c r="H246" t="s">
        <v>861</v>
      </c>
      <c r="J246">
        <v>2019</v>
      </c>
      <c r="K246" t="s">
        <v>458</v>
      </c>
      <c r="L246">
        <v>43707</v>
      </c>
      <c r="N246" t="s">
        <v>243</v>
      </c>
      <c r="P246" t="s">
        <v>1115</v>
      </c>
    </row>
    <row r="247" spans="1:16" x14ac:dyDescent="0.15">
      <c r="A247" t="s">
        <v>2759</v>
      </c>
      <c r="B247" t="s">
        <v>1116</v>
      </c>
      <c r="C247" t="s">
        <v>325</v>
      </c>
      <c r="D247" t="s">
        <v>350</v>
      </c>
      <c r="F247" t="s">
        <v>1117</v>
      </c>
      <c r="H247" t="s">
        <v>351</v>
      </c>
      <c r="J247">
        <v>2019</v>
      </c>
      <c r="K247" t="s">
        <v>458</v>
      </c>
      <c r="L247">
        <v>43738</v>
      </c>
      <c r="N247" t="s">
        <v>243</v>
      </c>
      <c r="P247" t="s">
        <v>1118</v>
      </c>
    </row>
    <row r="248" spans="1:16" x14ac:dyDescent="0.15">
      <c r="A248" t="s">
        <v>2760</v>
      </c>
      <c r="B248" t="s">
        <v>1119</v>
      </c>
      <c r="C248" t="s">
        <v>325</v>
      </c>
      <c r="D248" t="s">
        <v>1120</v>
      </c>
      <c r="F248" t="s">
        <v>670</v>
      </c>
      <c r="H248" t="s">
        <v>612</v>
      </c>
      <c r="J248">
        <v>2019</v>
      </c>
      <c r="K248" t="s">
        <v>458</v>
      </c>
      <c r="L248">
        <v>43626</v>
      </c>
      <c r="N248" t="s">
        <v>243</v>
      </c>
      <c r="P248" t="s">
        <v>1121</v>
      </c>
    </row>
    <row r="249" spans="1:16" x14ac:dyDescent="0.15">
      <c r="A249" t="s">
        <v>2761</v>
      </c>
      <c r="B249" t="s">
        <v>1122</v>
      </c>
      <c r="C249" t="s">
        <v>325</v>
      </c>
      <c r="D249" t="s">
        <v>593</v>
      </c>
      <c r="F249" t="s">
        <v>1123</v>
      </c>
      <c r="G249" t="s">
        <v>1124</v>
      </c>
      <c r="H249" t="s">
        <v>595</v>
      </c>
      <c r="J249">
        <v>2019</v>
      </c>
      <c r="K249" t="s">
        <v>408</v>
      </c>
      <c r="L249">
        <v>43748</v>
      </c>
      <c r="M249" t="s">
        <v>1125</v>
      </c>
      <c r="N249" t="s">
        <v>243</v>
      </c>
      <c r="O249" t="s">
        <v>331</v>
      </c>
      <c r="P249" t="s">
        <v>1126</v>
      </c>
    </row>
    <row r="250" spans="1:16" x14ac:dyDescent="0.15">
      <c r="A250" t="s">
        <v>2762</v>
      </c>
      <c r="B250" t="s">
        <v>1127</v>
      </c>
      <c r="C250" t="s">
        <v>325</v>
      </c>
      <c r="D250" t="s">
        <v>946</v>
      </c>
      <c r="E250" t="s">
        <v>372</v>
      </c>
      <c r="F250" t="s">
        <v>1128</v>
      </c>
      <c r="H250" t="s">
        <v>620</v>
      </c>
      <c r="J250">
        <v>2019</v>
      </c>
      <c r="K250" t="s">
        <v>408</v>
      </c>
      <c r="L250">
        <v>43815</v>
      </c>
      <c r="N250" t="s">
        <v>243</v>
      </c>
      <c r="O250" t="s">
        <v>331</v>
      </c>
      <c r="P250" t="s">
        <v>1129</v>
      </c>
    </row>
    <row r="251" spans="1:16" x14ac:dyDescent="0.15">
      <c r="A251" t="s">
        <v>2762</v>
      </c>
      <c r="B251" t="s">
        <v>1130</v>
      </c>
      <c r="C251" t="s">
        <v>325</v>
      </c>
      <c r="D251" t="s">
        <v>946</v>
      </c>
      <c r="E251" t="s">
        <v>372</v>
      </c>
      <c r="F251" t="s">
        <v>1128</v>
      </c>
      <c r="G251" t="s">
        <v>1131</v>
      </c>
      <c r="H251" t="s">
        <v>620</v>
      </c>
      <c r="J251">
        <v>2019</v>
      </c>
      <c r="K251" t="s">
        <v>408</v>
      </c>
      <c r="L251">
        <v>43784</v>
      </c>
      <c r="N251" t="s">
        <v>243</v>
      </c>
      <c r="O251" t="s">
        <v>331</v>
      </c>
      <c r="P251" t="s">
        <v>1129</v>
      </c>
    </row>
    <row r="252" spans="1:16" x14ac:dyDescent="0.15">
      <c r="A252" t="s">
        <v>2763</v>
      </c>
      <c r="B252" t="s">
        <v>1132</v>
      </c>
      <c r="C252" t="s">
        <v>325</v>
      </c>
      <c r="D252" t="s">
        <v>921</v>
      </c>
      <c r="F252" t="s">
        <v>922</v>
      </c>
      <c r="G252" t="s">
        <v>1133</v>
      </c>
      <c r="H252" t="s">
        <v>554</v>
      </c>
      <c r="J252">
        <v>2019</v>
      </c>
      <c r="K252" t="s">
        <v>458</v>
      </c>
      <c r="L252">
        <v>43707</v>
      </c>
      <c r="N252" t="s">
        <v>243</v>
      </c>
      <c r="P252" t="s">
        <v>1134</v>
      </c>
    </row>
    <row r="253" spans="1:16" x14ac:dyDescent="0.15">
      <c r="A253" t="s">
        <v>2764</v>
      </c>
      <c r="B253" t="s">
        <v>1135</v>
      </c>
      <c r="C253" t="s">
        <v>325</v>
      </c>
      <c r="D253" t="s">
        <v>361</v>
      </c>
      <c r="G253" t="s">
        <v>1136</v>
      </c>
      <c r="H253" t="s">
        <v>347</v>
      </c>
      <c r="J253">
        <v>2019</v>
      </c>
      <c r="K253" t="s">
        <v>521</v>
      </c>
      <c r="L253">
        <v>43732</v>
      </c>
      <c r="N253" t="s">
        <v>243</v>
      </c>
      <c r="O253" t="s">
        <v>331</v>
      </c>
      <c r="P253" t="s">
        <v>1137</v>
      </c>
    </row>
    <row r="254" spans="1:16" x14ac:dyDescent="0.15">
      <c r="A254" t="s">
        <v>2765</v>
      </c>
      <c r="B254" t="s">
        <v>1138</v>
      </c>
      <c r="C254" t="s">
        <v>325</v>
      </c>
      <c r="D254" t="s">
        <v>415</v>
      </c>
      <c r="E254" t="s">
        <v>1139</v>
      </c>
      <c r="F254" t="s">
        <v>1140</v>
      </c>
      <c r="H254" t="s">
        <v>1141</v>
      </c>
      <c r="J254">
        <v>2019</v>
      </c>
      <c r="K254" t="s">
        <v>330</v>
      </c>
      <c r="L254">
        <v>43738</v>
      </c>
      <c r="N254" t="s">
        <v>243</v>
      </c>
      <c r="P254" t="s">
        <v>1142</v>
      </c>
    </row>
    <row r="255" spans="1:16" x14ac:dyDescent="0.15">
      <c r="A255" t="s">
        <v>2766</v>
      </c>
      <c r="B255" t="s">
        <v>1143</v>
      </c>
      <c r="C255" t="s">
        <v>325</v>
      </c>
      <c r="D255" t="s">
        <v>1144</v>
      </c>
      <c r="F255" t="s">
        <v>647</v>
      </c>
      <c r="H255" t="s">
        <v>341</v>
      </c>
      <c r="J255">
        <v>2019</v>
      </c>
      <c r="K255" t="s">
        <v>521</v>
      </c>
      <c r="L255">
        <v>43658</v>
      </c>
      <c r="N255" t="s">
        <v>243</v>
      </c>
      <c r="P255" t="s">
        <v>1145</v>
      </c>
    </row>
    <row r="256" spans="1:16" x14ac:dyDescent="0.15">
      <c r="A256" t="s">
        <v>2767</v>
      </c>
      <c r="B256" t="s">
        <v>1146</v>
      </c>
      <c r="C256" t="s">
        <v>325</v>
      </c>
      <c r="D256" t="s">
        <v>415</v>
      </c>
      <c r="F256" t="s">
        <v>1147</v>
      </c>
      <c r="H256" t="s">
        <v>1148</v>
      </c>
      <c r="J256">
        <v>2019</v>
      </c>
      <c r="K256" t="s">
        <v>330</v>
      </c>
      <c r="L256">
        <v>44286</v>
      </c>
      <c r="N256" t="s">
        <v>243</v>
      </c>
      <c r="P256" t="s">
        <v>1149</v>
      </c>
    </row>
    <row r="257" spans="1:16" x14ac:dyDescent="0.15">
      <c r="A257" t="s">
        <v>2768</v>
      </c>
      <c r="B257" t="s">
        <v>1150</v>
      </c>
      <c r="C257" t="s">
        <v>325</v>
      </c>
      <c r="D257" t="s">
        <v>377</v>
      </c>
      <c r="E257" t="s">
        <v>372</v>
      </c>
      <c r="F257" t="s">
        <v>1128</v>
      </c>
      <c r="H257" t="s">
        <v>620</v>
      </c>
      <c r="J257">
        <v>2019</v>
      </c>
      <c r="K257" t="s">
        <v>408</v>
      </c>
      <c r="L257" t="s">
        <v>1151</v>
      </c>
      <c r="N257" t="s">
        <v>243</v>
      </c>
      <c r="O257" t="s">
        <v>331</v>
      </c>
      <c r="P257" t="s">
        <v>1152</v>
      </c>
    </row>
    <row r="258" spans="1:16" x14ac:dyDescent="0.15">
      <c r="A258" t="s">
        <v>2769</v>
      </c>
      <c r="B258" t="s">
        <v>1153</v>
      </c>
      <c r="C258" t="s">
        <v>325</v>
      </c>
      <c r="D258" t="s">
        <v>1002</v>
      </c>
      <c r="E258" t="s">
        <v>372</v>
      </c>
      <c r="F258" t="s">
        <v>1154</v>
      </c>
      <c r="H258" t="s">
        <v>620</v>
      </c>
      <c r="J258">
        <v>2019</v>
      </c>
      <c r="K258" t="s">
        <v>330</v>
      </c>
      <c r="L258">
        <v>43966</v>
      </c>
      <c r="M258" t="s">
        <v>1155</v>
      </c>
      <c r="N258" t="s">
        <v>10</v>
      </c>
      <c r="P258" t="s">
        <v>1156</v>
      </c>
    </row>
    <row r="259" spans="1:16" x14ac:dyDescent="0.15">
      <c r="A259" t="s">
        <v>2770</v>
      </c>
      <c r="B259" t="s">
        <v>1157</v>
      </c>
      <c r="C259" t="s">
        <v>325</v>
      </c>
      <c r="D259" t="s">
        <v>1158</v>
      </c>
      <c r="E259" t="s">
        <v>372</v>
      </c>
      <c r="F259" t="s">
        <v>1159</v>
      </c>
      <c r="G259" t="s">
        <v>1160</v>
      </c>
      <c r="H259" t="s">
        <v>440</v>
      </c>
      <c r="J259">
        <v>2019</v>
      </c>
      <c r="K259" t="s">
        <v>666</v>
      </c>
      <c r="L259">
        <v>43815</v>
      </c>
      <c r="N259" t="s">
        <v>243</v>
      </c>
      <c r="P259" t="s">
        <v>1161</v>
      </c>
    </row>
    <row r="260" spans="1:16" x14ac:dyDescent="0.15">
      <c r="A260" t="s">
        <v>2770</v>
      </c>
      <c r="B260" t="s">
        <v>1162</v>
      </c>
      <c r="C260" t="s">
        <v>325</v>
      </c>
      <c r="D260" t="s">
        <v>1158</v>
      </c>
      <c r="E260" t="s">
        <v>372</v>
      </c>
      <c r="F260" t="s">
        <v>1159</v>
      </c>
      <c r="G260" t="s">
        <v>1160</v>
      </c>
      <c r="H260" t="s">
        <v>440</v>
      </c>
      <c r="J260">
        <v>2019</v>
      </c>
      <c r="K260" t="s">
        <v>666</v>
      </c>
      <c r="L260">
        <v>43881</v>
      </c>
      <c r="N260" t="s">
        <v>243</v>
      </c>
      <c r="P260" t="s">
        <v>1161</v>
      </c>
    </row>
    <row r="261" spans="1:16" x14ac:dyDescent="0.15">
      <c r="A261" t="s">
        <v>2771</v>
      </c>
      <c r="B261" t="s">
        <v>1163</v>
      </c>
      <c r="C261" t="s">
        <v>325</v>
      </c>
      <c r="D261" t="s">
        <v>1164</v>
      </c>
      <c r="E261" t="s">
        <v>372</v>
      </c>
      <c r="F261" t="s">
        <v>1059</v>
      </c>
      <c r="H261" t="s">
        <v>554</v>
      </c>
      <c r="J261">
        <v>2019</v>
      </c>
      <c r="K261" t="s">
        <v>408</v>
      </c>
      <c r="L261">
        <v>43864</v>
      </c>
      <c r="N261" t="s">
        <v>243</v>
      </c>
      <c r="O261" t="s">
        <v>331</v>
      </c>
      <c r="P261" t="s">
        <v>1165</v>
      </c>
    </row>
    <row r="262" spans="1:16" x14ac:dyDescent="0.15">
      <c r="A262" t="s">
        <v>2772</v>
      </c>
      <c r="B262" t="s">
        <v>1166</v>
      </c>
      <c r="C262" t="s">
        <v>325</v>
      </c>
      <c r="D262" t="s">
        <v>326</v>
      </c>
      <c r="F262" t="s">
        <v>1167</v>
      </c>
      <c r="H262" t="s">
        <v>329</v>
      </c>
      <c r="J262">
        <v>2019</v>
      </c>
      <c r="K262" t="s">
        <v>458</v>
      </c>
      <c r="L262">
        <v>43776</v>
      </c>
      <c r="N262" t="s">
        <v>243</v>
      </c>
      <c r="P262" t="s">
        <v>1168</v>
      </c>
    </row>
    <row r="263" spans="1:16" x14ac:dyDescent="0.15">
      <c r="A263" t="s">
        <v>2773</v>
      </c>
      <c r="B263" t="s">
        <v>1169</v>
      </c>
      <c r="C263" t="s">
        <v>325</v>
      </c>
      <c r="D263" t="s">
        <v>738</v>
      </c>
      <c r="F263" t="s">
        <v>1170</v>
      </c>
      <c r="H263" t="s">
        <v>368</v>
      </c>
      <c r="J263">
        <v>2019</v>
      </c>
      <c r="K263" t="s">
        <v>666</v>
      </c>
      <c r="L263">
        <v>43805</v>
      </c>
      <c r="N263" t="s">
        <v>243</v>
      </c>
      <c r="P263" t="s">
        <v>1171</v>
      </c>
    </row>
    <row r="264" spans="1:16" x14ac:dyDescent="0.15">
      <c r="A264" t="s">
        <v>2774</v>
      </c>
      <c r="B264" t="s">
        <v>1172</v>
      </c>
      <c r="C264" t="s">
        <v>325</v>
      </c>
      <c r="D264" t="s">
        <v>405</v>
      </c>
      <c r="F264" t="s">
        <v>354</v>
      </c>
      <c r="G264" t="s">
        <v>1124</v>
      </c>
      <c r="H264" t="s">
        <v>407</v>
      </c>
      <c r="J264">
        <v>2019</v>
      </c>
      <c r="K264" t="s">
        <v>458</v>
      </c>
      <c r="L264">
        <v>43803</v>
      </c>
      <c r="N264" t="s">
        <v>243</v>
      </c>
      <c r="P264" t="s">
        <v>1173</v>
      </c>
    </row>
    <row r="265" spans="1:16" x14ac:dyDescent="0.15">
      <c r="A265" t="s">
        <v>2775</v>
      </c>
      <c r="B265" t="s">
        <v>1174</v>
      </c>
      <c r="C265" t="s">
        <v>325</v>
      </c>
      <c r="D265" t="s">
        <v>1175</v>
      </c>
      <c r="E265" t="s">
        <v>1175</v>
      </c>
      <c r="F265" t="s">
        <v>1176</v>
      </c>
      <c r="G265" t="s">
        <v>1177</v>
      </c>
      <c r="H265" t="s">
        <v>874</v>
      </c>
      <c r="J265">
        <v>2019</v>
      </c>
      <c r="K265" t="s">
        <v>458</v>
      </c>
      <c r="L265">
        <v>43874</v>
      </c>
      <c r="N265" t="s">
        <v>243</v>
      </c>
      <c r="P265" t="s">
        <v>1178</v>
      </c>
    </row>
    <row r="266" spans="1:16" x14ac:dyDescent="0.15">
      <c r="A266" t="s">
        <v>2776</v>
      </c>
      <c r="B266" t="s">
        <v>1179</v>
      </c>
      <c r="C266" t="s">
        <v>325</v>
      </c>
      <c r="D266" t="s">
        <v>326</v>
      </c>
      <c r="F266" t="s">
        <v>548</v>
      </c>
      <c r="G266" t="s">
        <v>1180</v>
      </c>
      <c r="H266" t="s">
        <v>485</v>
      </c>
      <c r="J266">
        <v>2019</v>
      </c>
      <c r="K266" t="s">
        <v>443</v>
      </c>
      <c r="L266">
        <v>43815</v>
      </c>
      <c r="N266" t="s">
        <v>243</v>
      </c>
      <c r="O266" t="s">
        <v>331</v>
      </c>
      <c r="P266" t="s">
        <v>1181</v>
      </c>
    </row>
    <row r="267" spans="1:16" x14ac:dyDescent="0.15">
      <c r="A267" t="s">
        <v>2776</v>
      </c>
      <c r="B267" t="s">
        <v>1182</v>
      </c>
      <c r="C267" t="s">
        <v>325</v>
      </c>
      <c r="D267" t="s">
        <v>326</v>
      </c>
      <c r="F267" t="s">
        <v>548</v>
      </c>
      <c r="G267" t="s">
        <v>1124</v>
      </c>
      <c r="H267" t="s">
        <v>485</v>
      </c>
      <c r="J267">
        <v>2019</v>
      </c>
      <c r="K267" t="s">
        <v>443</v>
      </c>
      <c r="L267">
        <v>43864</v>
      </c>
      <c r="N267" t="s">
        <v>243</v>
      </c>
      <c r="O267" t="s">
        <v>331</v>
      </c>
      <c r="P267" t="s">
        <v>1181</v>
      </c>
    </row>
    <row r="268" spans="1:16" x14ac:dyDescent="0.15">
      <c r="A268" t="s">
        <v>2777</v>
      </c>
      <c r="B268" t="s">
        <v>1183</v>
      </c>
      <c r="C268" t="s">
        <v>325</v>
      </c>
      <c r="D268" t="s">
        <v>1184</v>
      </c>
      <c r="E268" t="s">
        <v>372</v>
      </c>
      <c r="F268" t="s">
        <v>688</v>
      </c>
      <c r="G268" t="s">
        <v>1185</v>
      </c>
      <c r="H268" t="s">
        <v>388</v>
      </c>
      <c r="J268">
        <v>2019</v>
      </c>
      <c r="K268" t="s">
        <v>330</v>
      </c>
      <c r="L268">
        <v>43753</v>
      </c>
      <c r="N268" t="s">
        <v>243</v>
      </c>
      <c r="P268" t="s">
        <v>1186</v>
      </c>
    </row>
    <row r="269" spans="1:16" x14ac:dyDescent="0.15">
      <c r="A269" t="s">
        <v>2778</v>
      </c>
      <c r="B269" t="s">
        <v>1187</v>
      </c>
      <c r="C269" t="s">
        <v>325</v>
      </c>
      <c r="D269" t="s">
        <v>497</v>
      </c>
      <c r="F269" t="s">
        <v>647</v>
      </c>
      <c r="G269" t="s">
        <v>1188</v>
      </c>
      <c r="H269" t="s">
        <v>341</v>
      </c>
      <c r="J269">
        <v>2019</v>
      </c>
      <c r="K269" t="s">
        <v>521</v>
      </c>
      <c r="L269">
        <v>43874</v>
      </c>
      <c r="N269" t="s">
        <v>336</v>
      </c>
      <c r="P269" t="s">
        <v>1189</v>
      </c>
    </row>
    <row r="270" spans="1:16" x14ac:dyDescent="0.15">
      <c r="A270" t="s">
        <v>2779</v>
      </c>
      <c r="B270" t="s">
        <v>1190</v>
      </c>
      <c r="C270" t="s">
        <v>325</v>
      </c>
      <c r="D270" t="s">
        <v>415</v>
      </c>
      <c r="E270" t="s">
        <v>429</v>
      </c>
      <c r="F270" t="s">
        <v>1191</v>
      </c>
      <c r="H270" t="s">
        <v>347</v>
      </c>
      <c r="J270">
        <v>2019</v>
      </c>
      <c r="K270" t="s">
        <v>330</v>
      </c>
      <c r="L270">
        <v>43900</v>
      </c>
      <c r="N270" t="s">
        <v>243</v>
      </c>
      <c r="P270" t="s">
        <v>1192</v>
      </c>
    </row>
    <row r="271" spans="1:16" x14ac:dyDescent="0.15">
      <c r="A271" t="s">
        <v>2780</v>
      </c>
      <c r="B271" t="s">
        <v>1193</v>
      </c>
      <c r="C271" t="s">
        <v>325</v>
      </c>
      <c r="D271" t="s">
        <v>415</v>
      </c>
      <c r="E271" t="s">
        <v>429</v>
      </c>
      <c r="F271" t="s">
        <v>1194</v>
      </c>
      <c r="H271" t="s">
        <v>436</v>
      </c>
      <c r="I271" t="s">
        <v>1195</v>
      </c>
      <c r="J271">
        <v>2019</v>
      </c>
      <c r="K271" t="s">
        <v>408</v>
      </c>
      <c r="L271">
        <v>43819</v>
      </c>
      <c r="N271" t="s">
        <v>243</v>
      </c>
      <c r="O271" t="s">
        <v>331</v>
      </c>
      <c r="P271" t="s">
        <v>1196</v>
      </c>
    </row>
    <row r="272" spans="1:16" x14ac:dyDescent="0.15">
      <c r="A272" t="s">
        <v>2781</v>
      </c>
      <c r="B272" t="s">
        <v>1197</v>
      </c>
      <c r="C272" t="s">
        <v>325</v>
      </c>
      <c r="D272" t="s">
        <v>415</v>
      </c>
      <c r="E272" t="s">
        <v>1198</v>
      </c>
      <c r="F272" t="s">
        <v>1199</v>
      </c>
      <c r="G272" t="s">
        <v>1200</v>
      </c>
      <c r="H272" t="s">
        <v>1201</v>
      </c>
      <c r="I272" t="s">
        <v>1195</v>
      </c>
      <c r="J272">
        <v>2019</v>
      </c>
      <c r="K272" t="s">
        <v>330</v>
      </c>
      <c r="L272">
        <v>43840</v>
      </c>
      <c r="N272" t="s">
        <v>243</v>
      </c>
      <c r="P272" t="s">
        <v>1202</v>
      </c>
    </row>
    <row r="273" spans="1:16" x14ac:dyDescent="0.15">
      <c r="A273" t="s">
        <v>2782</v>
      </c>
      <c r="B273" t="s">
        <v>1203</v>
      </c>
      <c r="C273" t="s">
        <v>325</v>
      </c>
      <c r="D273" t="s">
        <v>483</v>
      </c>
      <c r="E273" t="s">
        <v>483</v>
      </c>
      <c r="F273" t="s">
        <v>1033</v>
      </c>
      <c r="G273" t="s">
        <v>1204</v>
      </c>
      <c r="H273" t="s">
        <v>436</v>
      </c>
      <c r="I273" t="s">
        <v>1195</v>
      </c>
      <c r="J273">
        <v>2019</v>
      </c>
      <c r="K273" t="s">
        <v>458</v>
      </c>
      <c r="L273">
        <v>43913</v>
      </c>
      <c r="N273" t="s">
        <v>243</v>
      </c>
      <c r="P273" t="s">
        <v>1205</v>
      </c>
    </row>
    <row r="274" spans="1:16" x14ac:dyDescent="0.15">
      <c r="A274" t="s">
        <v>2783</v>
      </c>
      <c r="B274" t="s">
        <v>1206</v>
      </c>
      <c r="C274" t="s">
        <v>325</v>
      </c>
      <c r="D274" t="s">
        <v>818</v>
      </c>
      <c r="F274" t="s">
        <v>819</v>
      </c>
      <c r="G274" t="s">
        <v>1207</v>
      </c>
      <c r="H274" t="s">
        <v>341</v>
      </c>
      <c r="I274" t="s">
        <v>1195</v>
      </c>
      <c r="J274">
        <v>2019</v>
      </c>
      <c r="K274" t="s">
        <v>521</v>
      </c>
      <c r="L274">
        <v>43819</v>
      </c>
      <c r="N274" t="s">
        <v>243</v>
      </c>
      <c r="P274" t="s">
        <v>1208</v>
      </c>
    </row>
    <row r="275" spans="1:16" x14ac:dyDescent="0.15">
      <c r="A275" t="s">
        <v>2784</v>
      </c>
      <c r="B275" t="s">
        <v>1054</v>
      </c>
      <c r="C275" t="s">
        <v>325</v>
      </c>
      <c r="D275" t="s">
        <v>1055</v>
      </c>
      <c r="E275" t="s">
        <v>641</v>
      </c>
      <c r="F275" t="s">
        <v>1209</v>
      </c>
      <c r="H275" t="s">
        <v>554</v>
      </c>
      <c r="I275" t="s">
        <v>1195</v>
      </c>
      <c r="J275">
        <v>2019</v>
      </c>
      <c r="K275" t="s">
        <v>408</v>
      </c>
      <c r="N275" t="s">
        <v>243</v>
      </c>
      <c r="O275" t="s">
        <v>331</v>
      </c>
      <c r="P275" t="s">
        <v>1210</v>
      </c>
    </row>
    <row r="276" spans="1:16" x14ac:dyDescent="0.15">
      <c r="A276" t="s">
        <v>2785</v>
      </c>
      <c r="B276" t="s">
        <v>1211</v>
      </c>
      <c r="C276" t="s">
        <v>325</v>
      </c>
      <c r="D276" t="s">
        <v>345</v>
      </c>
      <c r="F276" t="s">
        <v>1212</v>
      </c>
      <c r="H276" t="s">
        <v>485</v>
      </c>
      <c r="I276" t="s">
        <v>1195</v>
      </c>
      <c r="J276">
        <v>2019</v>
      </c>
      <c r="K276" t="s">
        <v>1213</v>
      </c>
      <c r="L276">
        <v>43878</v>
      </c>
      <c r="N276" t="s">
        <v>243</v>
      </c>
      <c r="O276" t="s">
        <v>331</v>
      </c>
      <c r="P276" t="s">
        <v>1214</v>
      </c>
    </row>
    <row r="277" spans="1:16" x14ac:dyDescent="0.15">
      <c r="A277" t="s">
        <v>2786</v>
      </c>
      <c r="B277" t="s">
        <v>1215</v>
      </c>
      <c r="C277" t="s">
        <v>325</v>
      </c>
      <c r="D277" t="s">
        <v>372</v>
      </c>
      <c r="F277" t="s">
        <v>509</v>
      </c>
      <c r="G277" t="s">
        <v>1216</v>
      </c>
      <c r="H277" t="s">
        <v>374</v>
      </c>
      <c r="I277" t="s">
        <v>1195</v>
      </c>
      <c r="J277">
        <v>2019</v>
      </c>
      <c r="K277" t="s">
        <v>521</v>
      </c>
      <c r="L277">
        <v>43938</v>
      </c>
      <c r="N277" t="s">
        <v>243</v>
      </c>
      <c r="P277" t="s">
        <v>1217</v>
      </c>
    </row>
    <row r="278" spans="1:16" x14ac:dyDescent="0.15">
      <c r="A278" t="s">
        <v>2786</v>
      </c>
      <c r="B278" t="s">
        <v>1218</v>
      </c>
      <c r="C278" t="s">
        <v>325</v>
      </c>
      <c r="D278" t="s">
        <v>372</v>
      </c>
      <c r="F278" t="s">
        <v>509</v>
      </c>
      <c r="G278" t="s">
        <v>1219</v>
      </c>
      <c r="H278" t="s">
        <v>374</v>
      </c>
      <c r="I278" t="s">
        <v>1195</v>
      </c>
      <c r="J278">
        <v>2019</v>
      </c>
      <c r="K278" t="s">
        <v>521</v>
      </c>
      <c r="L278">
        <v>43845</v>
      </c>
      <c r="N278" t="s">
        <v>336</v>
      </c>
    </row>
    <row r="279" spans="1:16" x14ac:dyDescent="0.15">
      <c r="A279" t="s">
        <v>2787</v>
      </c>
      <c r="C279" t="s">
        <v>325</v>
      </c>
      <c r="D279" t="s">
        <v>404</v>
      </c>
      <c r="E279" t="s">
        <v>593</v>
      </c>
      <c r="F279" t="s">
        <v>965</v>
      </c>
      <c r="G279" t="s">
        <v>1220</v>
      </c>
      <c r="H279" t="s">
        <v>368</v>
      </c>
      <c r="I279" t="s">
        <v>1195</v>
      </c>
      <c r="J279">
        <v>2019</v>
      </c>
      <c r="K279" t="s">
        <v>458</v>
      </c>
      <c r="N279" t="s">
        <v>336</v>
      </c>
      <c r="P279" t="s">
        <v>1221</v>
      </c>
    </row>
    <row r="280" spans="1:16" x14ac:dyDescent="0.15">
      <c r="A280" t="s">
        <v>2788</v>
      </c>
      <c r="B280" t="s">
        <v>1222</v>
      </c>
      <c r="C280" t="s">
        <v>325</v>
      </c>
      <c r="D280" t="s">
        <v>593</v>
      </c>
      <c r="E280" t="s">
        <v>593</v>
      </c>
      <c r="F280" t="s">
        <v>1223</v>
      </c>
      <c r="G280" t="s">
        <v>1224</v>
      </c>
      <c r="H280" t="s">
        <v>861</v>
      </c>
      <c r="I280" t="s">
        <v>1195</v>
      </c>
      <c r="J280">
        <v>2019</v>
      </c>
      <c r="K280" t="s">
        <v>458</v>
      </c>
      <c r="L280">
        <v>43830</v>
      </c>
      <c r="M280" t="s">
        <v>1225</v>
      </c>
      <c r="N280" t="s">
        <v>336</v>
      </c>
      <c r="P280" t="s">
        <v>1226</v>
      </c>
    </row>
    <row r="281" spans="1:16" x14ac:dyDescent="0.15">
      <c r="A281" t="s">
        <v>2789</v>
      </c>
      <c r="B281" t="s">
        <v>1227</v>
      </c>
      <c r="C281" t="s">
        <v>325</v>
      </c>
      <c r="D281" t="s">
        <v>345</v>
      </c>
      <c r="F281" t="s">
        <v>1228</v>
      </c>
      <c r="H281" t="s">
        <v>595</v>
      </c>
      <c r="I281" t="s">
        <v>1195</v>
      </c>
      <c r="J281">
        <v>2019</v>
      </c>
      <c r="K281" t="s">
        <v>443</v>
      </c>
      <c r="L281">
        <v>43921</v>
      </c>
      <c r="N281" t="s">
        <v>243</v>
      </c>
      <c r="O281" t="s">
        <v>331</v>
      </c>
      <c r="P281" t="s">
        <v>1229</v>
      </c>
    </row>
    <row r="282" spans="1:16" x14ac:dyDescent="0.15">
      <c r="A282" t="s">
        <v>2789</v>
      </c>
      <c r="B282" t="s">
        <v>1230</v>
      </c>
      <c r="C282" t="s">
        <v>325</v>
      </c>
      <c r="D282" t="s">
        <v>345</v>
      </c>
      <c r="F282" t="s">
        <v>1228</v>
      </c>
      <c r="G282" t="s">
        <v>1231</v>
      </c>
      <c r="H282" t="s">
        <v>595</v>
      </c>
      <c r="I282" t="s">
        <v>1195</v>
      </c>
      <c r="J282">
        <v>2019</v>
      </c>
      <c r="K282" t="s">
        <v>443</v>
      </c>
      <c r="L282">
        <v>43921</v>
      </c>
      <c r="N282" t="s">
        <v>243</v>
      </c>
      <c r="O282" t="s">
        <v>331</v>
      </c>
      <c r="P282" t="s">
        <v>1229</v>
      </c>
    </row>
    <row r="283" spans="1:16" x14ac:dyDescent="0.15">
      <c r="A283" t="s">
        <v>2789</v>
      </c>
      <c r="B283" t="s">
        <v>1232</v>
      </c>
      <c r="C283" t="s">
        <v>325</v>
      </c>
      <c r="D283" t="s">
        <v>345</v>
      </c>
      <c r="F283" t="s">
        <v>1228</v>
      </c>
      <c r="G283" t="s">
        <v>1233</v>
      </c>
      <c r="H283" t="s">
        <v>595</v>
      </c>
      <c r="I283" t="s">
        <v>1195</v>
      </c>
      <c r="J283">
        <v>2019</v>
      </c>
      <c r="K283" t="s">
        <v>443</v>
      </c>
      <c r="L283">
        <v>43921</v>
      </c>
      <c r="N283" t="s">
        <v>243</v>
      </c>
      <c r="O283" t="s">
        <v>331</v>
      </c>
      <c r="P283" t="s">
        <v>1229</v>
      </c>
    </row>
    <row r="284" spans="1:16" x14ac:dyDescent="0.15">
      <c r="A284" t="s">
        <v>2790</v>
      </c>
      <c r="B284" t="s">
        <v>1234</v>
      </c>
      <c r="C284" t="s">
        <v>325</v>
      </c>
      <c r="D284" t="s">
        <v>824</v>
      </c>
      <c r="F284" t="s">
        <v>1235</v>
      </c>
      <c r="G284" t="s">
        <v>1236</v>
      </c>
      <c r="H284" t="s">
        <v>411</v>
      </c>
      <c r="I284" t="s">
        <v>1195</v>
      </c>
      <c r="J284">
        <v>2019</v>
      </c>
      <c r="K284" t="s">
        <v>458</v>
      </c>
      <c r="L284">
        <v>43809</v>
      </c>
      <c r="N284" t="s">
        <v>336</v>
      </c>
      <c r="P284" t="s">
        <v>1237</v>
      </c>
    </row>
    <row r="285" spans="1:16" x14ac:dyDescent="0.15">
      <c r="A285" t="s">
        <v>2791</v>
      </c>
      <c r="B285" t="s">
        <v>1238</v>
      </c>
      <c r="C285" t="s">
        <v>325</v>
      </c>
      <c r="D285" t="s">
        <v>326</v>
      </c>
      <c r="E285" t="s">
        <v>1239</v>
      </c>
      <c r="F285" t="s">
        <v>1240</v>
      </c>
      <c r="G285" t="s">
        <v>1241</v>
      </c>
      <c r="H285" t="s">
        <v>1242</v>
      </c>
      <c r="I285" t="s">
        <v>1195</v>
      </c>
      <c r="J285">
        <v>2020</v>
      </c>
      <c r="K285" t="s">
        <v>666</v>
      </c>
      <c r="L285">
        <v>44129</v>
      </c>
      <c r="N285" t="s">
        <v>243</v>
      </c>
      <c r="P285" t="s">
        <v>1243</v>
      </c>
    </row>
    <row r="286" spans="1:16" x14ac:dyDescent="0.15">
      <c r="A286" t="s">
        <v>2791</v>
      </c>
      <c r="B286" t="s">
        <v>1244</v>
      </c>
      <c r="C286" t="s">
        <v>325</v>
      </c>
      <c r="D286" t="s">
        <v>326</v>
      </c>
      <c r="E286" t="s">
        <v>1239</v>
      </c>
      <c r="F286" t="s">
        <v>1240</v>
      </c>
      <c r="G286" t="s">
        <v>1241</v>
      </c>
      <c r="H286" t="s">
        <v>1242</v>
      </c>
      <c r="I286" t="s">
        <v>1195</v>
      </c>
      <c r="J286">
        <v>2020</v>
      </c>
      <c r="K286" t="s">
        <v>666</v>
      </c>
      <c r="L286" t="s">
        <v>1245</v>
      </c>
      <c r="P286" t="s">
        <v>1243</v>
      </c>
    </row>
    <row r="287" spans="1:16" x14ac:dyDescent="0.15">
      <c r="A287" t="s">
        <v>2792</v>
      </c>
      <c r="B287" t="s">
        <v>1246</v>
      </c>
      <c r="C287" t="s">
        <v>325</v>
      </c>
      <c r="D287" t="s">
        <v>1247</v>
      </c>
      <c r="F287" t="s">
        <v>1248</v>
      </c>
      <c r="H287" t="s">
        <v>374</v>
      </c>
      <c r="I287" t="s">
        <v>1195</v>
      </c>
      <c r="J287">
        <v>2019</v>
      </c>
      <c r="K287" t="s">
        <v>408</v>
      </c>
      <c r="L287">
        <v>43878</v>
      </c>
      <c r="N287" t="s">
        <v>243</v>
      </c>
      <c r="O287" t="s">
        <v>331</v>
      </c>
      <c r="P287" t="s">
        <v>1249</v>
      </c>
    </row>
    <row r="288" spans="1:16" x14ac:dyDescent="0.15">
      <c r="A288" t="s">
        <v>2793</v>
      </c>
      <c r="B288" t="s">
        <v>597</v>
      </c>
      <c r="C288" t="s">
        <v>325</v>
      </c>
      <c r="D288" t="s">
        <v>404</v>
      </c>
      <c r="E288" t="s">
        <v>675</v>
      </c>
      <c r="F288" t="s">
        <v>1250</v>
      </c>
      <c r="H288" t="s">
        <v>411</v>
      </c>
      <c r="I288" t="s">
        <v>1195</v>
      </c>
      <c r="J288">
        <v>2019</v>
      </c>
      <c r="K288" t="s">
        <v>408</v>
      </c>
      <c r="N288" t="s">
        <v>597</v>
      </c>
      <c r="O288" t="s">
        <v>331</v>
      </c>
      <c r="P288" t="s">
        <v>1251</v>
      </c>
    </row>
    <row r="289" spans="1:16" x14ac:dyDescent="0.15">
      <c r="A289" t="s">
        <v>2794</v>
      </c>
      <c r="B289" t="s">
        <v>1252</v>
      </c>
      <c r="C289" t="s">
        <v>325</v>
      </c>
      <c r="D289" t="s">
        <v>372</v>
      </c>
      <c r="F289" t="s">
        <v>1253</v>
      </c>
      <c r="G289" t="s">
        <v>1254</v>
      </c>
      <c r="H289" t="s">
        <v>773</v>
      </c>
      <c r="I289" t="s">
        <v>1195</v>
      </c>
      <c r="J289">
        <v>2019</v>
      </c>
      <c r="K289" t="s">
        <v>458</v>
      </c>
      <c r="L289">
        <v>43811</v>
      </c>
      <c r="N289" t="s">
        <v>336</v>
      </c>
      <c r="P289" t="s">
        <v>1255</v>
      </c>
    </row>
    <row r="290" spans="1:16" x14ac:dyDescent="0.15">
      <c r="A290" t="s">
        <v>2795</v>
      </c>
      <c r="B290" t="s">
        <v>1256</v>
      </c>
      <c r="C290" t="s">
        <v>325</v>
      </c>
      <c r="D290" t="s">
        <v>471</v>
      </c>
      <c r="E290" t="s">
        <v>471</v>
      </c>
      <c r="F290" t="s">
        <v>1257</v>
      </c>
      <c r="G290" t="s">
        <v>1258</v>
      </c>
      <c r="H290" t="s">
        <v>341</v>
      </c>
      <c r="I290" t="s">
        <v>1195</v>
      </c>
      <c r="J290">
        <v>2019</v>
      </c>
      <c r="K290" t="s">
        <v>666</v>
      </c>
      <c r="L290" t="s">
        <v>1259</v>
      </c>
      <c r="N290" t="s">
        <v>243</v>
      </c>
      <c r="P290" t="s">
        <v>1260</v>
      </c>
    </row>
    <row r="291" spans="1:16" x14ac:dyDescent="0.15">
      <c r="A291" t="s">
        <v>2796</v>
      </c>
      <c r="B291" t="s">
        <v>1261</v>
      </c>
      <c r="C291" t="s">
        <v>325</v>
      </c>
      <c r="D291" t="s">
        <v>326</v>
      </c>
      <c r="F291" t="s">
        <v>1262</v>
      </c>
      <c r="H291" t="s">
        <v>612</v>
      </c>
      <c r="I291" t="s">
        <v>1195</v>
      </c>
      <c r="J291">
        <v>2019</v>
      </c>
      <c r="K291" t="s">
        <v>443</v>
      </c>
      <c r="L291">
        <v>44104</v>
      </c>
      <c r="N291" t="s">
        <v>243</v>
      </c>
      <c r="O291" t="s">
        <v>331</v>
      </c>
      <c r="P291" t="s">
        <v>1263</v>
      </c>
    </row>
    <row r="292" spans="1:16" x14ac:dyDescent="0.15">
      <c r="A292" t="s">
        <v>2797</v>
      </c>
      <c r="B292" t="s">
        <v>1264</v>
      </c>
      <c r="C292" t="s">
        <v>325</v>
      </c>
      <c r="D292" t="s">
        <v>731</v>
      </c>
      <c r="E292" t="s">
        <v>372</v>
      </c>
      <c r="F292" t="s">
        <v>1265</v>
      </c>
      <c r="G292" t="s">
        <v>1266</v>
      </c>
      <c r="H292" t="s">
        <v>554</v>
      </c>
      <c r="I292" t="s">
        <v>1195</v>
      </c>
      <c r="J292">
        <v>2019</v>
      </c>
      <c r="K292" t="s">
        <v>666</v>
      </c>
      <c r="N292" t="s">
        <v>243</v>
      </c>
      <c r="P292" t="s">
        <v>1267</v>
      </c>
    </row>
    <row r="293" spans="1:16" x14ac:dyDescent="0.15">
      <c r="A293" t="s">
        <v>2798</v>
      </c>
      <c r="B293" t="s">
        <v>1268</v>
      </c>
      <c r="C293" t="s">
        <v>325</v>
      </c>
      <c r="D293" t="s">
        <v>415</v>
      </c>
      <c r="E293" t="s">
        <v>1040</v>
      </c>
      <c r="F293" t="s">
        <v>1040</v>
      </c>
      <c r="G293" t="s">
        <v>1269</v>
      </c>
      <c r="H293" t="s">
        <v>374</v>
      </c>
      <c r="I293" t="s">
        <v>1195</v>
      </c>
      <c r="J293">
        <v>2019</v>
      </c>
      <c r="K293" t="s">
        <v>443</v>
      </c>
      <c r="L293">
        <v>43951</v>
      </c>
      <c r="N293" t="s">
        <v>243</v>
      </c>
      <c r="O293" t="s">
        <v>331</v>
      </c>
      <c r="P293" t="s">
        <v>1270</v>
      </c>
    </row>
    <row r="294" spans="1:16" x14ac:dyDescent="0.15">
      <c r="A294" t="s">
        <v>2798</v>
      </c>
      <c r="B294" t="s">
        <v>1271</v>
      </c>
      <c r="C294" t="s">
        <v>325</v>
      </c>
      <c r="D294" t="s">
        <v>415</v>
      </c>
      <c r="E294" t="s">
        <v>1040</v>
      </c>
      <c r="F294" t="s">
        <v>1040</v>
      </c>
      <c r="G294" t="s">
        <v>1272</v>
      </c>
      <c r="H294" t="s">
        <v>374</v>
      </c>
      <c r="I294" t="s">
        <v>1195</v>
      </c>
      <c r="J294">
        <v>2019</v>
      </c>
      <c r="K294" t="s">
        <v>443</v>
      </c>
      <c r="L294">
        <v>43983</v>
      </c>
      <c r="N294" t="s">
        <v>243</v>
      </c>
      <c r="O294" t="s">
        <v>331</v>
      </c>
      <c r="P294" t="s">
        <v>1270</v>
      </c>
    </row>
    <row r="295" spans="1:16" x14ac:dyDescent="0.15">
      <c r="A295" t="s">
        <v>2799</v>
      </c>
      <c r="B295" t="s">
        <v>1273</v>
      </c>
      <c r="C295" t="s">
        <v>325</v>
      </c>
      <c r="D295" t="s">
        <v>483</v>
      </c>
      <c r="E295" t="s">
        <v>483</v>
      </c>
      <c r="F295" t="s">
        <v>1033</v>
      </c>
      <c r="G295" t="s">
        <v>1274</v>
      </c>
      <c r="H295" t="s">
        <v>436</v>
      </c>
      <c r="I295" t="s">
        <v>1195</v>
      </c>
      <c r="J295">
        <v>2020</v>
      </c>
      <c r="K295" t="s">
        <v>458</v>
      </c>
      <c r="L295">
        <v>43956</v>
      </c>
      <c r="N295" t="s">
        <v>243</v>
      </c>
      <c r="P295" t="s">
        <v>1275</v>
      </c>
    </row>
    <row r="296" spans="1:16" x14ac:dyDescent="0.15">
      <c r="A296" t="s">
        <v>2800</v>
      </c>
      <c r="B296" t="s">
        <v>1276</v>
      </c>
      <c r="C296" t="s">
        <v>325</v>
      </c>
      <c r="D296" t="s">
        <v>1158</v>
      </c>
      <c r="E296" t="s">
        <v>372</v>
      </c>
      <c r="F296" t="s">
        <v>1277</v>
      </c>
      <c r="G296" t="s">
        <v>1180</v>
      </c>
      <c r="H296" t="s">
        <v>1278</v>
      </c>
      <c r="I296" t="s">
        <v>1195</v>
      </c>
      <c r="J296">
        <v>2020</v>
      </c>
      <c r="K296" t="s">
        <v>408</v>
      </c>
      <c r="L296" t="s">
        <v>1279</v>
      </c>
      <c r="N296" t="s">
        <v>243</v>
      </c>
      <c r="O296" t="s">
        <v>331</v>
      </c>
      <c r="P296" t="s">
        <v>1280</v>
      </c>
    </row>
    <row r="297" spans="1:16" x14ac:dyDescent="0.15">
      <c r="A297" t="s">
        <v>2801</v>
      </c>
      <c r="B297" t="s">
        <v>1281</v>
      </c>
      <c r="C297" t="s">
        <v>325</v>
      </c>
      <c r="D297" t="s">
        <v>415</v>
      </c>
      <c r="E297" t="s">
        <v>1282</v>
      </c>
      <c r="F297" t="s">
        <v>1283</v>
      </c>
      <c r="H297" t="s">
        <v>1284</v>
      </c>
      <c r="I297" t="s">
        <v>1195</v>
      </c>
      <c r="J297">
        <v>2020</v>
      </c>
      <c r="K297" t="s">
        <v>330</v>
      </c>
      <c r="L297">
        <v>43951</v>
      </c>
      <c r="N297" t="s">
        <v>243</v>
      </c>
      <c r="P297" t="s">
        <v>1285</v>
      </c>
    </row>
    <row r="298" spans="1:16" x14ac:dyDescent="0.15">
      <c r="A298" t="s">
        <v>2802</v>
      </c>
      <c r="B298" t="s">
        <v>1286</v>
      </c>
      <c r="C298" t="s">
        <v>325</v>
      </c>
      <c r="D298" t="s">
        <v>345</v>
      </c>
      <c r="F298" t="s">
        <v>1287</v>
      </c>
      <c r="H298" t="s">
        <v>1242</v>
      </c>
      <c r="I298" t="s">
        <v>1195</v>
      </c>
      <c r="J298">
        <v>2020</v>
      </c>
      <c r="K298" t="s">
        <v>443</v>
      </c>
      <c r="L298">
        <v>43941</v>
      </c>
      <c r="N298" t="s">
        <v>243</v>
      </c>
      <c r="O298" t="s">
        <v>331</v>
      </c>
      <c r="P298" t="s">
        <v>1288</v>
      </c>
    </row>
    <row r="299" spans="1:16" x14ac:dyDescent="0.15">
      <c r="A299" t="s">
        <v>2803</v>
      </c>
      <c r="B299" t="s">
        <v>1289</v>
      </c>
      <c r="C299" t="s">
        <v>325</v>
      </c>
      <c r="D299" t="s">
        <v>399</v>
      </c>
      <c r="F299" t="s">
        <v>1290</v>
      </c>
      <c r="H299" t="s">
        <v>485</v>
      </c>
      <c r="I299" t="s">
        <v>1195</v>
      </c>
      <c r="J299">
        <v>2020</v>
      </c>
      <c r="K299" t="s">
        <v>458</v>
      </c>
      <c r="L299">
        <v>44036</v>
      </c>
      <c r="N299" t="s">
        <v>243</v>
      </c>
      <c r="P299" t="s">
        <v>1291</v>
      </c>
    </row>
    <row r="300" spans="1:16" x14ac:dyDescent="0.15">
      <c r="A300" t="s">
        <v>2804</v>
      </c>
      <c r="B300" t="s">
        <v>1292</v>
      </c>
      <c r="C300" t="s">
        <v>325</v>
      </c>
      <c r="D300" t="s">
        <v>1293</v>
      </c>
      <c r="E300" t="s">
        <v>1293</v>
      </c>
      <c r="F300" t="s">
        <v>1294</v>
      </c>
      <c r="G300" t="s">
        <v>1295</v>
      </c>
      <c r="H300" t="s">
        <v>499</v>
      </c>
      <c r="I300" t="s">
        <v>1195</v>
      </c>
      <c r="J300">
        <v>2020</v>
      </c>
      <c r="K300" t="s">
        <v>408</v>
      </c>
      <c r="L300">
        <v>44058</v>
      </c>
      <c r="N300" t="s">
        <v>243</v>
      </c>
      <c r="O300" t="s">
        <v>331</v>
      </c>
      <c r="P300" t="s">
        <v>1296</v>
      </c>
    </row>
    <row r="301" spans="1:16" x14ac:dyDescent="0.15">
      <c r="A301" t="s">
        <v>2805</v>
      </c>
      <c r="B301" t="s">
        <v>1297</v>
      </c>
      <c r="C301" t="s">
        <v>325</v>
      </c>
      <c r="D301" t="s">
        <v>471</v>
      </c>
      <c r="E301" t="s">
        <v>471</v>
      </c>
      <c r="F301" t="s">
        <v>1298</v>
      </c>
      <c r="H301" t="s">
        <v>341</v>
      </c>
      <c r="I301" t="s">
        <v>1195</v>
      </c>
      <c r="J301">
        <v>2020</v>
      </c>
      <c r="K301" t="s">
        <v>330</v>
      </c>
      <c r="L301">
        <v>44061</v>
      </c>
      <c r="N301" t="s">
        <v>243</v>
      </c>
      <c r="P301" t="s">
        <v>1299</v>
      </c>
    </row>
    <row r="302" spans="1:16" x14ac:dyDescent="0.15">
      <c r="A302" t="s">
        <v>2806</v>
      </c>
      <c r="B302" t="s">
        <v>1300</v>
      </c>
      <c r="C302" t="s">
        <v>325</v>
      </c>
      <c r="D302" t="s">
        <v>372</v>
      </c>
      <c r="E302" t="s">
        <v>372</v>
      </c>
      <c r="F302" t="s">
        <v>509</v>
      </c>
      <c r="G302" t="s">
        <v>1301</v>
      </c>
      <c r="H302" t="s">
        <v>374</v>
      </c>
      <c r="I302" t="s">
        <v>1195</v>
      </c>
      <c r="J302">
        <v>2020</v>
      </c>
      <c r="K302" t="s">
        <v>330</v>
      </c>
      <c r="L302">
        <v>43962</v>
      </c>
      <c r="N302" t="s">
        <v>243</v>
      </c>
      <c r="P302" t="s">
        <v>1302</v>
      </c>
    </row>
    <row r="303" spans="1:16" x14ac:dyDescent="0.15">
      <c r="A303" t="s">
        <v>2806</v>
      </c>
      <c r="B303" t="s">
        <v>1303</v>
      </c>
      <c r="C303" t="s">
        <v>325</v>
      </c>
      <c r="D303" t="s">
        <v>372</v>
      </c>
      <c r="E303" t="s">
        <v>372</v>
      </c>
      <c r="F303" t="s">
        <v>509</v>
      </c>
      <c r="G303" t="s">
        <v>1304</v>
      </c>
      <c r="H303" t="s">
        <v>374</v>
      </c>
      <c r="I303" t="s">
        <v>1195</v>
      </c>
      <c r="J303">
        <v>2020</v>
      </c>
      <c r="K303" t="s">
        <v>330</v>
      </c>
      <c r="L303">
        <v>43986</v>
      </c>
      <c r="N303" t="s">
        <v>243</v>
      </c>
      <c r="P303" t="s">
        <v>1302</v>
      </c>
    </row>
    <row r="304" spans="1:16" x14ac:dyDescent="0.15">
      <c r="A304" t="s">
        <v>2807</v>
      </c>
      <c r="B304" t="s">
        <v>1305</v>
      </c>
      <c r="C304" t="s">
        <v>325</v>
      </c>
      <c r="D304" t="s">
        <v>818</v>
      </c>
      <c r="E304" t="s">
        <v>558</v>
      </c>
      <c r="F304" t="s">
        <v>819</v>
      </c>
      <c r="G304" t="s">
        <v>1306</v>
      </c>
      <c r="H304" t="s">
        <v>341</v>
      </c>
      <c r="I304" t="s">
        <v>1195</v>
      </c>
      <c r="J304">
        <v>2020</v>
      </c>
      <c r="K304" t="s">
        <v>666</v>
      </c>
      <c r="L304">
        <v>44134</v>
      </c>
      <c r="N304" t="s">
        <v>243</v>
      </c>
      <c r="P304" t="s">
        <v>1307</v>
      </c>
    </row>
    <row r="305" spans="1:16" x14ac:dyDescent="0.15">
      <c r="A305" t="s">
        <v>2807</v>
      </c>
      <c r="B305" t="s">
        <v>1308</v>
      </c>
      <c r="C305" t="s">
        <v>325</v>
      </c>
      <c r="D305" t="s">
        <v>818</v>
      </c>
      <c r="E305" t="s">
        <v>558</v>
      </c>
      <c r="F305" t="s">
        <v>819</v>
      </c>
      <c r="G305" t="s">
        <v>1309</v>
      </c>
      <c r="H305" t="s">
        <v>341</v>
      </c>
      <c r="I305" t="s">
        <v>1195</v>
      </c>
      <c r="J305">
        <v>2020</v>
      </c>
      <c r="K305" t="s">
        <v>666</v>
      </c>
      <c r="L305" t="s">
        <v>1310</v>
      </c>
      <c r="N305" t="s">
        <v>243</v>
      </c>
      <c r="P305" t="s">
        <v>1307</v>
      </c>
    </row>
    <row r="306" spans="1:16" x14ac:dyDescent="0.15">
      <c r="A306" t="s">
        <v>2807</v>
      </c>
      <c r="B306" t="s">
        <v>1311</v>
      </c>
      <c r="C306" t="s">
        <v>325</v>
      </c>
      <c r="D306" t="s">
        <v>818</v>
      </c>
      <c r="E306" t="s">
        <v>558</v>
      </c>
      <c r="F306" t="s">
        <v>819</v>
      </c>
      <c r="G306" t="s">
        <v>1312</v>
      </c>
      <c r="H306" t="s">
        <v>341</v>
      </c>
      <c r="I306" t="s">
        <v>1195</v>
      </c>
      <c r="J306">
        <v>2020</v>
      </c>
      <c r="K306" t="s">
        <v>666</v>
      </c>
      <c r="L306">
        <v>44165</v>
      </c>
      <c r="N306" t="s">
        <v>243</v>
      </c>
      <c r="P306" t="s">
        <v>1307</v>
      </c>
    </row>
    <row r="307" spans="1:16" x14ac:dyDescent="0.15">
      <c r="A307" t="s">
        <v>2808</v>
      </c>
      <c r="B307" t="s">
        <v>1313</v>
      </c>
      <c r="C307" t="s">
        <v>325</v>
      </c>
      <c r="D307" t="s">
        <v>1314</v>
      </c>
      <c r="F307" t="s">
        <v>1315</v>
      </c>
      <c r="G307" t="s">
        <v>1316</v>
      </c>
      <c r="H307" t="s">
        <v>388</v>
      </c>
      <c r="I307" t="s">
        <v>1195</v>
      </c>
      <c r="J307">
        <v>2020</v>
      </c>
      <c r="K307" t="s">
        <v>458</v>
      </c>
      <c r="L307">
        <v>43966</v>
      </c>
      <c r="N307" t="s">
        <v>243</v>
      </c>
      <c r="P307" t="s">
        <v>1317</v>
      </c>
    </row>
    <row r="308" spans="1:16" x14ac:dyDescent="0.15">
      <c r="A308" t="s">
        <v>2809</v>
      </c>
      <c r="B308" t="s">
        <v>1318</v>
      </c>
      <c r="C308" t="s">
        <v>325</v>
      </c>
      <c r="D308" t="s">
        <v>1319</v>
      </c>
      <c r="E308" t="s">
        <v>372</v>
      </c>
      <c r="F308" t="s">
        <v>1159</v>
      </c>
      <c r="G308" t="s">
        <v>1320</v>
      </c>
      <c r="H308" t="s">
        <v>440</v>
      </c>
      <c r="I308" t="s">
        <v>1195</v>
      </c>
      <c r="J308">
        <v>2020</v>
      </c>
      <c r="K308" t="s">
        <v>666</v>
      </c>
      <c r="L308">
        <v>44135</v>
      </c>
      <c r="N308" t="s">
        <v>243</v>
      </c>
      <c r="P308" t="s">
        <v>1321</v>
      </c>
    </row>
    <row r="309" spans="1:16" x14ac:dyDescent="0.15">
      <c r="A309" t="s">
        <v>2810</v>
      </c>
      <c r="B309" t="s">
        <v>1322</v>
      </c>
      <c r="C309" t="s">
        <v>325</v>
      </c>
      <c r="D309" t="s">
        <v>405</v>
      </c>
      <c r="F309" t="s">
        <v>1323</v>
      </c>
      <c r="H309" t="s">
        <v>407</v>
      </c>
      <c r="I309" t="s">
        <v>1195</v>
      </c>
      <c r="J309">
        <v>2020</v>
      </c>
      <c r="K309" t="s">
        <v>443</v>
      </c>
      <c r="L309">
        <v>44061</v>
      </c>
      <c r="N309" t="s">
        <v>243</v>
      </c>
      <c r="O309" t="s">
        <v>331</v>
      </c>
      <c r="P309" t="s">
        <v>1324</v>
      </c>
    </row>
    <row r="310" spans="1:16" x14ac:dyDescent="0.15">
      <c r="A310" t="s">
        <v>2810</v>
      </c>
      <c r="B310" t="s">
        <v>1325</v>
      </c>
      <c r="C310" t="s">
        <v>325</v>
      </c>
      <c r="D310" t="s">
        <v>405</v>
      </c>
      <c r="F310" t="s">
        <v>1323</v>
      </c>
      <c r="G310" t="s">
        <v>1326</v>
      </c>
      <c r="H310" t="s">
        <v>407</v>
      </c>
      <c r="I310" t="s">
        <v>1195</v>
      </c>
      <c r="J310">
        <v>2020</v>
      </c>
      <c r="K310" t="s">
        <v>443</v>
      </c>
      <c r="L310">
        <v>44061</v>
      </c>
      <c r="N310" t="s">
        <v>243</v>
      </c>
      <c r="O310" t="s">
        <v>331</v>
      </c>
      <c r="P310" t="s">
        <v>1324</v>
      </c>
    </row>
    <row r="311" spans="1:16" x14ac:dyDescent="0.15">
      <c r="A311" t="s">
        <v>2811</v>
      </c>
      <c r="B311" t="s">
        <v>1327</v>
      </c>
      <c r="C311" t="s">
        <v>325</v>
      </c>
      <c r="D311" t="s">
        <v>1328</v>
      </c>
      <c r="E311" t="s">
        <v>497</v>
      </c>
      <c r="F311" t="s">
        <v>1329</v>
      </c>
      <c r="G311" t="s">
        <v>354</v>
      </c>
      <c r="H311" t="s">
        <v>499</v>
      </c>
      <c r="I311" t="s">
        <v>1195</v>
      </c>
      <c r="J311">
        <v>2020</v>
      </c>
      <c r="K311" t="s">
        <v>1330</v>
      </c>
      <c r="L311" t="s">
        <v>1331</v>
      </c>
      <c r="N311" t="s">
        <v>243</v>
      </c>
      <c r="O311" t="s">
        <v>331</v>
      </c>
      <c r="P311" t="s">
        <v>1332</v>
      </c>
    </row>
    <row r="312" spans="1:16" x14ac:dyDescent="0.15">
      <c r="A312" t="s">
        <v>2812</v>
      </c>
      <c r="B312" t="s">
        <v>1333</v>
      </c>
      <c r="C312" t="s">
        <v>325</v>
      </c>
      <c r="D312" t="s">
        <v>415</v>
      </c>
      <c r="E312" t="s">
        <v>399</v>
      </c>
      <c r="F312" t="s">
        <v>1334</v>
      </c>
      <c r="G312" t="s">
        <v>1335</v>
      </c>
      <c r="H312" t="s">
        <v>485</v>
      </c>
      <c r="I312" t="s">
        <v>1195</v>
      </c>
      <c r="J312">
        <v>2020</v>
      </c>
      <c r="K312" t="s">
        <v>521</v>
      </c>
      <c r="L312">
        <v>44027</v>
      </c>
      <c r="M312" t="s">
        <v>1336</v>
      </c>
      <c r="N312" t="s">
        <v>336</v>
      </c>
      <c r="P312" t="s">
        <v>1337</v>
      </c>
    </row>
    <row r="313" spans="1:16" x14ac:dyDescent="0.15">
      <c r="A313" t="s">
        <v>2812</v>
      </c>
      <c r="B313" t="s">
        <v>1338</v>
      </c>
      <c r="C313" t="s">
        <v>325</v>
      </c>
      <c r="D313" t="s">
        <v>415</v>
      </c>
      <c r="E313" t="s">
        <v>399</v>
      </c>
      <c r="F313" t="s">
        <v>1334</v>
      </c>
      <c r="H313" t="s">
        <v>485</v>
      </c>
      <c r="I313" t="s">
        <v>1195</v>
      </c>
      <c r="J313">
        <v>2020</v>
      </c>
      <c r="K313" t="s">
        <v>521</v>
      </c>
      <c r="L313">
        <v>44271</v>
      </c>
      <c r="N313" t="s">
        <v>243</v>
      </c>
      <c r="P313" t="s">
        <v>1337</v>
      </c>
    </row>
    <row r="314" spans="1:16" x14ac:dyDescent="0.15">
      <c r="A314" t="s">
        <v>2813</v>
      </c>
      <c r="B314" t="s">
        <v>1339</v>
      </c>
      <c r="C314" t="s">
        <v>325</v>
      </c>
      <c r="D314" t="s">
        <v>1340</v>
      </c>
      <c r="E314" t="s">
        <v>399</v>
      </c>
      <c r="F314" t="s">
        <v>1334</v>
      </c>
      <c r="H314" t="s">
        <v>485</v>
      </c>
      <c r="I314" t="s">
        <v>1195</v>
      </c>
      <c r="J314">
        <v>2020</v>
      </c>
      <c r="K314" t="s">
        <v>443</v>
      </c>
      <c r="L314">
        <v>44012</v>
      </c>
      <c r="M314" t="s">
        <v>1341</v>
      </c>
      <c r="N314" t="s">
        <v>336</v>
      </c>
      <c r="O314" t="s">
        <v>331</v>
      </c>
      <c r="P314" t="s">
        <v>1342</v>
      </c>
    </row>
    <row r="315" spans="1:16" x14ac:dyDescent="0.15">
      <c r="A315" t="s">
        <v>2814</v>
      </c>
      <c r="B315" t="s">
        <v>1343</v>
      </c>
      <c r="C315" t="s">
        <v>325</v>
      </c>
      <c r="D315" t="s">
        <v>603</v>
      </c>
      <c r="F315" t="s">
        <v>604</v>
      </c>
      <c r="G315" t="s">
        <v>1344</v>
      </c>
      <c r="H315" t="s">
        <v>554</v>
      </c>
      <c r="I315" t="s">
        <v>1195</v>
      </c>
      <c r="J315">
        <v>2020</v>
      </c>
      <c r="K315" t="s">
        <v>1330</v>
      </c>
      <c r="L315">
        <v>43973</v>
      </c>
      <c r="N315" t="s">
        <v>336</v>
      </c>
      <c r="O315" t="s">
        <v>331</v>
      </c>
      <c r="P315" t="s">
        <v>1345</v>
      </c>
    </row>
    <row r="316" spans="1:16" x14ac:dyDescent="0.15">
      <c r="A316" t="s">
        <v>2815</v>
      </c>
      <c r="B316" t="s">
        <v>1346</v>
      </c>
      <c r="C316" t="s">
        <v>325</v>
      </c>
      <c r="D316" t="s">
        <v>483</v>
      </c>
      <c r="F316" t="s">
        <v>484</v>
      </c>
      <c r="H316" t="s">
        <v>485</v>
      </c>
      <c r="I316" t="s">
        <v>1195</v>
      </c>
      <c r="J316">
        <v>2020</v>
      </c>
      <c r="K316" t="s">
        <v>458</v>
      </c>
      <c r="L316">
        <v>44083</v>
      </c>
      <c r="N316" t="s">
        <v>243</v>
      </c>
      <c r="P316" t="s">
        <v>1347</v>
      </c>
    </row>
    <row r="317" spans="1:16" x14ac:dyDescent="0.15">
      <c r="A317" t="s">
        <v>2816</v>
      </c>
      <c r="B317" t="s">
        <v>1348</v>
      </c>
      <c r="C317" t="s">
        <v>325</v>
      </c>
      <c r="D317" t="s">
        <v>1349</v>
      </c>
      <c r="F317" t="s">
        <v>548</v>
      </c>
      <c r="H317" t="s">
        <v>485</v>
      </c>
      <c r="I317" t="s">
        <v>1195</v>
      </c>
      <c r="J317">
        <v>2020</v>
      </c>
      <c r="K317" t="s">
        <v>521</v>
      </c>
      <c r="L317">
        <v>44043</v>
      </c>
      <c r="N317" t="s">
        <v>243</v>
      </c>
      <c r="P317" t="s">
        <v>1350</v>
      </c>
    </row>
    <row r="318" spans="1:16" x14ac:dyDescent="0.15">
      <c r="A318" t="s">
        <v>2817</v>
      </c>
      <c r="B318" t="s">
        <v>1351</v>
      </c>
      <c r="C318" t="s">
        <v>325</v>
      </c>
      <c r="D318" t="s">
        <v>361</v>
      </c>
      <c r="F318" t="s">
        <v>1352</v>
      </c>
      <c r="H318" t="s">
        <v>329</v>
      </c>
      <c r="I318" t="s">
        <v>1195</v>
      </c>
      <c r="J318">
        <v>2020</v>
      </c>
      <c r="K318" t="s">
        <v>458</v>
      </c>
      <c r="L318">
        <v>44063</v>
      </c>
      <c r="N318" t="s">
        <v>243</v>
      </c>
      <c r="P318" t="s">
        <v>1353</v>
      </c>
    </row>
    <row r="319" spans="1:16" x14ac:dyDescent="0.15">
      <c r="A319" t="s">
        <v>2817</v>
      </c>
      <c r="B319" t="s">
        <v>1354</v>
      </c>
      <c r="C319" t="s">
        <v>325</v>
      </c>
      <c r="D319" t="s">
        <v>361</v>
      </c>
      <c r="F319" t="s">
        <v>1352</v>
      </c>
      <c r="G319" t="s">
        <v>1074</v>
      </c>
      <c r="H319" t="s">
        <v>329</v>
      </c>
      <c r="I319" t="s">
        <v>1195</v>
      </c>
      <c r="K319" t="s">
        <v>458</v>
      </c>
      <c r="N319" t="s">
        <v>336</v>
      </c>
      <c r="P319" t="s">
        <v>1353</v>
      </c>
    </row>
    <row r="320" spans="1:16" x14ac:dyDescent="0.15">
      <c r="A320" t="s">
        <v>2818</v>
      </c>
      <c r="B320" t="s">
        <v>1355</v>
      </c>
      <c r="C320" t="s">
        <v>325</v>
      </c>
      <c r="D320" t="s">
        <v>377</v>
      </c>
      <c r="F320" t="s">
        <v>1277</v>
      </c>
      <c r="H320" t="s">
        <v>1278</v>
      </c>
      <c r="I320" t="s">
        <v>1195</v>
      </c>
      <c r="J320">
        <v>2020</v>
      </c>
      <c r="K320" t="s">
        <v>458</v>
      </c>
      <c r="L320">
        <v>44043</v>
      </c>
      <c r="N320" t="s">
        <v>243</v>
      </c>
      <c r="P320" t="s">
        <v>1356</v>
      </c>
    </row>
    <row r="321" spans="1:16" x14ac:dyDescent="0.15">
      <c r="A321" t="s">
        <v>2819</v>
      </c>
      <c r="B321" t="s">
        <v>1357</v>
      </c>
      <c r="C321" t="s">
        <v>325</v>
      </c>
      <c r="D321" t="s">
        <v>1358</v>
      </c>
      <c r="E321" t="s">
        <v>372</v>
      </c>
      <c r="F321" t="s">
        <v>1359</v>
      </c>
      <c r="G321" t="s">
        <v>1359</v>
      </c>
      <c r="H321" t="s">
        <v>374</v>
      </c>
      <c r="I321" t="s">
        <v>1195</v>
      </c>
      <c r="J321">
        <v>2020</v>
      </c>
      <c r="K321" t="s">
        <v>330</v>
      </c>
      <c r="L321">
        <v>44046</v>
      </c>
      <c r="N321" t="s">
        <v>243</v>
      </c>
      <c r="P321" t="s">
        <v>1360</v>
      </c>
    </row>
    <row r="322" spans="1:16" x14ac:dyDescent="0.15">
      <c r="A322" t="s">
        <v>2820</v>
      </c>
      <c r="B322" t="s">
        <v>1361</v>
      </c>
      <c r="C322" t="s">
        <v>325</v>
      </c>
      <c r="D322" t="s">
        <v>1362</v>
      </c>
      <c r="F322" t="s">
        <v>1363</v>
      </c>
      <c r="H322" t="s">
        <v>620</v>
      </c>
      <c r="I322" t="s">
        <v>1195</v>
      </c>
      <c r="J322">
        <v>2020</v>
      </c>
      <c r="K322" t="s">
        <v>458</v>
      </c>
      <c r="L322">
        <v>44050</v>
      </c>
      <c r="N322" t="s">
        <v>243</v>
      </c>
      <c r="P322" t="s">
        <v>1364</v>
      </c>
    </row>
    <row r="323" spans="1:16" x14ac:dyDescent="0.15">
      <c r="A323" t="s">
        <v>2821</v>
      </c>
      <c r="B323" t="s">
        <v>1365</v>
      </c>
      <c r="C323" t="s">
        <v>325</v>
      </c>
      <c r="D323" t="s">
        <v>1366</v>
      </c>
      <c r="E323" t="s">
        <v>1366</v>
      </c>
      <c r="F323" t="s">
        <v>1367</v>
      </c>
      <c r="H323" t="s">
        <v>374</v>
      </c>
      <c r="I323" t="s">
        <v>1195</v>
      </c>
      <c r="J323">
        <v>2020</v>
      </c>
      <c r="K323" t="s">
        <v>408</v>
      </c>
      <c r="L323">
        <v>44165</v>
      </c>
      <c r="N323" t="s">
        <v>243</v>
      </c>
      <c r="O323" t="s">
        <v>331</v>
      </c>
      <c r="P323" t="s">
        <v>1368</v>
      </c>
    </row>
    <row r="324" spans="1:16" x14ac:dyDescent="0.15">
      <c r="A324" t="s">
        <v>2822</v>
      </c>
      <c r="B324" t="s">
        <v>1369</v>
      </c>
      <c r="C324" t="s">
        <v>325</v>
      </c>
      <c r="D324" t="s">
        <v>1370</v>
      </c>
      <c r="E324" t="s">
        <v>372</v>
      </c>
      <c r="F324" t="s">
        <v>435</v>
      </c>
      <c r="G324" t="s">
        <v>1371</v>
      </c>
      <c r="H324" t="s">
        <v>1372</v>
      </c>
      <c r="I324" t="s">
        <v>1195</v>
      </c>
      <c r="J324">
        <v>2020</v>
      </c>
      <c r="K324" t="s">
        <v>666</v>
      </c>
      <c r="L324">
        <v>44089</v>
      </c>
      <c r="N324" t="s">
        <v>243</v>
      </c>
      <c r="P324" t="s">
        <v>1373</v>
      </c>
    </row>
    <row r="325" spans="1:16" x14ac:dyDescent="0.15">
      <c r="A325" t="s">
        <v>2823</v>
      </c>
      <c r="B325" t="s">
        <v>1374</v>
      </c>
      <c r="C325" t="s">
        <v>325</v>
      </c>
      <c r="D325" t="s">
        <v>415</v>
      </c>
      <c r="F325" t="s">
        <v>1375</v>
      </c>
      <c r="G325" t="s">
        <v>1376</v>
      </c>
      <c r="H325" t="s">
        <v>341</v>
      </c>
      <c r="I325" t="s">
        <v>1195</v>
      </c>
      <c r="J325">
        <v>2020</v>
      </c>
      <c r="K325" t="s">
        <v>443</v>
      </c>
      <c r="L325">
        <v>44104</v>
      </c>
      <c r="N325" t="s">
        <v>243</v>
      </c>
      <c r="O325" t="s">
        <v>331</v>
      </c>
      <c r="P325" t="s">
        <v>1377</v>
      </c>
    </row>
    <row r="326" spans="1:16" x14ac:dyDescent="0.15">
      <c r="A326" t="s">
        <v>2824</v>
      </c>
      <c r="B326" t="s">
        <v>1378</v>
      </c>
      <c r="C326" t="s">
        <v>325</v>
      </c>
      <c r="D326" t="s">
        <v>953</v>
      </c>
      <c r="F326" t="s">
        <v>1379</v>
      </c>
      <c r="H326" t="s">
        <v>485</v>
      </c>
      <c r="I326" t="s">
        <v>1195</v>
      </c>
      <c r="J326">
        <v>2020</v>
      </c>
      <c r="K326" t="s">
        <v>443</v>
      </c>
      <c r="L326">
        <v>44406</v>
      </c>
      <c r="N326" t="s">
        <v>243</v>
      </c>
      <c r="O326" t="s">
        <v>331</v>
      </c>
      <c r="P326" t="s">
        <v>1380</v>
      </c>
    </row>
    <row r="327" spans="1:16" x14ac:dyDescent="0.15">
      <c r="A327" t="s">
        <v>2825</v>
      </c>
      <c r="B327" t="s">
        <v>1381</v>
      </c>
      <c r="C327" t="s">
        <v>325</v>
      </c>
      <c r="D327" t="s">
        <v>1382</v>
      </c>
      <c r="E327" t="s">
        <v>1383</v>
      </c>
      <c r="F327" t="s">
        <v>1384</v>
      </c>
      <c r="H327" t="s">
        <v>1383</v>
      </c>
      <c r="I327" t="s">
        <v>1195</v>
      </c>
      <c r="J327">
        <v>2020</v>
      </c>
      <c r="K327" t="s">
        <v>666</v>
      </c>
      <c r="L327">
        <v>44242</v>
      </c>
      <c r="N327" t="s">
        <v>243</v>
      </c>
      <c r="P327" t="s">
        <v>1385</v>
      </c>
    </row>
    <row r="328" spans="1:16" x14ac:dyDescent="0.15">
      <c r="A328" t="s">
        <v>2826</v>
      </c>
      <c r="B328" t="s">
        <v>1386</v>
      </c>
      <c r="C328" t="s">
        <v>325</v>
      </c>
      <c r="D328" t="s">
        <v>1387</v>
      </c>
      <c r="E328" t="s">
        <v>372</v>
      </c>
      <c r="F328" t="s">
        <v>1059</v>
      </c>
      <c r="G328" t="s">
        <v>1388</v>
      </c>
      <c r="H328" t="s">
        <v>554</v>
      </c>
      <c r="I328" t="s">
        <v>1195</v>
      </c>
      <c r="J328">
        <v>2020</v>
      </c>
      <c r="K328" t="s">
        <v>666</v>
      </c>
      <c r="L328">
        <v>44134</v>
      </c>
      <c r="N328" t="s">
        <v>243</v>
      </c>
      <c r="P328" t="s">
        <v>1389</v>
      </c>
    </row>
    <row r="329" spans="1:16" x14ac:dyDescent="0.15">
      <c r="A329" t="s">
        <v>2827</v>
      </c>
      <c r="B329" t="s">
        <v>1390</v>
      </c>
      <c r="C329" t="s">
        <v>325</v>
      </c>
      <c r="D329" t="s">
        <v>377</v>
      </c>
      <c r="E329" t="s">
        <v>372</v>
      </c>
      <c r="F329" t="s">
        <v>1391</v>
      </c>
      <c r="H329" t="s">
        <v>485</v>
      </c>
      <c r="I329" t="s">
        <v>1195</v>
      </c>
      <c r="J329">
        <v>2020</v>
      </c>
      <c r="K329" t="s">
        <v>330</v>
      </c>
      <c r="N329" t="s">
        <v>243</v>
      </c>
      <c r="P329" t="s">
        <v>1392</v>
      </c>
    </row>
    <row r="330" spans="1:16" x14ac:dyDescent="0.15">
      <c r="A330" t="s">
        <v>2828</v>
      </c>
      <c r="B330" t="s">
        <v>1393</v>
      </c>
      <c r="C330" t="s">
        <v>325</v>
      </c>
      <c r="D330" t="s">
        <v>1144</v>
      </c>
      <c r="F330" t="s">
        <v>647</v>
      </c>
      <c r="H330" t="s">
        <v>341</v>
      </c>
      <c r="I330" t="s">
        <v>1195</v>
      </c>
      <c r="J330">
        <v>2020</v>
      </c>
      <c r="K330" t="s">
        <v>408</v>
      </c>
      <c r="L330">
        <v>44151</v>
      </c>
      <c r="M330" t="s">
        <v>1394</v>
      </c>
      <c r="N330" t="s">
        <v>243</v>
      </c>
      <c r="O330" t="s">
        <v>1395</v>
      </c>
      <c r="P330" t="s">
        <v>1396</v>
      </c>
    </row>
    <row r="331" spans="1:16" x14ac:dyDescent="0.15">
      <c r="A331" t="s">
        <v>2829</v>
      </c>
      <c r="B331" t="s">
        <v>1397</v>
      </c>
      <c r="C331" t="s">
        <v>325</v>
      </c>
      <c r="D331" t="s">
        <v>593</v>
      </c>
      <c r="F331" t="s">
        <v>1398</v>
      </c>
      <c r="G331" t="s">
        <v>1399</v>
      </c>
      <c r="H331" t="s">
        <v>1141</v>
      </c>
      <c r="I331" t="s">
        <v>1195</v>
      </c>
      <c r="J331">
        <v>2020</v>
      </c>
      <c r="K331" t="s">
        <v>458</v>
      </c>
      <c r="M331" t="s">
        <v>1400</v>
      </c>
      <c r="N331" t="s">
        <v>243</v>
      </c>
      <c r="P331" t="s">
        <v>1401</v>
      </c>
    </row>
    <row r="332" spans="1:16" x14ac:dyDescent="0.15">
      <c r="A332" t="s">
        <v>2830</v>
      </c>
      <c r="B332" t="s">
        <v>1402</v>
      </c>
      <c r="C332" t="s">
        <v>325</v>
      </c>
      <c r="D332" t="s">
        <v>1403</v>
      </c>
      <c r="E332" t="s">
        <v>372</v>
      </c>
      <c r="F332" t="s">
        <v>1404</v>
      </c>
      <c r="G332" t="s">
        <v>1405</v>
      </c>
      <c r="H332" t="s">
        <v>620</v>
      </c>
      <c r="I332" t="s">
        <v>1195</v>
      </c>
      <c r="J332">
        <v>2020</v>
      </c>
      <c r="K332" t="s">
        <v>330</v>
      </c>
      <c r="L332">
        <v>44211</v>
      </c>
      <c r="N332" t="s">
        <v>243</v>
      </c>
      <c r="P332" t="s">
        <v>1406</v>
      </c>
    </row>
    <row r="333" spans="1:16" x14ac:dyDescent="0.15">
      <c r="A333" t="s">
        <v>2831</v>
      </c>
      <c r="B333" t="s">
        <v>1407</v>
      </c>
      <c r="C333" t="s">
        <v>325</v>
      </c>
      <c r="D333" t="s">
        <v>1408</v>
      </c>
      <c r="F333" t="s">
        <v>1409</v>
      </c>
      <c r="G333" t="s">
        <v>1410</v>
      </c>
      <c r="H333" t="s">
        <v>411</v>
      </c>
      <c r="I333" t="s">
        <v>1195</v>
      </c>
      <c r="J333">
        <v>2020</v>
      </c>
      <c r="K333" t="s">
        <v>408</v>
      </c>
      <c r="L333">
        <v>44211</v>
      </c>
      <c r="N333" t="s">
        <v>243</v>
      </c>
      <c r="O333" t="s">
        <v>331</v>
      </c>
      <c r="P333" t="s">
        <v>1411</v>
      </c>
    </row>
    <row r="334" spans="1:16" x14ac:dyDescent="0.15">
      <c r="A334" t="s">
        <v>2832</v>
      </c>
      <c r="B334" t="s">
        <v>1412</v>
      </c>
      <c r="C334" t="s">
        <v>325</v>
      </c>
      <c r="D334" t="s">
        <v>372</v>
      </c>
      <c r="F334" t="s">
        <v>1413</v>
      </c>
      <c r="H334" t="s">
        <v>485</v>
      </c>
      <c r="I334" t="s">
        <v>1195</v>
      </c>
      <c r="J334">
        <v>2020</v>
      </c>
      <c r="K334" t="s">
        <v>458</v>
      </c>
      <c r="L334">
        <v>44120</v>
      </c>
      <c r="N334" t="s">
        <v>243</v>
      </c>
      <c r="P334" t="s">
        <v>1414</v>
      </c>
    </row>
    <row r="335" spans="1:16" x14ac:dyDescent="0.15">
      <c r="A335" t="s">
        <v>2833</v>
      </c>
      <c r="B335" t="s">
        <v>1415</v>
      </c>
      <c r="C335" t="s">
        <v>325</v>
      </c>
      <c r="D335" t="s">
        <v>593</v>
      </c>
      <c r="G335" t="s">
        <v>1416</v>
      </c>
      <c r="H335" t="s">
        <v>485</v>
      </c>
      <c r="I335" t="s">
        <v>1195</v>
      </c>
      <c r="J335">
        <v>2020</v>
      </c>
      <c r="K335" t="s">
        <v>458</v>
      </c>
      <c r="N335" t="s">
        <v>336</v>
      </c>
      <c r="P335" t="s">
        <v>1417</v>
      </c>
    </row>
    <row r="336" spans="1:16" x14ac:dyDescent="0.15">
      <c r="A336" t="s">
        <v>2834</v>
      </c>
      <c r="B336" t="s">
        <v>1418</v>
      </c>
      <c r="C336" t="s">
        <v>325</v>
      </c>
      <c r="D336" t="s">
        <v>345</v>
      </c>
      <c r="F336" t="s">
        <v>1419</v>
      </c>
      <c r="H336" t="s">
        <v>554</v>
      </c>
      <c r="I336" t="s">
        <v>1195</v>
      </c>
      <c r="J336">
        <v>2020</v>
      </c>
      <c r="K336" t="s">
        <v>443</v>
      </c>
      <c r="L336">
        <v>44258</v>
      </c>
      <c r="N336" t="s">
        <v>243</v>
      </c>
      <c r="O336" t="s">
        <v>331</v>
      </c>
      <c r="P336" t="s">
        <v>1420</v>
      </c>
    </row>
    <row r="337" spans="1:16" x14ac:dyDescent="0.15">
      <c r="A337" t="s">
        <v>2835</v>
      </c>
      <c r="B337" t="s">
        <v>1421</v>
      </c>
      <c r="C337" t="s">
        <v>325</v>
      </c>
      <c r="D337" t="s">
        <v>361</v>
      </c>
      <c r="F337" t="s">
        <v>329</v>
      </c>
      <c r="H337" t="s">
        <v>329</v>
      </c>
      <c r="I337" t="s">
        <v>1195</v>
      </c>
      <c r="J337">
        <v>2020</v>
      </c>
      <c r="K337" t="s">
        <v>443</v>
      </c>
      <c r="L337">
        <v>44163</v>
      </c>
      <c r="N337" t="s">
        <v>243</v>
      </c>
      <c r="O337" t="s">
        <v>331</v>
      </c>
      <c r="P337" t="s">
        <v>1422</v>
      </c>
    </row>
    <row r="338" spans="1:16" x14ac:dyDescent="0.15">
      <c r="A338" t="s">
        <v>2836</v>
      </c>
      <c r="B338" t="s">
        <v>1423</v>
      </c>
      <c r="C338" t="s">
        <v>325</v>
      </c>
      <c r="D338" t="s">
        <v>1164</v>
      </c>
      <c r="E338" t="s">
        <v>372</v>
      </c>
      <c r="F338" t="s">
        <v>1059</v>
      </c>
      <c r="H338" t="s">
        <v>554</v>
      </c>
      <c r="I338" t="s">
        <v>1195</v>
      </c>
      <c r="J338">
        <v>2020</v>
      </c>
      <c r="K338" t="s">
        <v>408</v>
      </c>
      <c r="L338">
        <v>44228</v>
      </c>
      <c r="N338" t="s">
        <v>243</v>
      </c>
      <c r="O338" t="s">
        <v>1395</v>
      </c>
      <c r="P338" t="s">
        <v>1424</v>
      </c>
    </row>
    <row r="339" spans="1:16" x14ac:dyDescent="0.15">
      <c r="A339" t="s">
        <v>2837</v>
      </c>
      <c r="B339" t="s">
        <v>1425</v>
      </c>
      <c r="C339" t="s">
        <v>325</v>
      </c>
      <c r="D339" t="s">
        <v>1426</v>
      </c>
      <c r="E339" t="s">
        <v>372</v>
      </c>
      <c r="F339" t="s">
        <v>1427</v>
      </c>
      <c r="G339" t="s">
        <v>1428</v>
      </c>
      <c r="H339" t="s">
        <v>388</v>
      </c>
      <c r="I339" t="s">
        <v>1195</v>
      </c>
      <c r="J339">
        <v>2020</v>
      </c>
      <c r="K339" t="s">
        <v>330</v>
      </c>
      <c r="L339">
        <v>44153</v>
      </c>
      <c r="N339" t="s">
        <v>243</v>
      </c>
      <c r="P339" t="s">
        <v>1429</v>
      </c>
    </row>
    <row r="340" spans="1:16" x14ac:dyDescent="0.15">
      <c r="A340" t="s">
        <v>2838</v>
      </c>
      <c r="B340" t="s">
        <v>1430</v>
      </c>
      <c r="C340" t="s">
        <v>325</v>
      </c>
      <c r="D340" t="s">
        <v>345</v>
      </c>
      <c r="E340" t="s">
        <v>1431</v>
      </c>
      <c r="F340" t="s">
        <v>1432</v>
      </c>
      <c r="H340" t="s">
        <v>341</v>
      </c>
      <c r="I340" t="s">
        <v>1195</v>
      </c>
      <c r="J340">
        <v>2020</v>
      </c>
      <c r="K340" t="s">
        <v>408</v>
      </c>
      <c r="L340">
        <v>44176</v>
      </c>
      <c r="N340" t="s">
        <v>243</v>
      </c>
      <c r="O340" t="s">
        <v>331</v>
      </c>
      <c r="P340" t="s">
        <v>1433</v>
      </c>
    </row>
    <row r="341" spans="1:16" x14ac:dyDescent="0.15">
      <c r="A341" t="s">
        <v>2839</v>
      </c>
      <c r="B341" t="s">
        <v>1434</v>
      </c>
      <c r="C341" t="s">
        <v>325</v>
      </c>
      <c r="D341" t="s">
        <v>372</v>
      </c>
      <c r="F341" t="s">
        <v>457</v>
      </c>
      <c r="H341" t="s">
        <v>374</v>
      </c>
      <c r="I341" t="s">
        <v>1195</v>
      </c>
      <c r="J341">
        <v>2020</v>
      </c>
      <c r="K341" t="s">
        <v>521</v>
      </c>
      <c r="L341">
        <v>44165</v>
      </c>
      <c r="N341" t="s">
        <v>243</v>
      </c>
      <c r="P341" t="s">
        <v>1435</v>
      </c>
    </row>
    <row r="342" spans="1:16" x14ac:dyDescent="0.15">
      <c r="A342" t="s">
        <v>2840</v>
      </c>
      <c r="B342" t="s">
        <v>1436</v>
      </c>
      <c r="C342" t="s">
        <v>325</v>
      </c>
      <c r="D342" t="s">
        <v>497</v>
      </c>
      <c r="F342" t="s">
        <v>647</v>
      </c>
      <c r="G342" t="s">
        <v>1437</v>
      </c>
      <c r="H342" t="s">
        <v>341</v>
      </c>
      <c r="I342" t="s">
        <v>1195</v>
      </c>
      <c r="J342">
        <v>2020</v>
      </c>
      <c r="K342" t="s">
        <v>458</v>
      </c>
      <c r="L342">
        <v>44169</v>
      </c>
      <c r="N342" t="s">
        <v>336</v>
      </c>
      <c r="P342" t="s">
        <v>1438</v>
      </c>
    </row>
    <row r="343" spans="1:16" x14ac:dyDescent="0.15">
      <c r="A343" t="s">
        <v>2841</v>
      </c>
      <c r="B343" t="s">
        <v>1439</v>
      </c>
      <c r="C343" t="s">
        <v>325</v>
      </c>
      <c r="D343" t="s">
        <v>593</v>
      </c>
      <c r="E343" t="s">
        <v>1440</v>
      </c>
      <c r="H343" t="s">
        <v>595</v>
      </c>
      <c r="I343" t="s">
        <v>1195</v>
      </c>
      <c r="J343">
        <v>2020</v>
      </c>
      <c r="K343" t="s">
        <v>458</v>
      </c>
      <c r="L343">
        <v>44211</v>
      </c>
      <c r="N343" t="s">
        <v>597</v>
      </c>
      <c r="P343" t="s">
        <v>1441</v>
      </c>
    </row>
    <row r="344" spans="1:16" x14ac:dyDescent="0.15">
      <c r="A344" t="s">
        <v>2842</v>
      </c>
      <c r="B344" t="s">
        <v>1442</v>
      </c>
      <c r="C344" t="s">
        <v>325</v>
      </c>
      <c r="D344" t="s">
        <v>593</v>
      </c>
      <c r="E344" t="s">
        <v>1443</v>
      </c>
      <c r="H344" t="s">
        <v>1242</v>
      </c>
      <c r="I344" t="s">
        <v>1195</v>
      </c>
      <c r="J344">
        <v>2020</v>
      </c>
      <c r="K344" t="s">
        <v>458</v>
      </c>
      <c r="L344">
        <v>44242</v>
      </c>
      <c r="N344" t="s">
        <v>597</v>
      </c>
      <c r="P344" t="s">
        <v>1444</v>
      </c>
    </row>
    <row r="345" spans="1:16" x14ac:dyDescent="0.15">
      <c r="A345" t="s">
        <v>2843</v>
      </c>
      <c r="B345" t="s">
        <v>1445</v>
      </c>
      <c r="C345" t="s">
        <v>325</v>
      </c>
      <c r="D345" t="s">
        <v>372</v>
      </c>
      <c r="F345" t="s">
        <v>922</v>
      </c>
      <c r="G345" t="s">
        <v>1446</v>
      </c>
      <c r="H345" t="s">
        <v>554</v>
      </c>
      <c r="I345" t="s">
        <v>1195</v>
      </c>
      <c r="J345">
        <v>2020</v>
      </c>
      <c r="K345" t="s">
        <v>458</v>
      </c>
      <c r="L345">
        <v>44179</v>
      </c>
      <c r="N345" t="s">
        <v>243</v>
      </c>
      <c r="P345" t="s">
        <v>1447</v>
      </c>
    </row>
    <row r="346" spans="1:16" x14ac:dyDescent="0.15">
      <c r="A346" t="s">
        <v>2844</v>
      </c>
      <c r="B346" t="s">
        <v>1448</v>
      </c>
      <c r="C346" t="s">
        <v>325</v>
      </c>
      <c r="D346" t="s">
        <v>350</v>
      </c>
      <c r="F346" t="s">
        <v>1449</v>
      </c>
      <c r="G346" t="s">
        <v>1450</v>
      </c>
      <c r="H346" t="s">
        <v>351</v>
      </c>
      <c r="I346" t="s">
        <v>1195</v>
      </c>
      <c r="J346">
        <v>2020</v>
      </c>
      <c r="K346" t="s">
        <v>666</v>
      </c>
      <c r="L346">
        <v>44372</v>
      </c>
      <c r="N346" t="s">
        <v>243</v>
      </c>
      <c r="P346" t="s">
        <v>1451</v>
      </c>
    </row>
    <row r="347" spans="1:16" x14ac:dyDescent="0.15">
      <c r="A347" t="s">
        <v>2845</v>
      </c>
      <c r="B347" t="s">
        <v>1452</v>
      </c>
      <c r="C347" t="s">
        <v>325</v>
      </c>
      <c r="D347" t="s">
        <v>1453</v>
      </c>
      <c r="F347" t="s">
        <v>1453</v>
      </c>
      <c r="H347" t="s">
        <v>485</v>
      </c>
      <c r="I347" t="s">
        <v>1195</v>
      </c>
      <c r="J347">
        <v>2020</v>
      </c>
      <c r="K347" t="s">
        <v>443</v>
      </c>
      <c r="L347">
        <v>44288</v>
      </c>
      <c r="N347" t="s">
        <v>243</v>
      </c>
      <c r="O347" t="s">
        <v>331</v>
      </c>
      <c r="P347" t="s">
        <v>1454</v>
      </c>
    </row>
    <row r="348" spans="1:16" x14ac:dyDescent="0.15">
      <c r="A348" t="s">
        <v>2846</v>
      </c>
      <c r="B348" t="s">
        <v>1455</v>
      </c>
      <c r="C348" t="s">
        <v>325</v>
      </c>
      <c r="D348" t="s">
        <v>1456</v>
      </c>
      <c r="F348" t="s">
        <v>478</v>
      </c>
      <c r="G348" t="s">
        <v>1457</v>
      </c>
      <c r="H348" t="s">
        <v>554</v>
      </c>
      <c r="I348" t="s">
        <v>1195</v>
      </c>
      <c r="J348">
        <v>2020</v>
      </c>
      <c r="K348" t="s">
        <v>458</v>
      </c>
      <c r="N348" t="s">
        <v>243</v>
      </c>
      <c r="P348" t="s">
        <v>1458</v>
      </c>
    </row>
    <row r="349" spans="1:16" x14ac:dyDescent="0.15">
      <c r="A349" t="s">
        <v>2847</v>
      </c>
      <c r="B349" t="s">
        <v>1459</v>
      </c>
      <c r="C349" t="s">
        <v>325</v>
      </c>
      <c r="D349" t="s">
        <v>1460</v>
      </c>
      <c r="F349" t="s">
        <v>1460</v>
      </c>
      <c r="G349" t="s">
        <v>1461</v>
      </c>
      <c r="H349" t="s">
        <v>993</v>
      </c>
      <c r="I349" t="s">
        <v>1195</v>
      </c>
      <c r="J349">
        <v>2020</v>
      </c>
      <c r="K349" t="s">
        <v>458</v>
      </c>
      <c r="L349">
        <v>44183</v>
      </c>
      <c r="N349" t="s">
        <v>336</v>
      </c>
      <c r="O349" t="s">
        <v>331</v>
      </c>
      <c r="P349" t="s">
        <v>1462</v>
      </c>
    </row>
    <row r="350" spans="1:16" x14ac:dyDescent="0.15">
      <c r="A350" t="s">
        <v>2848</v>
      </c>
      <c r="B350" t="s">
        <v>1463</v>
      </c>
      <c r="C350" t="s">
        <v>325</v>
      </c>
      <c r="D350" t="s">
        <v>415</v>
      </c>
      <c r="F350" t="s">
        <v>1464</v>
      </c>
      <c r="H350" t="s">
        <v>341</v>
      </c>
      <c r="I350" t="s">
        <v>1195</v>
      </c>
      <c r="J350">
        <v>2020</v>
      </c>
      <c r="K350" t="s">
        <v>408</v>
      </c>
      <c r="L350">
        <v>43873</v>
      </c>
      <c r="N350" t="s">
        <v>243</v>
      </c>
      <c r="O350" t="s">
        <v>331</v>
      </c>
      <c r="P350" t="s">
        <v>1465</v>
      </c>
    </row>
    <row r="351" spans="1:16" x14ac:dyDescent="0.15">
      <c r="A351" t="s">
        <v>2849</v>
      </c>
      <c r="B351" t="s">
        <v>1466</v>
      </c>
      <c r="C351" t="s">
        <v>325</v>
      </c>
      <c r="D351" t="s">
        <v>1467</v>
      </c>
      <c r="E351" t="s">
        <v>372</v>
      </c>
      <c r="F351" t="s">
        <v>688</v>
      </c>
      <c r="G351" t="s">
        <v>1468</v>
      </c>
      <c r="H351" t="s">
        <v>388</v>
      </c>
      <c r="I351" t="s">
        <v>1195</v>
      </c>
      <c r="J351">
        <v>2020</v>
      </c>
      <c r="K351" t="s">
        <v>408</v>
      </c>
      <c r="L351">
        <v>44264</v>
      </c>
      <c r="N351" t="s">
        <v>243</v>
      </c>
      <c r="O351" t="s">
        <v>331</v>
      </c>
      <c r="P351" t="s">
        <v>1469</v>
      </c>
    </row>
    <row r="352" spans="1:16" x14ac:dyDescent="0.15">
      <c r="A352" t="s">
        <v>2850</v>
      </c>
      <c r="B352" t="s">
        <v>1470</v>
      </c>
      <c r="C352" t="s">
        <v>325</v>
      </c>
      <c r="D352" t="s">
        <v>326</v>
      </c>
      <c r="F352" t="s">
        <v>1471</v>
      </c>
      <c r="G352" t="s">
        <v>1472</v>
      </c>
      <c r="H352" t="s">
        <v>1473</v>
      </c>
      <c r="I352" t="s">
        <v>1195</v>
      </c>
      <c r="J352">
        <v>2021</v>
      </c>
      <c r="K352" t="s">
        <v>443</v>
      </c>
      <c r="L352">
        <v>44320</v>
      </c>
      <c r="N352" t="s">
        <v>243</v>
      </c>
      <c r="O352" t="s">
        <v>331</v>
      </c>
      <c r="P352" t="s">
        <v>1474</v>
      </c>
    </row>
    <row r="353" spans="1:16" x14ac:dyDescent="0.15">
      <c r="A353" t="s">
        <v>2850</v>
      </c>
      <c r="B353" t="s">
        <v>1475</v>
      </c>
      <c r="C353" t="s">
        <v>325</v>
      </c>
      <c r="D353" t="s">
        <v>326</v>
      </c>
      <c r="F353" t="s">
        <v>1471</v>
      </c>
      <c r="G353" t="s">
        <v>1476</v>
      </c>
      <c r="H353" t="s">
        <v>1473</v>
      </c>
      <c r="I353" t="s">
        <v>1195</v>
      </c>
      <c r="J353">
        <v>2021</v>
      </c>
      <c r="K353" t="s">
        <v>443</v>
      </c>
      <c r="L353">
        <v>44342</v>
      </c>
      <c r="N353" t="s">
        <v>243</v>
      </c>
      <c r="O353" t="s">
        <v>331</v>
      </c>
      <c r="P353" t="s">
        <v>1474</v>
      </c>
    </row>
    <row r="354" spans="1:16" x14ac:dyDescent="0.15">
      <c r="A354" t="s">
        <v>2850</v>
      </c>
      <c r="B354" t="s">
        <v>1477</v>
      </c>
      <c r="C354" t="s">
        <v>325</v>
      </c>
      <c r="D354" t="s">
        <v>326</v>
      </c>
      <c r="F354" t="s">
        <v>1471</v>
      </c>
      <c r="G354" t="s">
        <v>1478</v>
      </c>
      <c r="H354" t="s">
        <v>1473</v>
      </c>
      <c r="I354" t="s">
        <v>1195</v>
      </c>
      <c r="J354">
        <v>2021</v>
      </c>
      <c r="K354" t="s">
        <v>443</v>
      </c>
      <c r="L354">
        <v>44410</v>
      </c>
      <c r="N354" t="s">
        <v>243</v>
      </c>
      <c r="O354" t="s">
        <v>331</v>
      </c>
      <c r="P354" t="s">
        <v>1474</v>
      </c>
    </row>
    <row r="355" spans="1:16" x14ac:dyDescent="0.15">
      <c r="A355" t="s">
        <v>2850</v>
      </c>
      <c r="B355" t="s">
        <v>1479</v>
      </c>
      <c r="C355" t="s">
        <v>325</v>
      </c>
      <c r="D355" t="s">
        <v>326</v>
      </c>
      <c r="F355" t="s">
        <v>1471</v>
      </c>
      <c r="G355" t="s">
        <v>1480</v>
      </c>
      <c r="H355" t="s">
        <v>1473</v>
      </c>
      <c r="I355" t="s">
        <v>1195</v>
      </c>
      <c r="J355">
        <v>2021</v>
      </c>
      <c r="K355" t="s">
        <v>443</v>
      </c>
      <c r="L355">
        <v>44407</v>
      </c>
      <c r="N355" t="s">
        <v>243</v>
      </c>
      <c r="O355" t="s">
        <v>331</v>
      </c>
      <c r="P355" t="s">
        <v>1474</v>
      </c>
    </row>
    <row r="356" spans="1:16" x14ac:dyDescent="0.15">
      <c r="A356" t="s">
        <v>2850</v>
      </c>
      <c r="B356" t="s">
        <v>1481</v>
      </c>
      <c r="C356" t="s">
        <v>325</v>
      </c>
      <c r="D356" t="s">
        <v>326</v>
      </c>
      <c r="F356" t="s">
        <v>1471</v>
      </c>
      <c r="G356" t="s">
        <v>1482</v>
      </c>
      <c r="H356" t="s">
        <v>1473</v>
      </c>
      <c r="I356" t="s">
        <v>1195</v>
      </c>
      <c r="J356">
        <v>2021</v>
      </c>
      <c r="K356" t="s">
        <v>443</v>
      </c>
      <c r="L356">
        <v>44692</v>
      </c>
      <c r="N356" t="s">
        <v>243</v>
      </c>
      <c r="O356" t="s">
        <v>331</v>
      </c>
      <c r="P356" t="s">
        <v>1474</v>
      </c>
    </row>
    <row r="357" spans="1:16" x14ac:dyDescent="0.15">
      <c r="A357" t="s">
        <v>2851</v>
      </c>
      <c r="B357" t="s">
        <v>1483</v>
      </c>
      <c r="C357" t="s">
        <v>325</v>
      </c>
      <c r="D357" t="s">
        <v>345</v>
      </c>
      <c r="F357" t="s">
        <v>1484</v>
      </c>
      <c r="H357" t="s">
        <v>595</v>
      </c>
      <c r="I357" t="s">
        <v>1195</v>
      </c>
      <c r="J357">
        <v>2020</v>
      </c>
      <c r="K357" t="s">
        <v>443</v>
      </c>
      <c r="L357">
        <v>44277</v>
      </c>
      <c r="N357" t="s">
        <v>243</v>
      </c>
      <c r="O357" t="s">
        <v>331</v>
      </c>
      <c r="P357" t="s">
        <v>1485</v>
      </c>
    </row>
    <row r="358" spans="1:16" x14ac:dyDescent="0.15">
      <c r="A358" t="s">
        <v>2852</v>
      </c>
      <c r="B358" t="s">
        <v>1486</v>
      </c>
      <c r="C358" t="s">
        <v>325</v>
      </c>
      <c r="D358" t="s">
        <v>372</v>
      </c>
      <c r="E358" t="s">
        <v>372</v>
      </c>
      <c r="F358" t="s">
        <v>1487</v>
      </c>
      <c r="G358" t="s">
        <v>1074</v>
      </c>
      <c r="H358" t="s">
        <v>388</v>
      </c>
      <c r="I358" t="s">
        <v>1195</v>
      </c>
      <c r="J358">
        <v>2020</v>
      </c>
      <c r="K358" t="s">
        <v>330</v>
      </c>
      <c r="N358" t="s">
        <v>336</v>
      </c>
      <c r="P358" t="s">
        <v>1488</v>
      </c>
    </row>
    <row r="359" spans="1:16" x14ac:dyDescent="0.15">
      <c r="A359" t="s">
        <v>2853</v>
      </c>
      <c r="B359" t="s">
        <v>1489</v>
      </c>
      <c r="C359" t="s">
        <v>325</v>
      </c>
      <c r="D359" t="s">
        <v>415</v>
      </c>
      <c r="E359" t="s">
        <v>1490</v>
      </c>
      <c r="F359" t="s">
        <v>1491</v>
      </c>
      <c r="H359" t="s">
        <v>374</v>
      </c>
      <c r="I359" t="s">
        <v>1195</v>
      </c>
      <c r="J359">
        <v>2020</v>
      </c>
      <c r="K359" t="s">
        <v>408</v>
      </c>
      <c r="L359">
        <v>43949</v>
      </c>
      <c r="N359" t="s">
        <v>243</v>
      </c>
      <c r="O359" t="s">
        <v>331</v>
      </c>
      <c r="P359" t="s">
        <v>1492</v>
      </c>
    </row>
    <row r="360" spans="1:16" x14ac:dyDescent="0.15">
      <c r="A360" t="s">
        <v>2854</v>
      </c>
      <c r="B360" t="s">
        <v>1493</v>
      </c>
      <c r="C360" t="s">
        <v>325</v>
      </c>
      <c r="D360" t="s">
        <v>361</v>
      </c>
      <c r="F360" t="s">
        <v>479</v>
      </c>
      <c r="G360" t="s">
        <v>1494</v>
      </c>
      <c r="H360" t="s">
        <v>578</v>
      </c>
      <c r="I360" t="s">
        <v>1195</v>
      </c>
      <c r="J360">
        <v>2020</v>
      </c>
      <c r="K360" t="s">
        <v>521</v>
      </c>
      <c r="L360">
        <v>43895</v>
      </c>
      <c r="N360" t="s">
        <v>243</v>
      </c>
      <c r="P360" t="s">
        <v>1495</v>
      </c>
    </row>
    <row r="361" spans="1:16" x14ac:dyDescent="0.15">
      <c r="A361" t="s">
        <v>2855</v>
      </c>
      <c r="B361" t="s">
        <v>1496</v>
      </c>
      <c r="C361" t="s">
        <v>325</v>
      </c>
      <c r="D361" t="s">
        <v>372</v>
      </c>
      <c r="E361" t="s">
        <v>610</v>
      </c>
      <c r="G361" t="s">
        <v>1497</v>
      </c>
      <c r="H361" t="s">
        <v>612</v>
      </c>
      <c r="I361" t="s">
        <v>1195</v>
      </c>
      <c r="J361">
        <v>2020</v>
      </c>
      <c r="K361" t="s">
        <v>521</v>
      </c>
      <c r="L361">
        <v>44252</v>
      </c>
      <c r="N361" t="s">
        <v>336</v>
      </c>
      <c r="O361" t="s">
        <v>1395</v>
      </c>
      <c r="P361" t="s">
        <v>1498</v>
      </c>
    </row>
    <row r="362" spans="1:16" x14ac:dyDescent="0.15">
      <c r="A362" t="s">
        <v>2856</v>
      </c>
      <c r="B362" t="s">
        <v>1499</v>
      </c>
      <c r="C362" t="s">
        <v>325</v>
      </c>
      <c r="D362" t="s">
        <v>1319</v>
      </c>
      <c r="E362" t="s">
        <v>372</v>
      </c>
      <c r="F362" t="s">
        <v>1159</v>
      </c>
      <c r="G362" t="s">
        <v>1500</v>
      </c>
      <c r="H362" t="s">
        <v>440</v>
      </c>
      <c r="I362" t="s">
        <v>1195</v>
      </c>
      <c r="J362">
        <v>2020</v>
      </c>
      <c r="K362" t="s">
        <v>666</v>
      </c>
      <c r="L362">
        <v>44249</v>
      </c>
      <c r="N362" t="s">
        <v>243</v>
      </c>
      <c r="P362" t="s">
        <v>1501</v>
      </c>
    </row>
    <row r="363" spans="1:16" x14ac:dyDescent="0.15">
      <c r="A363" t="s">
        <v>2857</v>
      </c>
      <c r="B363" t="s">
        <v>1502</v>
      </c>
      <c r="C363" t="s">
        <v>325</v>
      </c>
      <c r="D363" t="s">
        <v>570</v>
      </c>
      <c r="F363" t="s">
        <v>1503</v>
      </c>
      <c r="H363" t="s">
        <v>341</v>
      </c>
      <c r="I363" t="s">
        <v>1195</v>
      </c>
      <c r="J363">
        <v>2021</v>
      </c>
      <c r="K363" t="s">
        <v>408</v>
      </c>
      <c r="L363" t="s">
        <v>1504</v>
      </c>
      <c r="N363" t="s">
        <v>243</v>
      </c>
      <c r="O363" t="s">
        <v>331</v>
      </c>
      <c r="P363" t="s">
        <v>1505</v>
      </c>
    </row>
    <row r="364" spans="1:16" x14ac:dyDescent="0.15">
      <c r="A364" t="s">
        <v>2857</v>
      </c>
      <c r="B364" t="s">
        <v>1506</v>
      </c>
      <c r="C364" t="s">
        <v>325</v>
      </c>
      <c r="D364" t="s">
        <v>570</v>
      </c>
      <c r="F364" t="s">
        <v>1503</v>
      </c>
      <c r="G364" t="s">
        <v>1507</v>
      </c>
      <c r="H364" t="s">
        <v>341</v>
      </c>
      <c r="I364" t="s">
        <v>1195</v>
      </c>
      <c r="J364">
        <v>2021</v>
      </c>
      <c r="K364" t="s">
        <v>458</v>
      </c>
      <c r="L364">
        <v>44460</v>
      </c>
      <c r="N364" t="s">
        <v>243</v>
      </c>
      <c r="P364" t="s">
        <v>1505</v>
      </c>
    </row>
    <row r="365" spans="1:16" x14ac:dyDescent="0.15">
      <c r="A365" t="s">
        <v>2857</v>
      </c>
      <c r="B365" t="s">
        <v>1508</v>
      </c>
      <c r="C365" t="s">
        <v>325</v>
      </c>
      <c r="D365" t="s">
        <v>570</v>
      </c>
      <c r="F365" t="s">
        <v>1503</v>
      </c>
      <c r="G365" t="s">
        <v>1507</v>
      </c>
      <c r="H365" t="s">
        <v>341</v>
      </c>
      <c r="I365" t="s">
        <v>1195</v>
      </c>
      <c r="J365">
        <v>2021</v>
      </c>
      <c r="K365" t="s">
        <v>458</v>
      </c>
      <c r="L365">
        <v>44531</v>
      </c>
      <c r="N365" t="s">
        <v>243</v>
      </c>
      <c r="P365" t="s">
        <v>1505</v>
      </c>
    </row>
    <row r="366" spans="1:16" x14ac:dyDescent="0.15">
      <c r="A366" t="s">
        <v>2858</v>
      </c>
      <c r="B366" t="s">
        <v>1509</v>
      </c>
      <c r="C366" t="s">
        <v>325</v>
      </c>
      <c r="D366" t="s">
        <v>326</v>
      </c>
      <c r="F366" t="s">
        <v>1510</v>
      </c>
      <c r="G366" t="s">
        <v>1511</v>
      </c>
      <c r="H366" t="s">
        <v>1512</v>
      </c>
      <c r="I366" t="s">
        <v>1195</v>
      </c>
      <c r="J366">
        <v>2020</v>
      </c>
      <c r="K366" t="s">
        <v>521</v>
      </c>
      <c r="L366">
        <v>44342</v>
      </c>
      <c r="N366" t="s">
        <v>243</v>
      </c>
      <c r="P366" t="s">
        <v>1513</v>
      </c>
    </row>
    <row r="367" spans="1:16" x14ac:dyDescent="0.15">
      <c r="A367" t="s">
        <v>2859</v>
      </c>
      <c r="B367" t="s">
        <v>1514</v>
      </c>
      <c r="C367" t="s">
        <v>325</v>
      </c>
      <c r="D367" t="s">
        <v>415</v>
      </c>
      <c r="E367" t="s">
        <v>1282</v>
      </c>
      <c r="F367" t="s">
        <v>1283</v>
      </c>
      <c r="H367" t="s">
        <v>1284</v>
      </c>
      <c r="I367" t="s">
        <v>1195</v>
      </c>
      <c r="J367">
        <v>2021</v>
      </c>
      <c r="K367" t="s">
        <v>1515</v>
      </c>
      <c r="L367">
        <v>44231</v>
      </c>
      <c r="N367" t="s">
        <v>336</v>
      </c>
      <c r="P367" t="s">
        <v>1516</v>
      </c>
    </row>
    <row r="368" spans="1:16" x14ac:dyDescent="0.15">
      <c r="A368" t="s">
        <v>2860</v>
      </c>
      <c r="B368" t="s">
        <v>1517</v>
      </c>
      <c r="C368" t="s">
        <v>325</v>
      </c>
      <c r="D368" t="s">
        <v>483</v>
      </c>
      <c r="F368" t="s">
        <v>1518</v>
      </c>
      <c r="H368" t="s">
        <v>436</v>
      </c>
      <c r="I368" t="s">
        <v>1195</v>
      </c>
      <c r="J368">
        <v>2021</v>
      </c>
      <c r="K368" t="s">
        <v>458</v>
      </c>
      <c r="L368">
        <v>44314</v>
      </c>
      <c r="N368" t="s">
        <v>243</v>
      </c>
      <c r="P368" t="s">
        <v>1519</v>
      </c>
    </row>
    <row r="369" spans="1:16" x14ac:dyDescent="0.15">
      <c r="A369" t="s">
        <v>2861</v>
      </c>
      <c r="B369" t="s">
        <v>1520</v>
      </c>
      <c r="C369" t="s">
        <v>325</v>
      </c>
      <c r="D369" t="s">
        <v>818</v>
      </c>
      <c r="E369" t="s">
        <v>558</v>
      </c>
      <c r="F369" t="s">
        <v>819</v>
      </c>
      <c r="G369" t="s">
        <v>1521</v>
      </c>
      <c r="H369" t="s">
        <v>341</v>
      </c>
      <c r="I369" t="s">
        <v>1195</v>
      </c>
      <c r="J369">
        <v>2021</v>
      </c>
      <c r="K369" t="s">
        <v>666</v>
      </c>
      <c r="L369" t="s">
        <v>1522</v>
      </c>
      <c r="N369" t="s">
        <v>243</v>
      </c>
      <c r="P369" t="s">
        <v>1523</v>
      </c>
    </row>
    <row r="370" spans="1:16" x14ac:dyDescent="0.15">
      <c r="A370" t="s">
        <v>2861</v>
      </c>
      <c r="B370" t="s">
        <v>1524</v>
      </c>
      <c r="C370" t="s">
        <v>325</v>
      </c>
      <c r="D370" t="s">
        <v>818</v>
      </c>
      <c r="E370" t="s">
        <v>558</v>
      </c>
      <c r="F370" t="s">
        <v>819</v>
      </c>
      <c r="G370" t="s">
        <v>1521</v>
      </c>
      <c r="H370" t="s">
        <v>341</v>
      </c>
      <c r="I370" t="s">
        <v>1195</v>
      </c>
      <c r="J370">
        <v>2021</v>
      </c>
      <c r="K370" t="s">
        <v>666</v>
      </c>
      <c r="L370" t="s">
        <v>1522</v>
      </c>
      <c r="N370" t="s">
        <v>243</v>
      </c>
      <c r="P370" t="s">
        <v>1523</v>
      </c>
    </row>
    <row r="371" spans="1:16" x14ac:dyDescent="0.15">
      <c r="A371" t="s">
        <v>2861</v>
      </c>
      <c r="B371" t="s">
        <v>1525</v>
      </c>
      <c r="C371" t="s">
        <v>325</v>
      </c>
      <c r="D371" t="s">
        <v>818</v>
      </c>
      <c r="E371" t="s">
        <v>558</v>
      </c>
      <c r="F371" t="s">
        <v>819</v>
      </c>
      <c r="G371" t="s">
        <v>1521</v>
      </c>
      <c r="H371" t="s">
        <v>341</v>
      </c>
      <c r="I371" t="s">
        <v>1195</v>
      </c>
      <c r="J371">
        <v>2021</v>
      </c>
      <c r="K371" t="s">
        <v>666</v>
      </c>
      <c r="L371" t="s">
        <v>1522</v>
      </c>
      <c r="N371" t="s">
        <v>243</v>
      </c>
      <c r="P371" t="s">
        <v>1523</v>
      </c>
    </row>
    <row r="372" spans="1:16" x14ac:dyDescent="0.15">
      <c r="A372" t="s">
        <v>2862</v>
      </c>
      <c r="B372" t="s">
        <v>1526</v>
      </c>
      <c r="C372" t="s">
        <v>325</v>
      </c>
      <c r="D372" t="s">
        <v>372</v>
      </c>
      <c r="F372" t="s">
        <v>509</v>
      </c>
      <c r="G372" t="s">
        <v>1527</v>
      </c>
      <c r="H372" t="s">
        <v>374</v>
      </c>
      <c r="I372" t="s">
        <v>1195</v>
      </c>
      <c r="J372">
        <v>2021</v>
      </c>
      <c r="K372" t="s">
        <v>458</v>
      </c>
      <c r="L372">
        <v>44314</v>
      </c>
      <c r="N372" t="s">
        <v>243</v>
      </c>
      <c r="P372" t="s">
        <v>1528</v>
      </c>
    </row>
    <row r="373" spans="1:16" x14ac:dyDescent="0.15">
      <c r="A373" t="s">
        <v>2862</v>
      </c>
      <c r="B373" t="s">
        <v>1529</v>
      </c>
      <c r="C373" t="s">
        <v>325</v>
      </c>
      <c r="D373" t="s">
        <v>372</v>
      </c>
      <c r="F373" t="s">
        <v>509</v>
      </c>
      <c r="G373" t="s">
        <v>1530</v>
      </c>
      <c r="H373" t="s">
        <v>374</v>
      </c>
      <c r="I373" t="s">
        <v>1195</v>
      </c>
      <c r="J373">
        <v>2021</v>
      </c>
      <c r="K373" t="s">
        <v>458</v>
      </c>
      <c r="L373">
        <v>44314</v>
      </c>
      <c r="N373" t="s">
        <v>243</v>
      </c>
      <c r="P373" t="s">
        <v>1528</v>
      </c>
    </row>
    <row r="374" spans="1:16" x14ac:dyDescent="0.15">
      <c r="A374" t="s">
        <v>2863</v>
      </c>
      <c r="B374" t="s">
        <v>1531</v>
      </c>
      <c r="C374" t="s">
        <v>325</v>
      </c>
      <c r="D374" t="s">
        <v>405</v>
      </c>
      <c r="E374" t="s">
        <v>405</v>
      </c>
      <c r="F374" t="s">
        <v>1532</v>
      </c>
      <c r="G374" t="s">
        <v>1533</v>
      </c>
      <c r="H374" t="s">
        <v>407</v>
      </c>
      <c r="I374" t="s">
        <v>1195</v>
      </c>
      <c r="J374">
        <v>2021</v>
      </c>
      <c r="K374" t="s">
        <v>330</v>
      </c>
      <c r="L374">
        <v>44355</v>
      </c>
      <c r="N374" t="s">
        <v>243</v>
      </c>
      <c r="P374" t="s">
        <v>1534</v>
      </c>
    </row>
    <row r="375" spans="1:16" x14ac:dyDescent="0.15">
      <c r="A375" t="s">
        <v>2864</v>
      </c>
      <c r="B375" t="s">
        <v>1535</v>
      </c>
      <c r="C375" t="s">
        <v>325</v>
      </c>
      <c r="D375" t="s">
        <v>350</v>
      </c>
      <c r="F375" t="s">
        <v>1048</v>
      </c>
      <c r="H375" t="s">
        <v>351</v>
      </c>
      <c r="I375" t="s">
        <v>1195</v>
      </c>
      <c r="J375">
        <v>2021</v>
      </c>
      <c r="K375" t="s">
        <v>666</v>
      </c>
      <c r="L375">
        <v>44384</v>
      </c>
      <c r="N375" t="s">
        <v>243</v>
      </c>
      <c r="P375" t="s">
        <v>1536</v>
      </c>
    </row>
    <row r="376" spans="1:16" x14ac:dyDescent="0.15">
      <c r="A376" t="s">
        <v>2864</v>
      </c>
      <c r="B376" t="s">
        <v>1537</v>
      </c>
      <c r="C376" t="s">
        <v>325</v>
      </c>
      <c r="D376" t="s">
        <v>350</v>
      </c>
      <c r="F376" t="s">
        <v>1048</v>
      </c>
      <c r="H376" t="s">
        <v>351</v>
      </c>
      <c r="I376" t="s">
        <v>1195</v>
      </c>
      <c r="J376">
        <v>2021</v>
      </c>
      <c r="K376" t="s">
        <v>666</v>
      </c>
      <c r="L376">
        <v>44384</v>
      </c>
      <c r="N376" t="s">
        <v>243</v>
      </c>
      <c r="P376" t="s">
        <v>1536</v>
      </c>
    </row>
    <row r="377" spans="1:16" x14ac:dyDescent="0.15">
      <c r="A377" t="s">
        <v>2864</v>
      </c>
      <c r="B377" t="s">
        <v>1538</v>
      </c>
      <c r="C377" t="s">
        <v>325</v>
      </c>
      <c r="D377" t="s">
        <v>350</v>
      </c>
      <c r="F377" t="s">
        <v>1048</v>
      </c>
      <c r="H377" t="s">
        <v>351</v>
      </c>
      <c r="I377" t="s">
        <v>1195</v>
      </c>
      <c r="J377">
        <v>2021</v>
      </c>
      <c r="K377" t="s">
        <v>666</v>
      </c>
      <c r="L377">
        <v>44392</v>
      </c>
      <c r="N377" t="s">
        <v>243</v>
      </c>
      <c r="P377" t="s">
        <v>1536</v>
      </c>
    </row>
    <row r="378" spans="1:16" x14ac:dyDescent="0.15">
      <c r="A378" t="s">
        <v>2864</v>
      </c>
      <c r="B378" t="s">
        <v>1539</v>
      </c>
      <c r="C378" t="s">
        <v>325</v>
      </c>
      <c r="D378" t="s">
        <v>350</v>
      </c>
      <c r="F378" t="s">
        <v>1048</v>
      </c>
      <c r="H378" t="s">
        <v>351</v>
      </c>
      <c r="I378" t="s">
        <v>1195</v>
      </c>
      <c r="J378">
        <v>2021</v>
      </c>
      <c r="K378" t="s">
        <v>666</v>
      </c>
      <c r="L378">
        <v>44384</v>
      </c>
      <c r="N378" t="s">
        <v>243</v>
      </c>
      <c r="P378" t="s">
        <v>1536</v>
      </c>
    </row>
    <row r="379" spans="1:16" x14ac:dyDescent="0.15">
      <c r="A379" t="s">
        <v>2864</v>
      </c>
      <c r="B379" t="s">
        <v>1540</v>
      </c>
      <c r="C379" t="s">
        <v>325</v>
      </c>
      <c r="D379" t="s">
        <v>350</v>
      </c>
      <c r="F379" t="s">
        <v>1048</v>
      </c>
      <c r="H379" t="s">
        <v>351</v>
      </c>
      <c r="I379" t="s">
        <v>1195</v>
      </c>
      <c r="J379">
        <v>2021</v>
      </c>
      <c r="K379" t="s">
        <v>666</v>
      </c>
      <c r="L379">
        <v>44392</v>
      </c>
      <c r="N379" t="s">
        <v>243</v>
      </c>
      <c r="P379" t="s">
        <v>1536</v>
      </c>
    </row>
    <row r="380" spans="1:16" x14ac:dyDescent="0.15">
      <c r="A380" t="s">
        <v>2864</v>
      </c>
      <c r="B380" t="s">
        <v>1541</v>
      </c>
      <c r="C380" t="s">
        <v>325</v>
      </c>
      <c r="D380" t="s">
        <v>350</v>
      </c>
      <c r="F380" t="s">
        <v>1048</v>
      </c>
      <c r="H380" t="s">
        <v>351</v>
      </c>
      <c r="I380" t="s">
        <v>1195</v>
      </c>
      <c r="J380">
        <v>2021</v>
      </c>
      <c r="K380" t="s">
        <v>666</v>
      </c>
      <c r="L380">
        <v>44392</v>
      </c>
      <c r="N380" t="s">
        <v>243</v>
      </c>
      <c r="P380" t="s">
        <v>1536</v>
      </c>
    </row>
    <row r="381" spans="1:16" x14ac:dyDescent="0.15">
      <c r="A381" t="s">
        <v>2864</v>
      </c>
      <c r="B381" t="s">
        <v>1542</v>
      </c>
      <c r="C381" t="s">
        <v>325</v>
      </c>
      <c r="D381" t="s">
        <v>350</v>
      </c>
      <c r="F381" t="s">
        <v>1048</v>
      </c>
      <c r="H381" t="s">
        <v>351</v>
      </c>
      <c r="I381" t="s">
        <v>1195</v>
      </c>
      <c r="J381">
        <v>2021</v>
      </c>
      <c r="K381" t="s">
        <v>666</v>
      </c>
      <c r="L381">
        <v>44392</v>
      </c>
      <c r="N381" t="s">
        <v>243</v>
      </c>
      <c r="P381" t="s">
        <v>1536</v>
      </c>
    </row>
    <row r="382" spans="1:16" x14ac:dyDescent="0.15">
      <c r="A382" t="s">
        <v>2864</v>
      </c>
      <c r="B382" t="s">
        <v>1543</v>
      </c>
      <c r="C382" t="s">
        <v>325</v>
      </c>
      <c r="D382" t="s">
        <v>350</v>
      </c>
      <c r="F382" t="s">
        <v>1048</v>
      </c>
      <c r="H382" t="s">
        <v>351</v>
      </c>
      <c r="I382" t="s">
        <v>1195</v>
      </c>
      <c r="J382">
        <v>2021</v>
      </c>
      <c r="K382" t="s">
        <v>458</v>
      </c>
      <c r="L382">
        <v>44484</v>
      </c>
      <c r="N382" t="s">
        <v>243</v>
      </c>
      <c r="P382" t="s">
        <v>1536</v>
      </c>
    </row>
    <row r="383" spans="1:16" x14ac:dyDescent="0.15">
      <c r="A383" t="s">
        <v>2865</v>
      </c>
      <c r="B383" t="s">
        <v>1544</v>
      </c>
      <c r="C383" t="s">
        <v>325</v>
      </c>
      <c r="D383" t="s">
        <v>372</v>
      </c>
      <c r="F383" t="s">
        <v>457</v>
      </c>
      <c r="G383" t="s">
        <v>1545</v>
      </c>
      <c r="H383" t="s">
        <v>374</v>
      </c>
      <c r="I383" t="s">
        <v>1195</v>
      </c>
      <c r="J383">
        <v>2021</v>
      </c>
      <c r="K383" t="s">
        <v>458</v>
      </c>
      <c r="L383">
        <v>44306</v>
      </c>
      <c r="N383" t="s">
        <v>243</v>
      </c>
      <c r="P383" t="s">
        <v>1546</v>
      </c>
    </row>
    <row r="384" spans="1:16" x14ac:dyDescent="0.15">
      <c r="A384" t="s">
        <v>2865</v>
      </c>
      <c r="B384" t="s">
        <v>1547</v>
      </c>
      <c r="C384" t="s">
        <v>325</v>
      </c>
      <c r="D384" t="s">
        <v>372</v>
      </c>
      <c r="F384" t="s">
        <v>457</v>
      </c>
      <c r="G384" t="s">
        <v>1548</v>
      </c>
      <c r="H384" t="s">
        <v>374</v>
      </c>
      <c r="I384" t="s">
        <v>1195</v>
      </c>
      <c r="J384">
        <v>2021</v>
      </c>
      <c r="K384" t="s">
        <v>458</v>
      </c>
      <c r="L384">
        <v>44306</v>
      </c>
      <c r="N384" t="s">
        <v>243</v>
      </c>
      <c r="P384" t="s">
        <v>1546</v>
      </c>
    </row>
    <row r="385" spans="1:16" x14ac:dyDescent="0.15">
      <c r="A385" t="s">
        <v>2865</v>
      </c>
      <c r="B385" t="s">
        <v>1549</v>
      </c>
      <c r="C385" t="s">
        <v>325</v>
      </c>
      <c r="D385" t="s">
        <v>372</v>
      </c>
      <c r="F385" t="s">
        <v>457</v>
      </c>
      <c r="G385" t="s">
        <v>1550</v>
      </c>
      <c r="H385" t="s">
        <v>374</v>
      </c>
      <c r="I385" t="s">
        <v>1195</v>
      </c>
      <c r="J385">
        <v>2021</v>
      </c>
      <c r="K385" t="s">
        <v>458</v>
      </c>
      <c r="L385">
        <v>44306</v>
      </c>
      <c r="N385" t="s">
        <v>243</v>
      </c>
      <c r="P385" t="s">
        <v>1546</v>
      </c>
    </row>
    <row r="386" spans="1:16" x14ac:dyDescent="0.15">
      <c r="A386" t="s">
        <v>2865</v>
      </c>
      <c r="B386" t="s">
        <v>1551</v>
      </c>
      <c r="C386" t="s">
        <v>325</v>
      </c>
      <c r="D386" t="s">
        <v>372</v>
      </c>
      <c r="F386" t="s">
        <v>457</v>
      </c>
      <c r="G386" t="s">
        <v>1552</v>
      </c>
      <c r="H386" t="s">
        <v>374</v>
      </c>
      <c r="I386" t="s">
        <v>1195</v>
      </c>
      <c r="J386">
        <v>2021</v>
      </c>
      <c r="K386" t="s">
        <v>458</v>
      </c>
      <c r="L386">
        <v>44306</v>
      </c>
      <c r="N386" t="s">
        <v>243</v>
      </c>
      <c r="P386" t="s">
        <v>1546</v>
      </c>
    </row>
    <row r="387" spans="1:16" x14ac:dyDescent="0.15">
      <c r="A387" t="s">
        <v>2865</v>
      </c>
      <c r="B387" t="s">
        <v>1553</v>
      </c>
      <c r="C387" t="s">
        <v>325</v>
      </c>
      <c r="D387" t="s">
        <v>372</v>
      </c>
      <c r="F387" t="s">
        <v>457</v>
      </c>
      <c r="G387" t="s">
        <v>1554</v>
      </c>
      <c r="H387" t="s">
        <v>374</v>
      </c>
      <c r="I387" t="s">
        <v>1195</v>
      </c>
      <c r="J387">
        <v>2021</v>
      </c>
      <c r="K387" t="s">
        <v>458</v>
      </c>
      <c r="L387">
        <v>44362</v>
      </c>
      <c r="N387" t="s">
        <v>243</v>
      </c>
      <c r="P387" t="s">
        <v>1546</v>
      </c>
    </row>
    <row r="388" spans="1:16" x14ac:dyDescent="0.15">
      <c r="A388" t="s">
        <v>2865</v>
      </c>
      <c r="B388" t="s">
        <v>1555</v>
      </c>
      <c r="C388" t="s">
        <v>325</v>
      </c>
      <c r="D388" t="s">
        <v>372</v>
      </c>
      <c r="F388" t="s">
        <v>457</v>
      </c>
      <c r="G388" t="s">
        <v>1556</v>
      </c>
      <c r="H388" t="s">
        <v>374</v>
      </c>
      <c r="I388" t="s">
        <v>1195</v>
      </c>
      <c r="J388">
        <v>2021</v>
      </c>
      <c r="K388" t="s">
        <v>458</v>
      </c>
      <c r="L388">
        <v>44461</v>
      </c>
      <c r="N388" t="s">
        <v>243</v>
      </c>
      <c r="P388" t="s">
        <v>1546</v>
      </c>
    </row>
    <row r="389" spans="1:16" x14ac:dyDescent="0.15">
      <c r="A389" t="s">
        <v>2865</v>
      </c>
      <c r="B389" t="s">
        <v>1557</v>
      </c>
      <c r="C389" t="s">
        <v>325</v>
      </c>
      <c r="D389" t="s">
        <v>372</v>
      </c>
      <c r="F389" t="s">
        <v>457</v>
      </c>
      <c r="G389" t="s">
        <v>1558</v>
      </c>
      <c r="H389" t="s">
        <v>374</v>
      </c>
      <c r="I389" t="s">
        <v>1195</v>
      </c>
      <c r="J389">
        <v>2021</v>
      </c>
      <c r="K389" t="s">
        <v>458</v>
      </c>
      <c r="L389">
        <v>44726</v>
      </c>
      <c r="N389" t="s">
        <v>243</v>
      </c>
      <c r="P389" t="s">
        <v>1546</v>
      </c>
    </row>
    <row r="390" spans="1:16" x14ac:dyDescent="0.15">
      <c r="A390" t="s">
        <v>2866</v>
      </c>
      <c r="B390" t="s">
        <v>1559</v>
      </c>
      <c r="C390" t="s">
        <v>325</v>
      </c>
      <c r="D390" t="s">
        <v>377</v>
      </c>
      <c r="E390" t="s">
        <v>372</v>
      </c>
      <c r="F390" t="s">
        <v>1059</v>
      </c>
      <c r="H390" t="s">
        <v>554</v>
      </c>
      <c r="I390" t="s">
        <v>1195</v>
      </c>
      <c r="J390">
        <v>2021</v>
      </c>
      <c r="K390" t="s">
        <v>458</v>
      </c>
      <c r="L390">
        <v>44278</v>
      </c>
      <c r="N390" t="s">
        <v>243</v>
      </c>
      <c r="P390" t="s">
        <v>1560</v>
      </c>
    </row>
    <row r="391" spans="1:16" x14ac:dyDescent="0.15">
      <c r="A391" t="s">
        <v>2867</v>
      </c>
      <c r="B391" t="s">
        <v>1561</v>
      </c>
      <c r="C391" t="s">
        <v>325</v>
      </c>
      <c r="D391" t="s">
        <v>345</v>
      </c>
      <c r="F391" t="s">
        <v>1562</v>
      </c>
      <c r="H391" t="s">
        <v>1563</v>
      </c>
      <c r="I391" t="s">
        <v>1195</v>
      </c>
      <c r="J391">
        <v>2021</v>
      </c>
      <c r="K391" t="s">
        <v>408</v>
      </c>
      <c r="L391">
        <v>44316</v>
      </c>
      <c r="N391" t="s">
        <v>243</v>
      </c>
      <c r="O391" t="s">
        <v>331</v>
      </c>
      <c r="P391" t="s">
        <v>1564</v>
      </c>
    </row>
    <row r="392" spans="1:16" x14ac:dyDescent="0.15">
      <c r="A392" t="s">
        <v>2868</v>
      </c>
      <c r="B392" t="s">
        <v>1565</v>
      </c>
      <c r="C392" t="s">
        <v>325</v>
      </c>
      <c r="D392" t="s">
        <v>345</v>
      </c>
      <c r="F392" t="s">
        <v>1566</v>
      </c>
      <c r="H392" t="s">
        <v>595</v>
      </c>
      <c r="I392" t="s">
        <v>1195</v>
      </c>
      <c r="J392">
        <v>2021</v>
      </c>
      <c r="K392" t="s">
        <v>330</v>
      </c>
      <c r="L392">
        <v>44347</v>
      </c>
      <c r="N392" t="s">
        <v>243</v>
      </c>
      <c r="P392" t="s">
        <v>1567</v>
      </c>
    </row>
    <row r="393" spans="1:16" x14ac:dyDescent="0.15">
      <c r="A393" t="s">
        <v>2869</v>
      </c>
      <c r="B393" t="s">
        <v>1568</v>
      </c>
      <c r="C393" t="s">
        <v>325</v>
      </c>
      <c r="D393" t="s">
        <v>345</v>
      </c>
      <c r="F393" t="s">
        <v>1569</v>
      </c>
      <c r="H393" t="s">
        <v>554</v>
      </c>
      <c r="I393" t="s">
        <v>1195</v>
      </c>
      <c r="J393">
        <v>2021</v>
      </c>
      <c r="K393" t="s">
        <v>408</v>
      </c>
      <c r="L393">
        <v>44392</v>
      </c>
      <c r="N393" t="s">
        <v>243</v>
      </c>
      <c r="O393" t="s">
        <v>331</v>
      </c>
      <c r="P393" t="s">
        <v>1570</v>
      </c>
    </row>
    <row r="394" spans="1:16" x14ac:dyDescent="0.15">
      <c r="A394" t="s">
        <v>2870</v>
      </c>
      <c r="B394" t="s">
        <v>1571</v>
      </c>
      <c r="C394" t="s">
        <v>325</v>
      </c>
      <c r="D394" t="s">
        <v>415</v>
      </c>
      <c r="E394" t="s">
        <v>1572</v>
      </c>
      <c r="F394" t="s">
        <v>1573</v>
      </c>
      <c r="H394" t="s">
        <v>485</v>
      </c>
      <c r="I394" t="s">
        <v>1195</v>
      </c>
      <c r="J394">
        <v>2021</v>
      </c>
      <c r="K394" t="s">
        <v>408</v>
      </c>
      <c r="M394" t="s">
        <v>1574</v>
      </c>
      <c r="N394" t="s">
        <v>336</v>
      </c>
      <c r="O394" t="s">
        <v>1395</v>
      </c>
      <c r="P394" t="s">
        <v>1575</v>
      </c>
    </row>
    <row r="395" spans="1:16" x14ac:dyDescent="0.15">
      <c r="A395" t="s">
        <v>2870</v>
      </c>
      <c r="B395" t="s">
        <v>1576</v>
      </c>
      <c r="C395" t="s">
        <v>325</v>
      </c>
      <c r="D395" t="s">
        <v>415</v>
      </c>
      <c r="E395" t="s">
        <v>1572</v>
      </c>
      <c r="F395" t="s">
        <v>1573</v>
      </c>
      <c r="H395" t="s">
        <v>485</v>
      </c>
      <c r="I395" t="s">
        <v>1195</v>
      </c>
      <c r="J395">
        <v>2021</v>
      </c>
      <c r="K395" t="s">
        <v>408</v>
      </c>
      <c r="N395" t="s">
        <v>243</v>
      </c>
      <c r="O395" t="s">
        <v>1395</v>
      </c>
      <c r="P395" t="s">
        <v>1575</v>
      </c>
    </row>
    <row r="396" spans="1:16" x14ac:dyDescent="0.15">
      <c r="A396" t="s">
        <v>2871</v>
      </c>
      <c r="B396" t="s">
        <v>1577</v>
      </c>
      <c r="C396" t="s">
        <v>325</v>
      </c>
      <c r="D396" t="s">
        <v>372</v>
      </c>
      <c r="F396" t="s">
        <v>1128</v>
      </c>
      <c r="G396" t="s">
        <v>1578</v>
      </c>
      <c r="H396" t="s">
        <v>620</v>
      </c>
      <c r="I396" t="s">
        <v>1195</v>
      </c>
      <c r="J396">
        <v>2021</v>
      </c>
      <c r="K396" t="s">
        <v>458</v>
      </c>
      <c r="L396">
        <v>44329</v>
      </c>
      <c r="N396" t="s">
        <v>243</v>
      </c>
      <c r="P396" t="s">
        <v>1579</v>
      </c>
    </row>
    <row r="397" spans="1:16" x14ac:dyDescent="0.15">
      <c r="A397" t="s">
        <v>2872</v>
      </c>
      <c r="B397" t="s">
        <v>1580</v>
      </c>
      <c r="C397" t="s">
        <v>325</v>
      </c>
      <c r="D397" t="s">
        <v>953</v>
      </c>
      <c r="F397" t="s">
        <v>1581</v>
      </c>
      <c r="H397" t="s">
        <v>485</v>
      </c>
      <c r="I397" t="s">
        <v>1195</v>
      </c>
      <c r="J397">
        <v>2021</v>
      </c>
      <c r="K397" t="s">
        <v>443</v>
      </c>
      <c r="L397">
        <v>44377</v>
      </c>
      <c r="N397" t="s">
        <v>243</v>
      </c>
      <c r="O397" t="s">
        <v>331</v>
      </c>
      <c r="P397" t="s">
        <v>1582</v>
      </c>
    </row>
    <row r="398" spans="1:16" x14ac:dyDescent="0.15">
      <c r="A398" t="s">
        <v>2873</v>
      </c>
      <c r="B398" t="s">
        <v>1583</v>
      </c>
      <c r="C398" t="s">
        <v>325</v>
      </c>
      <c r="D398" t="s">
        <v>372</v>
      </c>
      <c r="F398" t="s">
        <v>683</v>
      </c>
      <c r="G398" t="s">
        <v>1584</v>
      </c>
      <c r="H398" t="s">
        <v>684</v>
      </c>
      <c r="I398" t="s">
        <v>1195</v>
      </c>
      <c r="J398">
        <v>2021</v>
      </c>
      <c r="K398" t="s">
        <v>458</v>
      </c>
      <c r="L398">
        <v>44347</v>
      </c>
      <c r="N398" t="s">
        <v>243</v>
      </c>
      <c r="P398" t="s">
        <v>1585</v>
      </c>
    </row>
    <row r="399" spans="1:16" x14ac:dyDescent="0.15">
      <c r="A399" t="s">
        <v>2873</v>
      </c>
      <c r="B399" t="s">
        <v>1586</v>
      </c>
      <c r="C399" t="s">
        <v>325</v>
      </c>
      <c r="D399" t="s">
        <v>372</v>
      </c>
      <c r="F399" t="s">
        <v>683</v>
      </c>
      <c r="G399" t="s">
        <v>1587</v>
      </c>
      <c r="H399" t="s">
        <v>684</v>
      </c>
      <c r="I399" t="s">
        <v>1195</v>
      </c>
      <c r="J399">
        <v>2021</v>
      </c>
      <c r="K399" t="s">
        <v>666</v>
      </c>
      <c r="L399">
        <v>44255</v>
      </c>
      <c r="N399" t="s">
        <v>243</v>
      </c>
      <c r="P399" t="s">
        <v>1585</v>
      </c>
    </row>
    <row r="400" spans="1:16" x14ac:dyDescent="0.15">
      <c r="A400" t="s">
        <v>2874</v>
      </c>
      <c r="B400" t="s">
        <v>1588</v>
      </c>
      <c r="C400" t="s">
        <v>325</v>
      </c>
      <c r="D400" t="s">
        <v>345</v>
      </c>
      <c r="F400" t="s">
        <v>1589</v>
      </c>
      <c r="H400" t="s">
        <v>595</v>
      </c>
      <c r="I400" t="s">
        <v>1195</v>
      </c>
      <c r="J400">
        <v>2021</v>
      </c>
      <c r="K400" t="s">
        <v>330</v>
      </c>
      <c r="L400" t="s">
        <v>1590</v>
      </c>
      <c r="N400" t="s">
        <v>243</v>
      </c>
      <c r="P400" t="s">
        <v>1591</v>
      </c>
    </row>
    <row r="401" spans="1:16" x14ac:dyDescent="0.15">
      <c r="A401" t="s">
        <v>2875</v>
      </c>
      <c r="B401" t="s">
        <v>1592</v>
      </c>
      <c r="C401" t="s">
        <v>325</v>
      </c>
      <c r="D401" t="s">
        <v>593</v>
      </c>
      <c r="E401" t="s">
        <v>1593</v>
      </c>
      <c r="F401" t="s">
        <v>1593</v>
      </c>
      <c r="H401" t="s">
        <v>620</v>
      </c>
      <c r="I401" t="s">
        <v>1195</v>
      </c>
      <c r="J401">
        <v>2021</v>
      </c>
      <c r="K401" t="s">
        <v>521</v>
      </c>
      <c r="L401">
        <v>44323</v>
      </c>
      <c r="N401" t="s">
        <v>243</v>
      </c>
      <c r="P401" t="s">
        <v>1594</v>
      </c>
    </row>
    <row r="402" spans="1:16" x14ac:dyDescent="0.15">
      <c r="A402" t="s">
        <v>2876</v>
      </c>
      <c r="B402" t="s">
        <v>1595</v>
      </c>
      <c r="C402" t="s">
        <v>325</v>
      </c>
      <c r="D402" t="s">
        <v>326</v>
      </c>
      <c r="F402" t="s">
        <v>1596</v>
      </c>
      <c r="H402" t="s">
        <v>1597</v>
      </c>
      <c r="I402" t="s">
        <v>1195</v>
      </c>
      <c r="J402">
        <v>2021</v>
      </c>
      <c r="K402" t="s">
        <v>443</v>
      </c>
      <c r="L402">
        <v>44459</v>
      </c>
      <c r="N402" t="s">
        <v>243</v>
      </c>
      <c r="O402" t="s">
        <v>331</v>
      </c>
      <c r="P402" t="s">
        <v>1598</v>
      </c>
    </row>
    <row r="403" spans="1:16" x14ac:dyDescent="0.15">
      <c r="A403" t="s">
        <v>2876</v>
      </c>
      <c r="B403" t="s">
        <v>1599</v>
      </c>
      <c r="C403" t="s">
        <v>325</v>
      </c>
      <c r="D403" t="s">
        <v>326</v>
      </c>
      <c r="F403" t="s">
        <v>1596</v>
      </c>
      <c r="H403" t="s">
        <v>1597</v>
      </c>
      <c r="I403" t="s">
        <v>1195</v>
      </c>
      <c r="J403">
        <v>2021</v>
      </c>
      <c r="K403" t="s">
        <v>443</v>
      </c>
      <c r="L403">
        <v>44530</v>
      </c>
      <c r="N403" t="s">
        <v>243</v>
      </c>
      <c r="O403" t="s">
        <v>331</v>
      </c>
      <c r="P403" t="s">
        <v>1598</v>
      </c>
    </row>
    <row r="404" spans="1:16" x14ac:dyDescent="0.15">
      <c r="A404" t="s">
        <v>2876</v>
      </c>
      <c r="B404" t="s">
        <v>1600</v>
      </c>
      <c r="C404" t="s">
        <v>325</v>
      </c>
      <c r="D404" t="s">
        <v>326</v>
      </c>
      <c r="F404" t="s">
        <v>1596</v>
      </c>
      <c r="G404" t="s">
        <v>1601</v>
      </c>
      <c r="H404" t="s">
        <v>1597</v>
      </c>
      <c r="I404" t="s">
        <v>1195</v>
      </c>
      <c r="J404">
        <v>2021</v>
      </c>
      <c r="K404" t="s">
        <v>443</v>
      </c>
      <c r="L404">
        <v>44510</v>
      </c>
      <c r="N404" t="s">
        <v>243</v>
      </c>
      <c r="O404" t="s">
        <v>331</v>
      </c>
      <c r="P404" t="s">
        <v>1598</v>
      </c>
    </row>
    <row r="405" spans="1:16" x14ac:dyDescent="0.15">
      <c r="A405" t="s">
        <v>2877</v>
      </c>
      <c r="B405" t="s">
        <v>1602</v>
      </c>
      <c r="C405" t="s">
        <v>325</v>
      </c>
      <c r="D405" t="s">
        <v>953</v>
      </c>
      <c r="F405" t="s">
        <v>1603</v>
      </c>
      <c r="H405" t="s">
        <v>1604</v>
      </c>
      <c r="I405" t="s">
        <v>1195</v>
      </c>
      <c r="J405">
        <v>2021</v>
      </c>
      <c r="K405" t="s">
        <v>443</v>
      </c>
      <c r="L405">
        <v>44669</v>
      </c>
      <c r="N405" t="s">
        <v>243</v>
      </c>
      <c r="O405" t="s">
        <v>331</v>
      </c>
      <c r="P405" t="s">
        <v>1605</v>
      </c>
    </row>
    <row r="406" spans="1:16" x14ac:dyDescent="0.15">
      <c r="A406" t="s">
        <v>2878</v>
      </c>
      <c r="B406" t="s">
        <v>1606</v>
      </c>
      <c r="C406" t="s">
        <v>325</v>
      </c>
      <c r="D406" t="s">
        <v>377</v>
      </c>
      <c r="E406" t="s">
        <v>372</v>
      </c>
      <c r="F406" t="s">
        <v>1607</v>
      </c>
      <c r="H406" t="s">
        <v>485</v>
      </c>
      <c r="I406" t="s">
        <v>1195</v>
      </c>
      <c r="J406">
        <v>2021</v>
      </c>
      <c r="K406" t="s">
        <v>521</v>
      </c>
      <c r="M406" t="s">
        <v>1608</v>
      </c>
      <c r="N406" t="s">
        <v>243</v>
      </c>
      <c r="P406" t="s">
        <v>1609</v>
      </c>
    </row>
    <row r="407" spans="1:16" x14ac:dyDescent="0.15">
      <c r="A407" t="s">
        <v>2879</v>
      </c>
      <c r="B407" t="s">
        <v>1610</v>
      </c>
      <c r="C407" t="s">
        <v>325</v>
      </c>
      <c r="D407" t="s">
        <v>1375</v>
      </c>
      <c r="E407" t="s">
        <v>1375</v>
      </c>
      <c r="F407" t="s">
        <v>1375</v>
      </c>
      <c r="H407" t="s">
        <v>341</v>
      </c>
      <c r="I407" t="s">
        <v>1195</v>
      </c>
      <c r="J407">
        <v>2021</v>
      </c>
      <c r="K407" t="s">
        <v>408</v>
      </c>
      <c r="L407">
        <v>44397</v>
      </c>
      <c r="N407" t="s">
        <v>243</v>
      </c>
      <c r="O407" t="s">
        <v>331</v>
      </c>
      <c r="P407" t="s">
        <v>1611</v>
      </c>
    </row>
    <row r="408" spans="1:16" x14ac:dyDescent="0.15">
      <c r="A408" t="s">
        <v>2880</v>
      </c>
      <c r="B408" t="s">
        <v>1612</v>
      </c>
      <c r="C408" t="s">
        <v>325</v>
      </c>
      <c r="D408" t="s">
        <v>953</v>
      </c>
      <c r="F408" t="s">
        <v>1613</v>
      </c>
      <c r="H408" t="s">
        <v>485</v>
      </c>
      <c r="I408" t="s">
        <v>1195</v>
      </c>
      <c r="J408">
        <v>2021</v>
      </c>
      <c r="K408" t="s">
        <v>443</v>
      </c>
      <c r="L408">
        <v>44580</v>
      </c>
      <c r="N408" t="s">
        <v>243</v>
      </c>
      <c r="O408" t="s">
        <v>331</v>
      </c>
      <c r="P408" t="s">
        <v>1614</v>
      </c>
    </row>
    <row r="409" spans="1:16" x14ac:dyDescent="0.15">
      <c r="A409" t="s">
        <v>2881</v>
      </c>
      <c r="B409" t="s">
        <v>1615</v>
      </c>
      <c r="C409" t="s">
        <v>325</v>
      </c>
      <c r="D409" t="s">
        <v>345</v>
      </c>
      <c r="E409" t="s">
        <v>857</v>
      </c>
      <c r="F409" t="s">
        <v>857</v>
      </c>
      <c r="H409" t="s">
        <v>374</v>
      </c>
      <c r="I409" t="s">
        <v>1195</v>
      </c>
      <c r="J409">
        <v>2021</v>
      </c>
      <c r="K409" t="s">
        <v>666</v>
      </c>
      <c r="L409">
        <v>44449</v>
      </c>
      <c r="N409" t="s">
        <v>243</v>
      </c>
      <c r="P409" t="s">
        <v>1616</v>
      </c>
    </row>
    <row r="410" spans="1:16" x14ac:dyDescent="0.15">
      <c r="A410" t="s">
        <v>2881</v>
      </c>
      <c r="B410" t="s">
        <v>1617</v>
      </c>
      <c r="C410" t="s">
        <v>325</v>
      </c>
      <c r="D410" t="s">
        <v>345</v>
      </c>
      <c r="E410" t="s">
        <v>857</v>
      </c>
      <c r="F410" t="s">
        <v>857</v>
      </c>
      <c r="G410" t="s">
        <v>1618</v>
      </c>
      <c r="H410" t="s">
        <v>374</v>
      </c>
      <c r="I410" t="s">
        <v>1195</v>
      </c>
      <c r="J410">
        <v>2021</v>
      </c>
      <c r="K410" t="s">
        <v>666</v>
      </c>
      <c r="L410">
        <v>44449</v>
      </c>
      <c r="N410" t="s">
        <v>243</v>
      </c>
      <c r="P410" t="s">
        <v>1616</v>
      </c>
    </row>
    <row r="411" spans="1:16" x14ac:dyDescent="0.15">
      <c r="A411" t="s">
        <v>2882</v>
      </c>
      <c r="B411" t="s">
        <v>1619</v>
      </c>
      <c r="C411" t="s">
        <v>325</v>
      </c>
      <c r="D411" t="s">
        <v>731</v>
      </c>
      <c r="E411" t="s">
        <v>372</v>
      </c>
      <c r="F411" t="s">
        <v>1620</v>
      </c>
      <c r="H411" t="s">
        <v>620</v>
      </c>
      <c r="I411" t="s">
        <v>1195</v>
      </c>
      <c r="J411">
        <v>2021</v>
      </c>
      <c r="K411" t="s">
        <v>330</v>
      </c>
      <c r="L411">
        <v>44540</v>
      </c>
      <c r="M411" t="s">
        <v>1621</v>
      </c>
      <c r="N411" t="s">
        <v>243</v>
      </c>
      <c r="P411" t="s">
        <v>1622</v>
      </c>
    </row>
    <row r="412" spans="1:16" x14ac:dyDescent="0.15">
      <c r="A412" t="s">
        <v>2883</v>
      </c>
      <c r="B412" t="s">
        <v>1623</v>
      </c>
      <c r="C412" t="s">
        <v>325</v>
      </c>
      <c r="D412" t="s">
        <v>1624</v>
      </c>
      <c r="E412" t="s">
        <v>372</v>
      </c>
      <c r="F412" t="s">
        <v>1625</v>
      </c>
      <c r="H412" t="s">
        <v>440</v>
      </c>
      <c r="I412" t="s">
        <v>1195</v>
      </c>
      <c r="J412">
        <v>2021</v>
      </c>
      <c r="K412" t="s">
        <v>458</v>
      </c>
      <c r="L412">
        <v>44411</v>
      </c>
      <c r="N412" t="s">
        <v>243</v>
      </c>
      <c r="P412" t="s">
        <v>1626</v>
      </c>
    </row>
    <row r="413" spans="1:16" x14ac:dyDescent="0.15">
      <c r="A413" t="s">
        <v>2884</v>
      </c>
      <c r="B413" t="s">
        <v>1627</v>
      </c>
      <c r="C413" t="s">
        <v>325</v>
      </c>
      <c r="D413" t="s">
        <v>483</v>
      </c>
      <c r="F413" t="s">
        <v>612</v>
      </c>
      <c r="G413" t="s">
        <v>1628</v>
      </c>
      <c r="H413" t="s">
        <v>612</v>
      </c>
      <c r="I413" t="s">
        <v>1195</v>
      </c>
      <c r="J413">
        <v>2021</v>
      </c>
      <c r="K413" t="s">
        <v>458</v>
      </c>
      <c r="L413">
        <v>44414</v>
      </c>
      <c r="N413" t="s">
        <v>243</v>
      </c>
      <c r="P413" t="s">
        <v>1629</v>
      </c>
    </row>
    <row r="414" spans="1:16" x14ac:dyDescent="0.15">
      <c r="A414" t="s">
        <v>2885</v>
      </c>
      <c r="B414" t="s">
        <v>1630</v>
      </c>
      <c r="C414" t="s">
        <v>325</v>
      </c>
      <c r="D414" t="s">
        <v>1631</v>
      </c>
      <c r="E414" t="s">
        <v>372</v>
      </c>
      <c r="F414" t="s">
        <v>755</v>
      </c>
      <c r="G414" t="s">
        <v>1632</v>
      </c>
      <c r="H414" t="s">
        <v>449</v>
      </c>
      <c r="I414" t="s">
        <v>1195</v>
      </c>
      <c r="J414">
        <v>2021</v>
      </c>
      <c r="K414" t="s">
        <v>330</v>
      </c>
      <c r="L414">
        <v>44469</v>
      </c>
      <c r="N414" t="s">
        <v>243</v>
      </c>
      <c r="P414" t="s">
        <v>1633</v>
      </c>
    </row>
    <row r="415" spans="1:16" x14ac:dyDescent="0.15">
      <c r="A415" t="s">
        <v>2886</v>
      </c>
      <c r="B415" t="s">
        <v>1634</v>
      </c>
      <c r="C415" t="s">
        <v>325</v>
      </c>
      <c r="D415" t="s">
        <v>1635</v>
      </c>
      <c r="F415" t="s">
        <v>1636</v>
      </c>
      <c r="G415" t="s">
        <v>1637</v>
      </c>
      <c r="H415" t="s">
        <v>341</v>
      </c>
      <c r="I415" t="s">
        <v>1195</v>
      </c>
      <c r="J415">
        <v>2021</v>
      </c>
      <c r="K415" t="s">
        <v>443</v>
      </c>
      <c r="L415">
        <v>2020</v>
      </c>
      <c r="N415" t="s">
        <v>336</v>
      </c>
      <c r="O415" t="s">
        <v>331</v>
      </c>
      <c r="P415" t="s">
        <v>1638</v>
      </c>
    </row>
    <row r="416" spans="1:16" x14ac:dyDescent="0.15">
      <c r="A416" t="s">
        <v>2887</v>
      </c>
      <c r="B416" t="s">
        <v>1639</v>
      </c>
      <c r="C416" t="s">
        <v>325</v>
      </c>
      <c r="D416" t="s">
        <v>1640</v>
      </c>
      <c r="F416" t="s">
        <v>1641</v>
      </c>
      <c r="G416" t="s">
        <v>1642</v>
      </c>
      <c r="H416" t="s">
        <v>374</v>
      </c>
      <c r="I416" t="s">
        <v>1195</v>
      </c>
      <c r="J416">
        <v>2021</v>
      </c>
      <c r="K416" t="s">
        <v>408</v>
      </c>
      <c r="L416">
        <v>44410</v>
      </c>
      <c r="N416" t="s">
        <v>243</v>
      </c>
      <c r="O416" t="s">
        <v>331</v>
      </c>
      <c r="P416" t="s">
        <v>1643</v>
      </c>
    </row>
    <row r="417" spans="1:16" x14ac:dyDescent="0.15">
      <c r="A417" t="s">
        <v>2888</v>
      </c>
      <c r="B417" t="s">
        <v>1644</v>
      </c>
      <c r="C417" t="s">
        <v>325</v>
      </c>
      <c r="D417" t="s">
        <v>570</v>
      </c>
      <c r="F417" t="s">
        <v>571</v>
      </c>
      <c r="H417" t="s">
        <v>341</v>
      </c>
      <c r="I417" t="s">
        <v>1195</v>
      </c>
      <c r="J417">
        <v>2021</v>
      </c>
      <c r="K417" t="s">
        <v>458</v>
      </c>
      <c r="L417">
        <v>44420</v>
      </c>
      <c r="N417" t="s">
        <v>243</v>
      </c>
      <c r="P417" t="s">
        <v>1645</v>
      </c>
    </row>
    <row r="418" spans="1:16" x14ac:dyDescent="0.15">
      <c r="A418" t="s">
        <v>2889</v>
      </c>
      <c r="B418" t="s">
        <v>1646</v>
      </c>
      <c r="C418" t="s">
        <v>325</v>
      </c>
      <c r="D418" t="s">
        <v>471</v>
      </c>
      <c r="F418" t="s">
        <v>1257</v>
      </c>
      <c r="G418" t="s">
        <v>1647</v>
      </c>
      <c r="H418" t="s">
        <v>341</v>
      </c>
      <c r="I418" t="s">
        <v>1195</v>
      </c>
      <c r="J418">
        <v>2021</v>
      </c>
      <c r="K418" t="s">
        <v>458</v>
      </c>
      <c r="N418" t="s">
        <v>243</v>
      </c>
      <c r="P418" t="s">
        <v>1648</v>
      </c>
    </row>
    <row r="419" spans="1:16" x14ac:dyDescent="0.15">
      <c r="A419" t="s">
        <v>2889</v>
      </c>
      <c r="B419" t="s">
        <v>1646</v>
      </c>
      <c r="C419" t="s">
        <v>325</v>
      </c>
      <c r="D419" t="s">
        <v>471</v>
      </c>
      <c r="F419" t="s">
        <v>1257</v>
      </c>
      <c r="G419" t="s">
        <v>1649</v>
      </c>
      <c r="H419" t="s">
        <v>341</v>
      </c>
      <c r="I419" t="s">
        <v>1195</v>
      </c>
      <c r="J419">
        <v>2021</v>
      </c>
      <c r="K419" t="s">
        <v>458</v>
      </c>
      <c r="N419" t="s">
        <v>336</v>
      </c>
      <c r="P419" t="s">
        <v>1648</v>
      </c>
    </row>
    <row r="420" spans="1:16" x14ac:dyDescent="0.15">
      <c r="A420" t="s">
        <v>2890</v>
      </c>
      <c r="B420" t="s">
        <v>1650</v>
      </c>
      <c r="C420" t="s">
        <v>325</v>
      </c>
      <c r="D420" t="s">
        <v>372</v>
      </c>
      <c r="F420" t="s">
        <v>1073</v>
      </c>
      <c r="H420" t="s">
        <v>578</v>
      </c>
      <c r="I420" t="s">
        <v>1195</v>
      </c>
      <c r="J420">
        <v>2021</v>
      </c>
      <c r="K420" t="s">
        <v>666</v>
      </c>
      <c r="L420">
        <v>44515</v>
      </c>
      <c r="N420" t="s">
        <v>243</v>
      </c>
      <c r="P420" t="s">
        <v>1651</v>
      </c>
    </row>
    <row r="421" spans="1:16" x14ac:dyDescent="0.15">
      <c r="A421" t="s">
        <v>2891</v>
      </c>
      <c r="B421" t="s">
        <v>1652</v>
      </c>
      <c r="C421" t="s">
        <v>325</v>
      </c>
      <c r="D421" t="s">
        <v>345</v>
      </c>
      <c r="F421" t="s">
        <v>1653</v>
      </c>
      <c r="H421" t="s">
        <v>485</v>
      </c>
      <c r="I421" t="s">
        <v>1195</v>
      </c>
      <c r="J421">
        <v>2021</v>
      </c>
      <c r="K421" t="s">
        <v>443</v>
      </c>
      <c r="L421">
        <v>44403</v>
      </c>
      <c r="N421" t="s">
        <v>243</v>
      </c>
      <c r="O421" t="s">
        <v>331</v>
      </c>
      <c r="P421" t="s">
        <v>1654</v>
      </c>
    </row>
    <row r="422" spans="1:16" x14ac:dyDescent="0.15">
      <c r="A422" t="s">
        <v>2892</v>
      </c>
      <c r="B422" t="s">
        <v>1655</v>
      </c>
      <c r="C422" t="s">
        <v>325</v>
      </c>
      <c r="D422" t="s">
        <v>1656</v>
      </c>
      <c r="E422" t="s">
        <v>1657</v>
      </c>
      <c r="F422" t="s">
        <v>1658</v>
      </c>
      <c r="G422" t="s">
        <v>1659</v>
      </c>
      <c r="H422" t="s">
        <v>411</v>
      </c>
      <c r="I422" t="s">
        <v>1195</v>
      </c>
      <c r="J422">
        <v>2021</v>
      </c>
      <c r="K422" t="s">
        <v>330</v>
      </c>
      <c r="N422" t="s">
        <v>243</v>
      </c>
      <c r="P422" t="s">
        <v>1660</v>
      </c>
    </row>
    <row r="423" spans="1:16" x14ac:dyDescent="0.15">
      <c r="A423" t="s">
        <v>2892</v>
      </c>
      <c r="B423" t="s">
        <v>1661</v>
      </c>
      <c r="C423" t="s">
        <v>325</v>
      </c>
      <c r="D423" t="s">
        <v>1656</v>
      </c>
      <c r="E423" t="s">
        <v>1657</v>
      </c>
      <c r="F423" t="s">
        <v>1658</v>
      </c>
      <c r="G423" t="s">
        <v>1662</v>
      </c>
      <c r="H423" t="s">
        <v>411</v>
      </c>
      <c r="I423" t="s">
        <v>1195</v>
      </c>
      <c r="J423">
        <v>2021</v>
      </c>
      <c r="K423" t="s">
        <v>330</v>
      </c>
      <c r="N423" t="s">
        <v>243</v>
      </c>
      <c r="P423" t="s">
        <v>1660</v>
      </c>
    </row>
    <row r="424" spans="1:16" x14ac:dyDescent="0.15">
      <c r="A424" t="s">
        <v>2892</v>
      </c>
      <c r="B424" t="s">
        <v>1663</v>
      </c>
      <c r="C424" t="s">
        <v>325</v>
      </c>
      <c r="D424" t="s">
        <v>1656</v>
      </c>
      <c r="E424" t="s">
        <v>1657</v>
      </c>
      <c r="F424" t="s">
        <v>1658</v>
      </c>
      <c r="G424" t="s">
        <v>1664</v>
      </c>
      <c r="H424" t="s">
        <v>411</v>
      </c>
      <c r="I424" t="s">
        <v>1195</v>
      </c>
      <c r="J424">
        <v>2021</v>
      </c>
      <c r="K424" t="s">
        <v>330</v>
      </c>
      <c r="N424" t="s">
        <v>243</v>
      </c>
      <c r="P424" t="s">
        <v>1660</v>
      </c>
    </row>
    <row r="425" spans="1:16" x14ac:dyDescent="0.15">
      <c r="A425" t="s">
        <v>2892</v>
      </c>
      <c r="B425" t="s">
        <v>1665</v>
      </c>
      <c r="C425" t="s">
        <v>325</v>
      </c>
      <c r="D425" t="s">
        <v>1656</v>
      </c>
      <c r="E425" t="s">
        <v>1657</v>
      </c>
      <c r="F425" t="s">
        <v>1658</v>
      </c>
      <c r="G425" t="s">
        <v>1666</v>
      </c>
      <c r="H425" t="s">
        <v>411</v>
      </c>
      <c r="I425" t="s">
        <v>1195</v>
      </c>
      <c r="J425">
        <v>2021</v>
      </c>
      <c r="K425" t="s">
        <v>330</v>
      </c>
      <c r="N425" t="s">
        <v>243</v>
      </c>
      <c r="P425" t="s">
        <v>1660</v>
      </c>
    </row>
    <row r="426" spans="1:16" x14ac:dyDescent="0.15">
      <c r="A426" t="s">
        <v>2892</v>
      </c>
      <c r="B426" t="s">
        <v>1667</v>
      </c>
      <c r="C426" t="s">
        <v>325</v>
      </c>
      <c r="D426" t="s">
        <v>1656</v>
      </c>
      <c r="E426" t="s">
        <v>1657</v>
      </c>
      <c r="F426" t="s">
        <v>1658</v>
      </c>
      <c r="G426" t="s">
        <v>1668</v>
      </c>
      <c r="H426" t="s">
        <v>411</v>
      </c>
      <c r="I426" t="s">
        <v>1195</v>
      </c>
      <c r="J426">
        <v>2021</v>
      </c>
      <c r="K426" t="s">
        <v>330</v>
      </c>
      <c r="N426" t="s">
        <v>597</v>
      </c>
      <c r="P426" t="s">
        <v>1660</v>
      </c>
    </row>
    <row r="427" spans="1:16" x14ac:dyDescent="0.15">
      <c r="A427" t="s">
        <v>2893</v>
      </c>
      <c r="B427" t="s">
        <v>1669</v>
      </c>
      <c r="C427" t="s">
        <v>325</v>
      </c>
      <c r="D427" t="s">
        <v>1670</v>
      </c>
      <c r="E427" t="s">
        <v>1657</v>
      </c>
      <c r="F427" t="s">
        <v>1671</v>
      </c>
      <c r="G427" t="s">
        <v>1659</v>
      </c>
      <c r="H427" t="s">
        <v>411</v>
      </c>
      <c r="I427" t="s">
        <v>1195</v>
      </c>
      <c r="J427">
        <v>2021</v>
      </c>
      <c r="K427" t="s">
        <v>330</v>
      </c>
      <c r="N427" t="s">
        <v>243</v>
      </c>
      <c r="P427" t="s">
        <v>1672</v>
      </c>
    </row>
    <row r="428" spans="1:16" x14ac:dyDescent="0.15">
      <c r="A428" t="s">
        <v>2893</v>
      </c>
      <c r="B428" t="s">
        <v>1673</v>
      </c>
      <c r="C428" t="s">
        <v>325</v>
      </c>
      <c r="D428" t="s">
        <v>1670</v>
      </c>
      <c r="E428" t="s">
        <v>1657</v>
      </c>
      <c r="F428" t="s">
        <v>1671</v>
      </c>
      <c r="G428" t="s">
        <v>1662</v>
      </c>
      <c r="H428" t="s">
        <v>411</v>
      </c>
      <c r="I428" t="s">
        <v>1195</v>
      </c>
      <c r="J428">
        <v>2021</v>
      </c>
      <c r="K428" t="s">
        <v>330</v>
      </c>
      <c r="N428" t="s">
        <v>243</v>
      </c>
      <c r="P428" t="s">
        <v>1672</v>
      </c>
    </row>
    <row r="429" spans="1:16" x14ac:dyDescent="0.15">
      <c r="A429" t="s">
        <v>2894</v>
      </c>
      <c r="B429" t="s">
        <v>1674</v>
      </c>
      <c r="C429" t="s">
        <v>325</v>
      </c>
      <c r="D429" t="s">
        <v>1164</v>
      </c>
      <c r="E429" t="s">
        <v>372</v>
      </c>
      <c r="F429" t="s">
        <v>1265</v>
      </c>
      <c r="H429" t="s">
        <v>554</v>
      </c>
      <c r="I429" t="s">
        <v>1195</v>
      </c>
      <c r="J429">
        <v>2021</v>
      </c>
      <c r="K429" t="s">
        <v>408</v>
      </c>
      <c r="L429">
        <v>44515</v>
      </c>
      <c r="N429" t="s">
        <v>243</v>
      </c>
      <c r="O429" t="s">
        <v>331</v>
      </c>
      <c r="P429" t="s">
        <v>1675</v>
      </c>
    </row>
    <row r="430" spans="1:16" x14ac:dyDescent="0.15">
      <c r="A430" t="s">
        <v>2895</v>
      </c>
      <c r="B430" t="s">
        <v>1676</v>
      </c>
      <c r="C430" t="s">
        <v>325</v>
      </c>
      <c r="D430" t="s">
        <v>483</v>
      </c>
      <c r="F430" t="s">
        <v>891</v>
      </c>
      <c r="G430" t="s">
        <v>1677</v>
      </c>
      <c r="H430" t="s">
        <v>329</v>
      </c>
      <c r="I430" t="s">
        <v>1195</v>
      </c>
      <c r="J430">
        <v>2021</v>
      </c>
      <c r="K430" t="s">
        <v>458</v>
      </c>
      <c r="L430">
        <v>44474</v>
      </c>
      <c r="N430" t="s">
        <v>243</v>
      </c>
      <c r="P430" t="s">
        <v>1678</v>
      </c>
    </row>
    <row r="431" spans="1:16" x14ac:dyDescent="0.15">
      <c r="A431" t="s">
        <v>2896</v>
      </c>
      <c r="B431" t="s">
        <v>1679</v>
      </c>
      <c r="C431" t="s">
        <v>325</v>
      </c>
      <c r="D431" t="s">
        <v>641</v>
      </c>
      <c r="F431" t="s">
        <v>916</v>
      </c>
      <c r="G431" t="s">
        <v>1680</v>
      </c>
      <c r="H431" t="s">
        <v>499</v>
      </c>
      <c r="I431" t="s">
        <v>1195</v>
      </c>
      <c r="J431">
        <v>2021</v>
      </c>
      <c r="K431" t="s">
        <v>458</v>
      </c>
      <c r="L431">
        <v>44502</v>
      </c>
      <c r="N431" t="s">
        <v>243</v>
      </c>
      <c r="P431" t="s">
        <v>1681</v>
      </c>
    </row>
    <row r="432" spans="1:16" x14ac:dyDescent="0.15">
      <c r="A432" t="s">
        <v>2896</v>
      </c>
      <c r="B432" t="s">
        <v>1682</v>
      </c>
      <c r="C432" t="s">
        <v>325</v>
      </c>
      <c r="D432" t="s">
        <v>641</v>
      </c>
      <c r="F432" t="s">
        <v>916</v>
      </c>
      <c r="G432" t="s">
        <v>1683</v>
      </c>
      <c r="H432" t="s">
        <v>499</v>
      </c>
      <c r="I432" t="s">
        <v>1195</v>
      </c>
      <c r="J432">
        <v>2021</v>
      </c>
      <c r="K432" t="s">
        <v>458</v>
      </c>
      <c r="L432">
        <v>44656</v>
      </c>
      <c r="N432" t="s">
        <v>243</v>
      </c>
    </row>
    <row r="433" spans="1:16" x14ac:dyDescent="0.15">
      <c r="A433" t="s">
        <v>2897</v>
      </c>
      <c r="B433" t="s">
        <v>1684</v>
      </c>
      <c r="C433" t="s">
        <v>325</v>
      </c>
      <c r="D433" t="s">
        <v>326</v>
      </c>
      <c r="F433" t="s">
        <v>1685</v>
      </c>
      <c r="H433" t="s">
        <v>578</v>
      </c>
      <c r="I433" t="s">
        <v>1195</v>
      </c>
      <c r="J433">
        <v>2021</v>
      </c>
      <c r="K433" t="s">
        <v>443</v>
      </c>
      <c r="L433">
        <v>44252</v>
      </c>
      <c r="N433" t="s">
        <v>243</v>
      </c>
      <c r="O433" t="s">
        <v>331</v>
      </c>
      <c r="P433" t="s">
        <v>1686</v>
      </c>
    </row>
    <row r="434" spans="1:16" x14ac:dyDescent="0.15">
      <c r="A434" t="s">
        <v>2898</v>
      </c>
      <c r="B434" t="s">
        <v>1687</v>
      </c>
      <c r="C434" t="s">
        <v>325</v>
      </c>
      <c r="D434" t="s">
        <v>1158</v>
      </c>
      <c r="E434" t="s">
        <v>372</v>
      </c>
      <c r="F434" t="s">
        <v>873</v>
      </c>
      <c r="H434" t="s">
        <v>874</v>
      </c>
      <c r="I434" t="s">
        <v>1195</v>
      </c>
      <c r="J434">
        <v>2021</v>
      </c>
      <c r="K434" t="s">
        <v>1688</v>
      </c>
      <c r="N434" t="s">
        <v>243</v>
      </c>
      <c r="O434" t="s">
        <v>331</v>
      </c>
      <c r="P434" t="s">
        <v>1689</v>
      </c>
    </row>
    <row r="435" spans="1:16" x14ac:dyDescent="0.15">
      <c r="A435" t="s">
        <v>2899</v>
      </c>
      <c r="B435" t="s">
        <v>1690</v>
      </c>
      <c r="C435" t="s">
        <v>325</v>
      </c>
      <c r="D435" t="s">
        <v>399</v>
      </c>
      <c r="F435" t="s">
        <v>1691</v>
      </c>
      <c r="H435" t="s">
        <v>388</v>
      </c>
      <c r="I435" t="s">
        <v>1195</v>
      </c>
      <c r="J435">
        <v>2021</v>
      </c>
      <c r="K435" t="s">
        <v>458</v>
      </c>
      <c r="L435">
        <v>44475</v>
      </c>
      <c r="N435" t="s">
        <v>243</v>
      </c>
      <c r="P435" t="s">
        <v>1692</v>
      </c>
    </row>
    <row r="436" spans="1:16" x14ac:dyDescent="0.15">
      <c r="A436" t="s">
        <v>2900</v>
      </c>
      <c r="B436" t="s">
        <v>1693</v>
      </c>
      <c r="C436" t="s">
        <v>325</v>
      </c>
      <c r="D436" t="s">
        <v>687</v>
      </c>
      <c r="F436" t="s">
        <v>688</v>
      </c>
      <c r="H436" t="s">
        <v>388</v>
      </c>
      <c r="I436" t="s">
        <v>1195</v>
      </c>
      <c r="J436">
        <v>2021</v>
      </c>
      <c r="K436" t="s">
        <v>408</v>
      </c>
      <c r="L436">
        <v>44671</v>
      </c>
      <c r="N436" t="s">
        <v>243</v>
      </c>
      <c r="O436" t="s">
        <v>331</v>
      </c>
      <c r="P436" t="s">
        <v>1694</v>
      </c>
    </row>
    <row r="437" spans="1:16" x14ac:dyDescent="0.15">
      <c r="A437" t="s">
        <v>2901</v>
      </c>
      <c r="B437" t="s">
        <v>1695</v>
      </c>
      <c r="C437" t="s">
        <v>325</v>
      </c>
      <c r="D437" t="s">
        <v>345</v>
      </c>
      <c r="F437" t="s">
        <v>1696</v>
      </c>
      <c r="H437" t="s">
        <v>1148</v>
      </c>
      <c r="I437" t="s">
        <v>1195</v>
      </c>
      <c r="J437">
        <v>2021</v>
      </c>
      <c r="K437" t="s">
        <v>330</v>
      </c>
      <c r="L437">
        <v>44510</v>
      </c>
      <c r="N437" t="s">
        <v>243</v>
      </c>
      <c r="P437" t="s">
        <v>1697</v>
      </c>
    </row>
    <row r="438" spans="1:16" x14ac:dyDescent="0.15">
      <c r="A438" t="s">
        <v>2902</v>
      </c>
      <c r="B438" t="s">
        <v>1698</v>
      </c>
      <c r="C438" t="s">
        <v>325</v>
      </c>
      <c r="D438" t="s">
        <v>326</v>
      </c>
      <c r="E438" t="s">
        <v>1699</v>
      </c>
      <c r="F438" t="s">
        <v>1511</v>
      </c>
      <c r="H438" t="s">
        <v>384</v>
      </c>
      <c r="I438" t="s">
        <v>1195</v>
      </c>
      <c r="J438">
        <v>2021</v>
      </c>
      <c r="K438" t="s">
        <v>458</v>
      </c>
      <c r="L438">
        <v>44550</v>
      </c>
      <c r="N438" t="s">
        <v>597</v>
      </c>
      <c r="P438" t="s">
        <v>1700</v>
      </c>
    </row>
    <row r="439" spans="1:16" x14ac:dyDescent="0.15">
      <c r="A439" t="s">
        <v>2903</v>
      </c>
      <c r="B439" t="s">
        <v>1701</v>
      </c>
      <c r="C439" t="s">
        <v>325</v>
      </c>
      <c r="D439" t="s">
        <v>372</v>
      </c>
      <c r="F439" t="s">
        <v>1277</v>
      </c>
      <c r="H439" t="s">
        <v>1278</v>
      </c>
      <c r="I439" t="s">
        <v>1195</v>
      </c>
      <c r="J439">
        <v>2021</v>
      </c>
      <c r="K439" t="s">
        <v>666</v>
      </c>
      <c r="L439">
        <v>44283</v>
      </c>
      <c r="N439" t="s">
        <v>243</v>
      </c>
      <c r="P439" t="s">
        <v>1702</v>
      </c>
    </row>
    <row r="440" spans="1:16" x14ac:dyDescent="0.15">
      <c r="A440" t="s">
        <v>2903</v>
      </c>
      <c r="B440" t="s">
        <v>1703</v>
      </c>
      <c r="C440" t="s">
        <v>325</v>
      </c>
      <c r="D440" t="s">
        <v>372</v>
      </c>
      <c r="F440" t="s">
        <v>1277</v>
      </c>
      <c r="G440" t="s">
        <v>1290</v>
      </c>
      <c r="H440" t="s">
        <v>1278</v>
      </c>
      <c r="I440" t="s">
        <v>1195</v>
      </c>
      <c r="J440">
        <v>2021</v>
      </c>
      <c r="K440" t="s">
        <v>458</v>
      </c>
      <c r="L440">
        <v>44683</v>
      </c>
      <c r="N440" t="s">
        <v>243</v>
      </c>
      <c r="P440" t="s">
        <v>1702</v>
      </c>
    </row>
    <row r="441" spans="1:16" x14ac:dyDescent="0.15">
      <c r="A441" t="s">
        <v>2903</v>
      </c>
      <c r="B441" t="s">
        <v>1704</v>
      </c>
      <c r="C441" t="s">
        <v>325</v>
      </c>
      <c r="D441" t="s">
        <v>372</v>
      </c>
      <c r="F441" t="s">
        <v>1277</v>
      </c>
      <c r="G441" t="s">
        <v>1290</v>
      </c>
      <c r="H441" t="s">
        <v>1278</v>
      </c>
      <c r="I441" t="s">
        <v>1195</v>
      </c>
      <c r="J441">
        <v>2021</v>
      </c>
      <c r="K441" t="s">
        <v>458</v>
      </c>
      <c r="L441">
        <v>44683</v>
      </c>
      <c r="N441" t="s">
        <v>243</v>
      </c>
      <c r="P441" t="s">
        <v>1702</v>
      </c>
    </row>
    <row r="442" spans="1:16" x14ac:dyDescent="0.15">
      <c r="A442" t="s">
        <v>2904</v>
      </c>
      <c r="B442" t="s">
        <v>1705</v>
      </c>
      <c r="C442" t="s">
        <v>325</v>
      </c>
      <c r="D442" t="s">
        <v>731</v>
      </c>
      <c r="E442" t="s">
        <v>372</v>
      </c>
      <c r="F442" t="s">
        <v>1706</v>
      </c>
      <c r="H442" t="s">
        <v>620</v>
      </c>
      <c r="I442" t="s">
        <v>1195</v>
      </c>
      <c r="J442">
        <v>2021</v>
      </c>
      <c r="K442" t="s">
        <v>443</v>
      </c>
      <c r="L442">
        <v>44593</v>
      </c>
      <c r="N442" t="s">
        <v>243</v>
      </c>
      <c r="O442" t="s">
        <v>331</v>
      </c>
      <c r="P442" t="s">
        <v>1707</v>
      </c>
    </row>
    <row r="443" spans="1:16" x14ac:dyDescent="0.15">
      <c r="A443" t="s">
        <v>2905</v>
      </c>
      <c r="B443" t="s">
        <v>1708</v>
      </c>
      <c r="C443" t="s">
        <v>325</v>
      </c>
      <c r="D443" t="s">
        <v>372</v>
      </c>
      <c r="F443" t="s">
        <v>688</v>
      </c>
      <c r="G443" t="s">
        <v>1709</v>
      </c>
      <c r="H443" t="s">
        <v>388</v>
      </c>
      <c r="I443" t="s">
        <v>1195</v>
      </c>
      <c r="J443">
        <v>2021</v>
      </c>
      <c r="K443" t="s">
        <v>330</v>
      </c>
      <c r="L443">
        <v>44683</v>
      </c>
      <c r="N443" t="s">
        <v>243</v>
      </c>
      <c r="P443" t="s">
        <v>1710</v>
      </c>
    </row>
    <row r="444" spans="1:16" x14ac:dyDescent="0.15">
      <c r="A444" t="s">
        <v>2906</v>
      </c>
      <c r="B444" t="s">
        <v>1711</v>
      </c>
      <c r="C444" t="s">
        <v>325</v>
      </c>
      <c r="D444" t="s">
        <v>1712</v>
      </c>
      <c r="F444" t="s">
        <v>1052</v>
      </c>
      <c r="H444" t="s">
        <v>341</v>
      </c>
      <c r="I444" t="s">
        <v>1195</v>
      </c>
      <c r="J444">
        <v>2021</v>
      </c>
      <c r="K444" t="s">
        <v>666</v>
      </c>
      <c r="L444">
        <v>44662</v>
      </c>
      <c r="N444" t="s">
        <v>243</v>
      </c>
      <c r="P444" t="s">
        <v>1713</v>
      </c>
    </row>
    <row r="445" spans="1:16" x14ac:dyDescent="0.15">
      <c r="A445" t="s">
        <v>2907</v>
      </c>
      <c r="B445" t="s">
        <v>1714</v>
      </c>
      <c r="C445" t="s">
        <v>325</v>
      </c>
      <c r="D445" t="s">
        <v>818</v>
      </c>
      <c r="F445" t="s">
        <v>819</v>
      </c>
      <c r="H445" t="s">
        <v>341</v>
      </c>
      <c r="I445" t="s">
        <v>1195</v>
      </c>
      <c r="J445">
        <v>2021</v>
      </c>
      <c r="K445" t="s">
        <v>2</v>
      </c>
      <c r="L445">
        <v>44544</v>
      </c>
      <c r="N445" t="s">
        <v>336</v>
      </c>
      <c r="P445" t="s">
        <v>1715</v>
      </c>
    </row>
    <row r="446" spans="1:16" x14ac:dyDescent="0.15">
      <c r="A446" t="s">
        <v>2908</v>
      </c>
      <c r="B446" t="s">
        <v>1716</v>
      </c>
      <c r="C446" t="s">
        <v>325</v>
      </c>
      <c r="D446" t="s">
        <v>415</v>
      </c>
      <c r="E446" t="s">
        <v>1490</v>
      </c>
      <c r="F446" t="s">
        <v>1491</v>
      </c>
      <c r="H446" t="s">
        <v>374</v>
      </c>
      <c r="I446" t="s">
        <v>1195</v>
      </c>
      <c r="J446">
        <v>2021</v>
      </c>
      <c r="K446" t="s">
        <v>458</v>
      </c>
      <c r="L446">
        <v>44544</v>
      </c>
      <c r="N446" t="s">
        <v>243</v>
      </c>
      <c r="P446" t="s">
        <v>1717</v>
      </c>
    </row>
    <row r="447" spans="1:16" x14ac:dyDescent="0.15">
      <c r="A447" t="s">
        <v>2909</v>
      </c>
      <c r="B447" t="s">
        <v>1718</v>
      </c>
      <c r="C447" t="s">
        <v>325</v>
      </c>
      <c r="D447" t="s">
        <v>953</v>
      </c>
      <c r="F447" t="s">
        <v>1719</v>
      </c>
      <c r="H447" t="s">
        <v>1720</v>
      </c>
      <c r="I447" t="s">
        <v>1195</v>
      </c>
      <c r="J447">
        <v>2022</v>
      </c>
      <c r="K447" t="s">
        <v>443</v>
      </c>
      <c r="L447">
        <v>44929</v>
      </c>
      <c r="N447" t="s">
        <v>243</v>
      </c>
      <c r="O447" t="s">
        <v>331</v>
      </c>
      <c r="P447" t="s">
        <v>1721</v>
      </c>
    </row>
    <row r="448" spans="1:16" x14ac:dyDescent="0.15">
      <c r="A448" t="s">
        <v>2909</v>
      </c>
      <c r="B448" t="s">
        <v>1722</v>
      </c>
      <c r="C448" t="s">
        <v>325</v>
      </c>
      <c r="D448" t="s">
        <v>953</v>
      </c>
      <c r="F448" t="s">
        <v>1719</v>
      </c>
      <c r="G448" t="s">
        <v>1723</v>
      </c>
      <c r="H448" t="s">
        <v>1720</v>
      </c>
      <c r="I448" t="s">
        <v>1195</v>
      </c>
      <c r="J448">
        <v>2022</v>
      </c>
      <c r="K448" t="s">
        <v>443</v>
      </c>
      <c r="L448">
        <v>44812</v>
      </c>
      <c r="N448" t="s">
        <v>243</v>
      </c>
      <c r="O448" t="s">
        <v>331</v>
      </c>
      <c r="P448" t="s">
        <v>1721</v>
      </c>
    </row>
    <row r="449" spans="1:16" x14ac:dyDescent="0.15">
      <c r="A449" t="s">
        <v>2910</v>
      </c>
      <c r="B449" t="s">
        <v>1724</v>
      </c>
      <c r="C449" t="s">
        <v>325</v>
      </c>
      <c r="D449" t="s">
        <v>641</v>
      </c>
      <c r="F449" t="s">
        <v>1725</v>
      </c>
      <c r="G449" t="s">
        <v>1726</v>
      </c>
      <c r="H449" t="s">
        <v>554</v>
      </c>
      <c r="I449" t="s">
        <v>1195</v>
      </c>
      <c r="J449">
        <v>2021</v>
      </c>
      <c r="K449" t="s">
        <v>408</v>
      </c>
      <c r="L449">
        <v>44671</v>
      </c>
      <c r="N449" t="s">
        <v>243</v>
      </c>
      <c r="O449" t="s">
        <v>331</v>
      </c>
      <c r="P449" t="s">
        <v>1727</v>
      </c>
    </row>
    <row r="450" spans="1:16" x14ac:dyDescent="0.15">
      <c r="A450" t="s">
        <v>2911</v>
      </c>
      <c r="B450" t="s">
        <v>1728</v>
      </c>
      <c r="C450" t="s">
        <v>325</v>
      </c>
      <c r="D450" t="s">
        <v>372</v>
      </c>
      <c r="F450" t="s">
        <v>509</v>
      </c>
      <c r="G450" t="s">
        <v>1729</v>
      </c>
      <c r="H450" t="s">
        <v>374</v>
      </c>
      <c r="I450" t="s">
        <v>1195</v>
      </c>
      <c r="J450">
        <v>2021</v>
      </c>
      <c r="K450" t="s">
        <v>408</v>
      </c>
      <c r="L450">
        <v>44286</v>
      </c>
      <c r="N450" t="s">
        <v>243</v>
      </c>
      <c r="O450" t="s">
        <v>331</v>
      </c>
      <c r="P450" t="s">
        <v>1730</v>
      </c>
    </row>
    <row r="451" spans="1:16" x14ac:dyDescent="0.15">
      <c r="A451" t="s">
        <v>2911</v>
      </c>
      <c r="B451" t="s">
        <v>1731</v>
      </c>
      <c r="C451" t="s">
        <v>325</v>
      </c>
      <c r="D451" t="s">
        <v>372</v>
      </c>
      <c r="F451" t="s">
        <v>509</v>
      </c>
      <c r="G451" t="s">
        <v>1732</v>
      </c>
      <c r="H451" t="s">
        <v>374</v>
      </c>
      <c r="I451" t="s">
        <v>1195</v>
      </c>
      <c r="J451">
        <v>2021</v>
      </c>
      <c r="K451" t="s">
        <v>408</v>
      </c>
      <c r="L451">
        <v>44286</v>
      </c>
      <c r="N451" t="s">
        <v>243</v>
      </c>
      <c r="O451" t="s">
        <v>331</v>
      </c>
      <c r="P451" t="s">
        <v>1730</v>
      </c>
    </row>
    <row r="452" spans="1:16" x14ac:dyDescent="0.15">
      <c r="A452" t="s">
        <v>2912</v>
      </c>
      <c r="B452" t="s">
        <v>1733</v>
      </c>
      <c r="C452" t="s">
        <v>325</v>
      </c>
      <c r="D452" t="s">
        <v>377</v>
      </c>
      <c r="E452" t="s">
        <v>372</v>
      </c>
      <c r="F452" t="s">
        <v>773</v>
      </c>
      <c r="G452" t="s">
        <v>1734</v>
      </c>
      <c r="H452" t="s">
        <v>773</v>
      </c>
      <c r="I452" t="s">
        <v>1195</v>
      </c>
      <c r="J452">
        <v>2021</v>
      </c>
      <c r="K452" t="s">
        <v>458</v>
      </c>
      <c r="L452">
        <v>44596</v>
      </c>
      <c r="N452" t="s">
        <v>243</v>
      </c>
      <c r="P452" t="s">
        <v>1735</v>
      </c>
    </row>
    <row r="453" spans="1:16" x14ac:dyDescent="0.15">
      <c r="A453" t="s">
        <v>2913</v>
      </c>
      <c r="B453" t="s">
        <v>1736</v>
      </c>
      <c r="C453" t="s">
        <v>325</v>
      </c>
      <c r="D453" t="s">
        <v>483</v>
      </c>
      <c r="F453" t="s">
        <v>693</v>
      </c>
      <c r="H453" t="s">
        <v>388</v>
      </c>
      <c r="I453" t="s">
        <v>1195</v>
      </c>
      <c r="J453">
        <v>2021</v>
      </c>
      <c r="K453" t="s">
        <v>458</v>
      </c>
      <c r="N453" t="s">
        <v>243</v>
      </c>
      <c r="P453" t="s">
        <v>1737</v>
      </c>
    </row>
    <row r="454" spans="1:16" x14ac:dyDescent="0.15">
      <c r="A454" t="s">
        <v>2914</v>
      </c>
      <c r="B454" t="s">
        <v>1738</v>
      </c>
      <c r="C454" t="s">
        <v>325</v>
      </c>
      <c r="D454" t="s">
        <v>1640</v>
      </c>
      <c r="F454" t="s">
        <v>1641</v>
      </c>
      <c r="G454" t="s">
        <v>1739</v>
      </c>
      <c r="H454" t="s">
        <v>374</v>
      </c>
      <c r="I454" t="s">
        <v>1195</v>
      </c>
      <c r="J454">
        <v>2021</v>
      </c>
      <c r="K454" t="s">
        <v>408</v>
      </c>
      <c r="L454">
        <v>44255</v>
      </c>
      <c r="N454" t="s">
        <v>243</v>
      </c>
      <c r="O454" t="s">
        <v>331</v>
      </c>
      <c r="P454" t="s">
        <v>1740</v>
      </c>
    </row>
    <row r="455" spans="1:16" x14ac:dyDescent="0.15">
      <c r="A455" t="s">
        <v>2915</v>
      </c>
      <c r="B455" t="s">
        <v>1741</v>
      </c>
      <c r="C455" t="s">
        <v>325</v>
      </c>
      <c r="D455" t="s">
        <v>415</v>
      </c>
      <c r="E455" t="s">
        <v>429</v>
      </c>
      <c r="F455" t="s">
        <v>430</v>
      </c>
      <c r="H455" t="s">
        <v>431</v>
      </c>
      <c r="I455" t="s">
        <v>1195</v>
      </c>
      <c r="J455">
        <v>2021</v>
      </c>
      <c r="K455" t="s">
        <v>458</v>
      </c>
      <c r="L455">
        <v>44252</v>
      </c>
      <c r="N455" t="s">
        <v>243</v>
      </c>
      <c r="P455" t="s">
        <v>1742</v>
      </c>
    </row>
    <row r="456" spans="1:16" x14ac:dyDescent="0.15">
      <c r="A456" t="s">
        <v>2916</v>
      </c>
      <c r="B456" t="s">
        <v>1743</v>
      </c>
      <c r="C456" t="s">
        <v>325</v>
      </c>
      <c r="D456" t="s">
        <v>1164</v>
      </c>
      <c r="E456" t="s">
        <v>372</v>
      </c>
      <c r="F456" t="s">
        <v>1744</v>
      </c>
      <c r="G456" t="s">
        <v>1745</v>
      </c>
      <c r="H456" t="s">
        <v>554</v>
      </c>
      <c r="I456" t="s">
        <v>1195</v>
      </c>
      <c r="J456">
        <v>2021</v>
      </c>
      <c r="K456" t="s">
        <v>666</v>
      </c>
      <c r="L456">
        <v>44666</v>
      </c>
      <c r="N456" t="s">
        <v>243</v>
      </c>
      <c r="P456" t="s">
        <v>1746</v>
      </c>
    </row>
    <row r="457" spans="1:16" x14ac:dyDescent="0.15">
      <c r="A457" t="s">
        <v>2916</v>
      </c>
      <c r="B457" t="s">
        <v>1747</v>
      </c>
      <c r="C457" t="s">
        <v>325</v>
      </c>
      <c r="D457" t="s">
        <v>1164</v>
      </c>
      <c r="E457" t="s">
        <v>372</v>
      </c>
      <c r="F457" t="s">
        <v>1744</v>
      </c>
      <c r="G457" t="s">
        <v>1748</v>
      </c>
      <c r="H457" t="s">
        <v>554</v>
      </c>
      <c r="I457" t="s">
        <v>1195</v>
      </c>
      <c r="J457">
        <v>2021</v>
      </c>
      <c r="K457" t="s">
        <v>666</v>
      </c>
      <c r="L457">
        <v>44683</v>
      </c>
      <c r="N457" t="s">
        <v>243</v>
      </c>
      <c r="P457" t="s">
        <v>1746</v>
      </c>
    </row>
    <row r="458" spans="1:16" x14ac:dyDescent="0.15">
      <c r="A458" t="s">
        <v>2917</v>
      </c>
      <c r="B458" t="s">
        <v>1749</v>
      </c>
      <c r="C458" t="s">
        <v>325</v>
      </c>
      <c r="D458" t="s">
        <v>326</v>
      </c>
      <c r="E458" t="s">
        <v>1699</v>
      </c>
      <c r="F458" t="s">
        <v>1750</v>
      </c>
      <c r="H458" t="s">
        <v>384</v>
      </c>
      <c r="I458" t="s">
        <v>1195</v>
      </c>
      <c r="J458">
        <v>2021</v>
      </c>
      <c r="K458" t="s">
        <v>408</v>
      </c>
      <c r="L458">
        <v>44679</v>
      </c>
      <c r="N458" t="s">
        <v>243</v>
      </c>
      <c r="O458" t="s">
        <v>331</v>
      </c>
      <c r="P458" t="s">
        <v>1751</v>
      </c>
    </row>
    <row r="459" spans="1:16" x14ac:dyDescent="0.15">
      <c r="A459" t="s">
        <v>2918</v>
      </c>
      <c r="B459" t="s">
        <v>1752</v>
      </c>
      <c r="C459" t="s">
        <v>325</v>
      </c>
      <c r="D459" t="s">
        <v>345</v>
      </c>
      <c r="F459" t="s">
        <v>1699</v>
      </c>
      <c r="H459" t="s">
        <v>384</v>
      </c>
      <c r="I459" t="s">
        <v>1195</v>
      </c>
      <c r="J459">
        <v>2021</v>
      </c>
      <c r="K459" t="s">
        <v>443</v>
      </c>
      <c r="L459">
        <v>44683</v>
      </c>
      <c r="N459" t="s">
        <v>243</v>
      </c>
      <c r="O459" t="s">
        <v>331</v>
      </c>
      <c r="P459" t="s">
        <v>1753</v>
      </c>
    </row>
    <row r="460" spans="1:16" x14ac:dyDescent="0.15">
      <c r="A460" t="s">
        <v>2919</v>
      </c>
      <c r="B460" t="s">
        <v>1754</v>
      </c>
      <c r="C460" t="s">
        <v>325</v>
      </c>
      <c r="D460" t="s">
        <v>326</v>
      </c>
      <c r="E460" t="s">
        <v>483</v>
      </c>
      <c r="F460" t="s">
        <v>1755</v>
      </c>
      <c r="G460" t="s">
        <v>1756</v>
      </c>
      <c r="H460" t="s">
        <v>554</v>
      </c>
      <c r="I460" t="s">
        <v>1195</v>
      </c>
      <c r="J460">
        <v>2021</v>
      </c>
      <c r="K460" t="s">
        <v>408</v>
      </c>
      <c r="L460">
        <v>44519</v>
      </c>
      <c r="N460" t="s">
        <v>336</v>
      </c>
      <c r="P460" t="s">
        <v>1757</v>
      </c>
    </row>
    <row r="461" spans="1:16" x14ac:dyDescent="0.15">
      <c r="A461" t="s">
        <v>2920</v>
      </c>
      <c r="B461" t="s">
        <v>1758</v>
      </c>
      <c r="C461" t="s">
        <v>325</v>
      </c>
      <c r="D461" t="s">
        <v>483</v>
      </c>
      <c r="F461" t="s">
        <v>1759</v>
      </c>
      <c r="H461" t="s">
        <v>329</v>
      </c>
      <c r="I461" t="s">
        <v>1195</v>
      </c>
      <c r="J461">
        <v>2021</v>
      </c>
      <c r="K461" t="s">
        <v>458</v>
      </c>
      <c r="L461">
        <v>44641</v>
      </c>
      <c r="N461" t="s">
        <v>243</v>
      </c>
      <c r="P461" t="s">
        <v>1760</v>
      </c>
    </row>
    <row r="462" spans="1:16" x14ac:dyDescent="0.15">
      <c r="A462" t="s">
        <v>2921</v>
      </c>
      <c r="B462" t="s">
        <v>1761</v>
      </c>
      <c r="C462" t="s">
        <v>325</v>
      </c>
      <c r="D462" t="s">
        <v>570</v>
      </c>
      <c r="H462" t="s">
        <v>341</v>
      </c>
      <c r="I462" t="s">
        <v>1195</v>
      </c>
      <c r="J462">
        <v>2022</v>
      </c>
      <c r="K462" t="s">
        <v>458</v>
      </c>
      <c r="L462">
        <v>44743</v>
      </c>
      <c r="N462" t="s">
        <v>336</v>
      </c>
      <c r="P462" t="s">
        <v>1762</v>
      </c>
    </row>
    <row r="463" spans="1:16" x14ac:dyDescent="0.15">
      <c r="A463" t="s">
        <v>2921</v>
      </c>
      <c r="B463" t="s">
        <v>1763</v>
      </c>
      <c r="C463" t="s">
        <v>325</v>
      </c>
      <c r="D463" t="s">
        <v>570</v>
      </c>
      <c r="I463" t="s">
        <v>1195</v>
      </c>
      <c r="J463">
        <v>2022</v>
      </c>
      <c r="K463" t="s">
        <v>458</v>
      </c>
      <c r="L463">
        <v>44781</v>
      </c>
      <c r="N463" t="s">
        <v>336</v>
      </c>
      <c r="P463" t="s">
        <v>1762</v>
      </c>
    </row>
    <row r="464" spans="1:16" x14ac:dyDescent="0.15">
      <c r="A464" t="s">
        <v>2922</v>
      </c>
      <c r="B464" t="s">
        <v>1764</v>
      </c>
      <c r="C464" t="s">
        <v>325</v>
      </c>
      <c r="D464" t="s">
        <v>415</v>
      </c>
      <c r="E464" t="s">
        <v>1765</v>
      </c>
      <c r="F464" t="s">
        <v>1658</v>
      </c>
      <c r="H464" t="s">
        <v>411</v>
      </c>
      <c r="I464" t="s">
        <v>1195</v>
      </c>
      <c r="J464">
        <v>2021</v>
      </c>
      <c r="K464" t="s">
        <v>458</v>
      </c>
      <c r="L464">
        <v>44712</v>
      </c>
      <c r="N464" t="s">
        <v>243</v>
      </c>
      <c r="P464" t="s">
        <v>1766</v>
      </c>
    </row>
    <row r="465" spans="1:16" x14ac:dyDescent="0.15">
      <c r="A465" t="s">
        <v>2923</v>
      </c>
      <c r="B465" t="s">
        <v>1767</v>
      </c>
      <c r="C465" t="s">
        <v>325</v>
      </c>
      <c r="D465" t="s">
        <v>483</v>
      </c>
      <c r="F465" t="s">
        <v>693</v>
      </c>
      <c r="H465" t="s">
        <v>388</v>
      </c>
      <c r="I465" t="s">
        <v>1195</v>
      </c>
      <c r="J465">
        <v>2021</v>
      </c>
      <c r="K465" t="s">
        <v>458</v>
      </c>
      <c r="L465">
        <v>44585</v>
      </c>
      <c r="N465" t="s">
        <v>243</v>
      </c>
      <c r="P465" t="s">
        <v>1768</v>
      </c>
    </row>
    <row r="466" spans="1:16" x14ac:dyDescent="0.15">
      <c r="A466" t="s">
        <v>2924</v>
      </c>
      <c r="B466" t="s">
        <v>1769</v>
      </c>
      <c r="C466" t="s">
        <v>325</v>
      </c>
      <c r="D466" t="s">
        <v>471</v>
      </c>
      <c r="F466" t="s">
        <v>1257</v>
      </c>
      <c r="G466" t="s">
        <v>1770</v>
      </c>
      <c r="H466" t="s">
        <v>341</v>
      </c>
      <c r="I466" t="s">
        <v>1195</v>
      </c>
      <c r="J466">
        <v>2021</v>
      </c>
      <c r="K466" t="s">
        <v>330</v>
      </c>
      <c r="L466">
        <v>44712</v>
      </c>
      <c r="N466" t="s">
        <v>243</v>
      </c>
      <c r="P466" t="s">
        <v>1771</v>
      </c>
    </row>
    <row r="467" spans="1:16" x14ac:dyDescent="0.15">
      <c r="A467" t="s">
        <v>2925</v>
      </c>
      <c r="B467" t="s">
        <v>1772</v>
      </c>
      <c r="C467" t="s">
        <v>325</v>
      </c>
      <c r="D467" t="s">
        <v>350</v>
      </c>
      <c r="F467" t="s">
        <v>354</v>
      </c>
      <c r="G467" t="s">
        <v>1773</v>
      </c>
      <c r="H467" t="s">
        <v>351</v>
      </c>
      <c r="I467" t="s">
        <v>1195</v>
      </c>
      <c r="J467">
        <v>2021</v>
      </c>
      <c r="K467" t="s">
        <v>458</v>
      </c>
      <c r="N467" t="s">
        <v>243</v>
      </c>
      <c r="P467" t="s">
        <v>1774</v>
      </c>
    </row>
    <row r="468" spans="1:16" x14ac:dyDescent="0.15">
      <c r="A468" t="s">
        <v>2926</v>
      </c>
      <c r="B468" t="s">
        <v>1775</v>
      </c>
      <c r="C468" t="s">
        <v>325</v>
      </c>
      <c r="D468" t="s">
        <v>415</v>
      </c>
      <c r="F468" t="s">
        <v>548</v>
      </c>
      <c r="H468" t="s">
        <v>485</v>
      </c>
      <c r="I468" t="s">
        <v>1195</v>
      </c>
      <c r="J468">
        <v>2021</v>
      </c>
      <c r="K468" t="s">
        <v>666</v>
      </c>
      <c r="L468">
        <v>44651</v>
      </c>
      <c r="N468" t="s">
        <v>243</v>
      </c>
      <c r="P468" t="s">
        <v>1776</v>
      </c>
    </row>
    <row r="469" spans="1:16" x14ac:dyDescent="0.15">
      <c r="A469" t="s">
        <v>2927</v>
      </c>
      <c r="B469" t="s">
        <v>1777</v>
      </c>
      <c r="C469" t="s">
        <v>325</v>
      </c>
      <c r="D469" t="s">
        <v>1778</v>
      </c>
      <c r="F469" t="s">
        <v>1779</v>
      </c>
      <c r="G469" t="s">
        <v>1780</v>
      </c>
      <c r="H469" t="s">
        <v>384</v>
      </c>
      <c r="I469" t="s">
        <v>1195</v>
      </c>
      <c r="J469">
        <v>2021</v>
      </c>
      <c r="K469" t="s">
        <v>408</v>
      </c>
      <c r="L469">
        <v>44767</v>
      </c>
      <c r="N469" t="s">
        <v>243</v>
      </c>
      <c r="O469" t="s">
        <v>331</v>
      </c>
      <c r="P469" t="s">
        <v>1781</v>
      </c>
    </row>
    <row r="470" spans="1:16" x14ac:dyDescent="0.15">
      <c r="A470" t="s">
        <v>2927</v>
      </c>
      <c r="B470" t="s">
        <v>597</v>
      </c>
      <c r="C470" t="s">
        <v>325</v>
      </c>
      <c r="D470" t="s">
        <v>1778</v>
      </c>
      <c r="F470" t="s">
        <v>1779</v>
      </c>
      <c r="G470" t="s">
        <v>1782</v>
      </c>
      <c r="H470" t="s">
        <v>384</v>
      </c>
      <c r="I470" t="s">
        <v>1195</v>
      </c>
      <c r="J470">
        <v>2021</v>
      </c>
      <c r="K470" t="s">
        <v>408</v>
      </c>
      <c r="L470">
        <v>44767</v>
      </c>
      <c r="N470" t="s">
        <v>243</v>
      </c>
      <c r="O470" t="s">
        <v>331</v>
      </c>
      <c r="P470" t="s">
        <v>1781</v>
      </c>
    </row>
    <row r="471" spans="1:16" x14ac:dyDescent="0.15">
      <c r="A471" t="s">
        <v>2928</v>
      </c>
      <c r="B471" t="s">
        <v>1783</v>
      </c>
      <c r="C471" t="s">
        <v>325</v>
      </c>
      <c r="D471" t="s">
        <v>415</v>
      </c>
      <c r="F471" t="s">
        <v>1784</v>
      </c>
      <c r="H471" t="s">
        <v>462</v>
      </c>
      <c r="I471" t="s">
        <v>1195</v>
      </c>
      <c r="J471">
        <v>2021</v>
      </c>
      <c r="K471" t="s">
        <v>443</v>
      </c>
      <c r="L471">
        <v>44725</v>
      </c>
      <c r="N471" t="s">
        <v>243</v>
      </c>
      <c r="O471" t="s">
        <v>331</v>
      </c>
      <c r="P471" t="s">
        <v>1785</v>
      </c>
    </row>
    <row r="472" spans="1:16" x14ac:dyDescent="0.15">
      <c r="A472" t="s">
        <v>2928</v>
      </c>
      <c r="B472" t="s">
        <v>1786</v>
      </c>
      <c r="C472" t="s">
        <v>325</v>
      </c>
      <c r="D472" t="s">
        <v>415</v>
      </c>
      <c r="F472" t="s">
        <v>1784</v>
      </c>
      <c r="H472" t="s">
        <v>462</v>
      </c>
      <c r="I472" t="s">
        <v>1195</v>
      </c>
      <c r="J472">
        <v>2021</v>
      </c>
      <c r="K472" t="s">
        <v>443</v>
      </c>
      <c r="L472">
        <v>44907</v>
      </c>
      <c r="N472" t="s">
        <v>243</v>
      </c>
      <c r="O472" t="s">
        <v>331</v>
      </c>
      <c r="P472" t="s">
        <v>1785</v>
      </c>
    </row>
    <row r="473" spans="1:16" x14ac:dyDescent="0.15">
      <c r="A473" t="s">
        <v>2929</v>
      </c>
      <c r="B473" t="s">
        <v>1787</v>
      </c>
      <c r="C473" t="s">
        <v>325</v>
      </c>
      <c r="D473" t="s">
        <v>345</v>
      </c>
      <c r="E473" t="s">
        <v>1788</v>
      </c>
      <c r="F473" t="s">
        <v>1789</v>
      </c>
      <c r="H473" t="s">
        <v>341</v>
      </c>
      <c r="I473" t="s">
        <v>1195</v>
      </c>
      <c r="J473">
        <v>2021</v>
      </c>
      <c r="K473" t="s">
        <v>443</v>
      </c>
      <c r="L473">
        <v>44715</v>
      </c>
      <c r="N473" t="s">
        <v>243</v>
      </c>
      <c r="O473" t="s">
        <v>331</v>
      </c>
      <c r="P473" t="s">
        <v>1790</v>
      </c>
    </row>
    <row r="474" spans="1:16" x14ac:dyDescent="0.15">
      <c r="A474" t="s">
        <v>2930</v>
      </c>
      <c r="B474" t="s">
        <v>1791</v>
      </c>
      <c r="C474" t="s">
        <v>325</v>
      </c>
      <c r="D474" t="s">
        <v>1792</v>
      </c>
      <c r="F474" t="s">
        <v>857</v>
      </c>
      <c r="G474" t="s">
        <v>1793</v>
      </c>
      <c r="H474" t="s">
        <v>374</v>
      </c>
      <c r="I474" t="s">
        <v>1195</v>
      </c>
      <c r="J474">
        <v>2022</v>
      </c>
      <c r="K474" t="s">
        <v>666</v>
      </c>
      <c r="L474" t="s">
        <v>2</v>
      </c>
      <c r="N474" t="s">
        <v>943</v>
      </c>
      <c r="P474" t="s">
        <v>1794</v>
      </c>
    </row>
    <row r="475" spans="1:16" x14ac:dyDescent="0.15">
      <c r="A475" t="s">
        <v>2930</v>
      </c>
      <c r="B475" t="s">
        <v>1795</v>
      </c>
      <c r="C475" t="s">
        <v>325</v>
      </c>
      <c r="D475" t="s">
        <v>857</v>
      </c>
      <c r="F475" t="s">
        <v>857</v>
      </c>
      <c r="H475" t="s">
        <v>374</v>
      </c>
      <c r="I475" t="s">
        <v>1195</v>
      </c>
      <c r="J475">
        <v>2022</v>
      </c>
      <c r="K475" t="s">
        <v>666</v>
      </c>
      <c r="L475">
        <v>44781</v>
      </c>
      <c r="N475" t="s">
        <v>243</v>
      </c>
      <c r="P475" t="s">
        <v>1794</v>
      </c>
    </row>
    <row r="476" spans="1:16" x14ac:dyDescent="0.15">
      <c r="A476" t="s">
        <v>2931</v>
      </c>
      <c r="B476" t="s">
        <v>1796</v>
      </c>
      <c r="C476" t="s">
        <v>325</v>
      </c>
      <c r="D476" t="s">
        <v>1797</v>
      </c>
      <c r="F476" t="s">
        <v>1798</v>
      </c>
      <c r="H476" t="s">
        <v>578</v>
      </c>
      <c r="I476" t="s">
        <v>1195</v>
      </c>
      <c r="J476">
        <v>2022</v>
      </c>
      <c r="K476" t="s">
        <v>666</v>
      </c>
      <c r="L476">
        <v>44753</v>
      </c>
      <c r="N476" t="s">
        <v>243</v>
      </c>
      <c r="P476" t="s">
        <v>1799</v>
      </c>
    </row>
    <row r="477" spans="1:16" x14ac:dyDescent="0.15">
      <c r="A477" t="s">
        <v>2932</v>
      </c>
      <c r="B477" t="s">
        <v>1800</v>
      </c>
      <c r="C477" t="s">
        <v>325</v>
      </c>
      <c r="D477" t="s">
        <v>372</v>
      </c>
      <c r="F477" t="s">
        <v>1801</v>
      </c>
      <c r="H477" t="s">
        <v>494</v>
      </c>
      <c r="I477" t="s">
        <v>1195</v>
      </c>
      <c r="J477">
        <v>2021</v>
      </c>
      <c r="K477" t="s">
        <v>408</v>
      </c>
      <c r="L477">
        <v>44742</v>
      </c>
      <c r="N477" t="s">
        <v>243</v>
      </c>
      <c r="O477" t="s">
        <v>331</v>
      </c>
      <c r="P477" t="s">
        <v>1802</v>
      </c>
    </row>
    <row r="478" spans="1:16" x14ac:dyDescent="0.15">
      <c r="A478" t="s">
        <v>2933</v>
      </c>
      <c r="B478" t="s">
        <v>1803</v>
      </c>
      <c r="C478" t="s">
        <v>325</v>
      </c>
      <c r="D478" t="s">
        <v>345</v>
      </c>
      <c r="F478" t="s">
        <v>1804</v>
      </c>
      <c r="G478" t="s">
        <v>1805</v>
      </c>
      <c r="H478" t="s">
        <v>554</v>
      </c>
      <c r="I478" t="s">
        <v>1195</v>
      </c>
      <c r="J478">
        <v>2021</v>
      </c>
      <c r="K478" t="s">
        <v>408</v>
      </c>
      <c r="L478">
        <v>44589</v>
      </c>
      <c r="N478" t="s">
        <v>336</v>
      </c>
      <c r="P478" t="s">
        <v>1806</v>
      </c>
    </row>
    <row r="479" spans="1:16" x14ac:dyDescent="0.15">
      <c r="A479" t="s">
        <v>2934</v>
      </c>
      <c r="B479" t="s">
        <v>1807</v>
      </c>
      <c r="C479" t="s">
        <v>325</v>
      </c>
      <c r="D479" t="s">
        <v>415</v>
      </c>
      <c r="F479" t="s">
        <v>1808</v>
      </c>
      <c r="H479" t="s">
        <v>374</v>
      </c>
      <c r="I479" t="s">
        <v>1195</v>
      </c>
      <c r="J479">
        <v>2021</v>
      </c>
      <c r="K479" t="s">
        <v>408</v>
      </c>
      <c r="L479">
        <v>44630</v>
      </c>
      <c r="N479" t="s">
        <v>243</v>
      </c>
      <c r="O479" t="s">
        <v>331</v>
      </c>
      <c r="P479" t="s">
        <v>1809</v>
      </c>
    </row>
    <row r="480" spans="1:16" x14ac:dyDescent="0.15">
      <c r="A480" t="s">
        <v>2934</v>
      </c>
      <c r="B480" t="s">
        <v>1810</v>
      </c>
      <c r="C480" t="s">
        <v>325</v>
      </c>
      <c r="D480" t="s">
        <v>415</v>
      </c>
      <c r="F480" t="s">
        <v>1808</v>
      </c>
      <c r="H480" t="s">
        <v>374</v>
      </c>
      <c r="I480" t="s">
        <v>1195</v>
      </c>
      <c r="J480">
        <v>2021</v>
      </c>
      <c r="K480" t="s">
        <v>408</v>
      </c>
      <c r="L480">
        <v>44883</v>
      </c>
      <c r="N480" t="s">
        <v>943</v>
      </c>
      <c r="O480" t="s">
        <v>1811</v>
      </c>
      <c r="P480" t="s">
        <v>1809</v>
      </c>
    </row>
    <row r="481" spans="1:16" x14ac:dyDescent="0.15">
      <c r="A481" t="s">
        <v>2935</v>
      </c>
      <c r="B481" t="s">
        <v>1812</v>
      </c>
      <c r="C481" t="s">
        <v>325</v>
      </c>
      <c r="D481" t="s">
        <v>1813</v>
      </c>
      <c r="H481" t="s">
        <v>341</v>
      </c>
      <c r="I481" t="s">
        <v>1195</v>
      </c>
      <c r="J481">
        <v>2021</v>
      </c>
      <c r="K481" t="s">
        <v>330</v>
      </c>
      <c r="L481">
        <v>44645</v>
      </c>
      <c r="N481" t="s">
        <v>243</v>
      </c>
      <c r="P481" t="s">
        <v>1814</v>
      </c>
    </row>
    <row r="482" spans="1:16" x14ac:dyDescent="0.15">
      <c r="A482" t="s">
        <v>2936</v>
      </c>
      <c r="B482" t="s">
        <v>1815</v>
      </c>
      <c r="C482" t="s">
        <v>325</v>
      </c>
      <c r="D482" t="s">
        <v>1816</v>
      </c>
      <c r="E482" t="s">
        <v>1817</v>
      </c>
      <c r="F482" t="s">
        <v>1818</v>
      </c>
      <c r="G482" t="s">
        <v>1819</v>
      </c>
      <c r="H482" t="s">
        <v>374</v>
      </c>
      <c r="I482" t="s">
        <v>1195</v>
      </c>
      <c r="J482">
        <v>2021</v>
      </c>
      <c r="K482" t="s">
        <v>330</v>
      </c>
      <c r="L482">
        <v>44722</v>
      </c>
      <c r="N482" t="s">
        <v>243</v>
      </c>
      <c r="P482" t="s">
        <v>1820</v>
      </c>
    </row>
    <row r="483" spans="1:16" x14ac:dyDescent="0.15">
      <c r="A483" t="s">
        <v>2936</v>
      </c>
      <c r="B483" t="s">
        <v>1821</v>
      </c>
      <c r="C483" t="s">
        <v>325</v>
      </c>
      <c r="D483" t="s">
        <v>1816</v>
      </c>
      <c r="E483" t="s">
        <v>1817</v>
      </c>
      <c r="F483" t="s">
        <v>1818</v>
      </c>
      <c r="G483" t="s">
        <v>1819</v>
      </c>
      <c r="H483" t="s">
        <v>374</v>
      </c>
      <c r="I483" t="s">
        <v>1195</v>
      </c>
      <c r="J483">
        <v>2021</v>
      </c>
      <c r="K483" t="s">
        <v>330</v>
      </c>
      <c r="L483">
        <v>44757</v>
      </c>
      <c r="N483" t="s">
        <v>243</v>
      </c>
      <c r="P483" t="s">
        <v>1820</v>
      </c>
    </row>
    <row r="484" spans="1:16" x14ac:dyDescent="0.15">
      <c r="A484" t="s">
        <v>2936</v>
      </c>
      <c r="B484" t="s">
        <v>1822</v>
      </c>
      <c r="C484" t="s">
        <v>325</v>
      </c>
      <c r="D484" t="s">
        <v>1816</v>
      </c>
      <c r="E484" t="s">
        <v>1817</v>
      </c>
      <c r="F484" t="s">
        <v>1818</v>
      </c>
      <c r="G484" t="s">
        <v>1819</v>
      </c>
      <c r="H484" t="s">
        <v>374</v>
      </c>
      <c r="I484" t="s">
        <v>1195</v>
      </c>
      <c r="J484">
        <v>2021</v>
      </c>
      <c r="K484" t="s">
        <v>330</v>
      </c>
      <c r="L484">
        <v>44757</v>
      </c>
      <c r="M484" t="s">
        <v>1823</v>
      </c>
      <c r="N484" t="s">
        <v>2</v>
      </c>
      <c r="P484" t="s">
        <v>1820</v>
      </c>
    </row>
    <row r="485" spans="1:16" x14ac:dyDescent="0.15">
      <c r="A485" t="s">
        <v>2937</v>
      </c>
      <c r="B485" t="s">
        <v>1824</v>
      </c>
      <c r="C485" t="s">
        <v>325</v>
      </c>
      <c r="D485" t="s">
        <v>372</v>
      </c>
      <c r="F485" t="s">
        <v>1825</v>
      </c>
      <c r="G485" t="s">
        <v>1826</v>
      </c>
      <c r="H485" t="s">
        <v>554</v>
      </c>
      <c r="I485" t="s">
        <v>1195</v>
      </c>
      <c r="J485">
        <v>2021</v>
      </c>
      <c r="K485" t="s">
        <v>458</v>
      </c>
      <c r="L485">
        <v>44647</v>
      </c>
      <c r="N485" t="s">
        <v>243</v>
      </c>
      <c r="P485" t="s">
        <v>1827</v>
      </c>
    </row>
    <row r="486" spans="1:16" x14ac:dyDescent="0.15">
      <c r="A486" t="s">
        <v>2938</v>
      </c>
      <c r="B486" t="s">
        <v>1828</v>
      </c>
      <c r="C486" t="s">
        <v>325</v>
      </c>
      <c r="D486" t="s">
        <v>361</v>
      </c>
      <c r="F486" t="s">
        <v>479</v>
      </c>
      <c r="G486" t="s">
        <v>1494</v>
      </c>
      <c r="H486" t="s">
        <v>347</v>
      </c>
      <c r="I486" t="s">
        <v>1195</v>
      </c>
      <c r="J486">
        <v>2021</v>
      </c>
      <c r="K486" t="s">
        <v>458</v>
      </c>
      <c r="L486">
        <v>44718</v>
      </c>
      <c r="N486" t="s">
        <v>243</v>
      </c>
      <c r="P486" t="s">
        <v>1829</v>
      </c>
    </row>
    <row r="487" spans="1:16" x14ac:dyDescent="0.15">
      <c r="A487" t="s">
        <v>2939</v>
      </c>
      <c r="B487" t="s">
        <v>1830</v>
      </c>
      <c r="C487" t="s">
        <v>325</v>
      </c>
      <c r="D487" t="s">
        <v>377</v>
      </c>
      <c r="E487" t="s">
        <v>1817</v>
      </c>
      <c r="F487" t="s">
        <v>1818</v>
      </c>
      <c r="G487" t="s">
        <v>1831</v>
      </c>
      <c r="H487" t="s">
        <v>374</v>
      </c>
      <c r="I487" t="s">
        <v>1195</v>
      </c>
      <c r="J487">
        <v>2021</v>
      </c>
      <c r="K487" t="s">
        <v>408</v>
      </c>
      <c r="L487">
        <v>44742</v>
      </c>
      <c r="N487" t="s">
        <v>243</v>
      </c>
      <c r="O487" t="s">
        <v>331</v>
      </c>
      <c r="P487" t="s">
        <v>1832</v>
      </c>
    </row>
    <row r="488" spans="1:16" x14ac:dyDescent="0.15">
      <c r="A488" t="s">
        <v>2940</v>
      </c>
      <c r="B488" t="s">
        <v>1833</v>
      </c>
      <c r="C488" t="s">
        <v>325</v>
      </c>
      <c r="D488" t="s">
        <v>399</v>
      </c>
      <c r="F488" t="s">
        <v>1834</v>
      </c>
      <c r="H488" t="s">
        <v>388</v>
      </c>
      <c r="I488" t="s">
        <v>1195</v>
      </c>
      <c r="J488">
        <v>2022</v>
      </c>
      <c r="K488" t="s">
        <v>458</v>
      </c>
      <c r="L488">
        <v>44817</v>
      </c>
      <c r="N488" t="s">
        <v>243</v>
      </c>
      <c r="P488" t="s">
        <v>1835</v>
      </c>
    </row>
    <row r="489" spans="1:16" x14ac:dyDescent="0.15">
      <c r="A489" t="s">
        <v>2941</v>
      </c>
      <c r="B489" t="s">
        <v>1836</v>
      </c>
      <c r="C489" t="s">
        <v>325</v>
      </c>
      <c r="D489" t="s">
        <v>326</v>
      </c>
      <c r="F489" t="s">
        <v>1685</v>
      </c>
      <c r="G489" t="s">
        <v>1837</v>
      </c>
      <c r="H489" t="s">
        <v>578</v>
      </c>
      <c r="I489" t="s">
        <v>1195</v>
      </c>
      <c r="J489">
        <v>2022</v>
      </c>
      <c r="K489" t="s">
        <v>443</v>
      </c>
      <c r="L489">
        <v>44733</v>
      </c>
      <c r="N489" t="s">
        <v>243</v>
      </c>
      <c r="O489" t="s">
        <v>331</v>
      </c>
      <c r="P489" t="s">
        <v>1838</v>
      </c>
    </row>
    <row r="490" spans="1:16" x14ac:dyDescent="0.15">
      <c r="A490" t="s">
        <v>2942</v>
      </c>
      <c r="B490" t="s">
        <v>1839</v>
      </c>
      <c r="C490" t="s">
        <v>325</v>
      </c>
      <c r="D490" t="s">
        <v>483</v>
      </c>
      <c r="F490" t="s">
        <v>1759</v>
      </c>
      <c r="H490" t="s">
        <v>329</v>
      </c>
      <c r="I490" t="s">
        <v>1195</v>
      </c>
      <c r="J490">
        <v>2022</v>
      </c>
      <c r="K490" t="s">
        <v>458</v>
      </c>
      <c r="L490">
        <v>44656</v>
      </c>
      <c r="N490" t="s">
        <v>243</v>
      </c>
      <c r="P490" t="s">
        <v>1840</v>
      </c>
    </row>
    <row r="491" spans="1:16" x14ac:dyDescent="0.15">
      <c r="A491" t="s">
        <v>2942</v>
      </c>
      <c r="B491" t="s">
        <v>1841</v>
      </c>
      <c r="C491" t="s">
        <v>325</v>
      </c>
      <c r="D491" t="s">
        <v>483</v>
      </c>
      <c r="F491" t="s">
        <v>1759</v>
      </c>
      <c r="H491" t="s">
        <v>329</v>
      </c>
      <c r="I491" t="s">
        <v>1195</v>
      </c>
      <c r="J491">
        <v>2022</v>
      </c>
      <c r="K491" t="s">
        <v>458</v>
      </c>
      <c r="L491">
        <v>44767</v>
      </c>
      <c r="N491" t="s">
        <v>243</v>
      </c>
      <c r="P491" t="s">
        <v>1840</v>
      </c>
    </row>
    <row r="492" spans="1:16" x14ac:dyDescent="0.15">
      <c r="A492" t="s">
        <v>2943</v>
      </c>
      <c r="B492" t="s">
        <v>1842</v>
      </c>
      <c r="C492" t="s">
        <v>325</v>
      </c>
      <c r="D492" t="s">
        <v>483</v>
      </c>
      <c r="F492" t="s">
        <v>1843</v>
      </c>
      <c r="H492" t="s">
        <v>993</v>
      </c>
      <c r="I492" t="s">
        <v>1195</v>
      </c>
      <c r="J492">
        <v>2022</v>
      </c>
      <c r="K492" t="s">
        <v>458</v>
      </c>
      <c r="L492">
        <v>44693</v>
      </c>
      <c r="N492" t="s">
        <v>243</v>
      </c>
      <c r="P492" t="s">
        <v>1844</v>
      </c>
    </row>
    <row r="493" spans="1:16" x14ac:dyDescent="0.15">
      <c r="A493" t="s">
        <v>2944</v>
      </c>
      <c r="B493" t="s">
        <v>1845</v>
      </c>
      <c r="C493" t="s">
        <v>325</v>
      </c>
      <c r="D493" t="s">
        <v>415</v>
      </c>
      <c r="F493" t="s">
        <v>1846</v>
      </c>
      <c r="H493" t="s">
        <v>485</v>
      </c>
      <c r="I493" t="s">
        <v>1195</v>
      </c>
      <c r="J493">
        <v>2022</v>
      </c>
      <c r="K493" t="s">
        <v>443</v>
      </c>
      <c r="L493">
        <v>44742</v>
      </c>
      <c r="N493" t="s">
        <v>243</v>
      </c>
      <c r="O493" t="s">
        <v>331</v>
      </c>
      <c r="P493" t="s">
        <v>1847</v>
      </c>
    </row>
    <row r="494" spans="1:16" x14ac:dyDescent="0.15">
      <c r="A494" t="s">
        <v>2944</v>
      </c>
      <c r="B494" t="s">
        <v>1848</v>
      </c>
      <c r="C494" t="s">
        <v>325</v>
      </c>
      <c r="D494" t="s">
        <v>415</v>
      </c>
      <c r="F494" t="s">
        <v>1846</v>
      </c>
      <c r="H494" t="s">
        <v>485</v>
      </c>
      <c r="I494" t="s">
        <v>1195</v>
      </c>
      <c r="J494">
        <v>2022</v>
      </c>
      <c r="K494" t="s">
        <v>443</v>
      </c>
      <c r="L494">
        <v>44841</v>
      </c>
      <c r="N494" t="s">
        <v>3209</v>
      </c>
      <c r="O494" t="s">
        <v>331</v>
      </c>
      <c r="P494" t="s">
        <v>1847</v>
      </c>
    </row>
    <row r="495" spans="1:16" x14ac:dyDescent="0.15">
      <c r="A495" t="s">
        <v>2945</v>
      </c>
      <c r="B495" t="s">
        <v>1849</v>
      </c>
      <c r="C495" t="s">
        <v>325</v>
      </c>
      <c r="D495" t="s">
        <v>415</v>
      </c>
      <c r="F495" t="s">
        <v>1850</v>
      </c>
      <c r="H495" t="s">
        <v>1148</v>
      </c>
      <c r="I495" t="s">
        <v>1195</v>
      </c>
      <c r="J495">
        <v>2022</v>
      </c>
      <c r="K495" t="s">
        <v>443</v>
      </c>
      <c r="L495">
        <v>44638</v>
      </c>
      <c r="N495" t="s">
        <v>243</v>
      </c>
      <c r="O495" t="s">
        <v>331</v>
      </c>
      <c r="P495" t="s">
        <v>1851</v>
      </c>
    </row>
    <row r="496" spans="1:16" x14ac:dyDescent="0.15">
      <c r="A496" t="s">
        <v>2946</v>
      </c>
      <c r="B496" t="s">
        <v>1852</v>
      </c>
      <c r="C496" t="s">
        <v>325</v>
      </c>
      <c r="D496" t="s">
        <v>377</v>
      </c>
      <c r="E496" t="s">
        <v>1817</v>
      </c>
      <c r="F496" t="s">
        <v>1818</v>
      </c>
      <c r="G496" t="s">
        <v>1853</v>
      </c>
      <c r="H496" t="s">
        <v>374</v>
      </c>
      <c r="I496" t="s">
        <v>1195</v>
      </c>
      <c r="J496">
        <v>2022</v>
      </c>
      <c r="K496" t="s">
        <v>330</v>
      </c>
      <c r="L496">
        <v>44757</v>
      </c>
      <c r="N496" t="s">
        <v>243</v>
      </c>
      <c r="P496" t="s">
        <v>1854</v>
      </c>
    </row>
    <row r="497" spans="1:16" x14ac:dyDescent="0.15">
      <c r="A497" t="s">
        <v>2947</v>
      </c>
      <c r="B497" t="s">
        <v>1855</v>
      </c>
      <c r="C497" t="s">
        <v>325</v>
      </c>
      <c r="D497" t="s">
        <v>372</v>
      </c>
      <c r="F497" t="s">
        <v>457</v>
      </c>
      <c r="H497" t="s">
        <v>374</v>
      </c>
      <c r="I497" t="s">
        <v>1195</v>
      </c>
      <c r="J497">
        <v>2022</v>
      </c>
      <c r="K497" t="s">
        <v>458</v>
      </c>
      <c r="L497">
        <v>44697</v>
      </c>
      <c r="N497" t="s">
        <v>243</v>
      </c>
      <c r="P497" t="s">
        <v>1856</v>
      </c>
    </row>
    <row r="498" spans="1:16" x14ac:dyDescent="0.15">
      <c r="A498" t="s">
        <v>2948</v>
      </c>
      <c r="B498" t="s">
        <v>1857</v>
      </c>
      <c r="C498" t="s">
        <v>325</v>
      </c>
      <c r="D498" t="s">
        <v>1858</v>
      </c>
      <c r="F498" t="s">
        <v>1859</v>
      </c>
      <c r="G498" t="s">
        <v>1756</v>
      </c>
      <c r="H498" t="s">
        <v>1860</v>
      </c>
      <c r="I498" t="s">
        <v>1195</v>
      </c>
      <c r="J498">
        <v>2022</v>
      </c>
      <c r="K498" t="s">
        <v>408</v>
      </c>
      <c r="L498">
        <v>44599</v>
      </c>
      <c r="N498" t="s">
        <v>243</v>
      </c>
      <c r="O498" t="s">
        <v>331</v>
      </c>
      <c r="P498" t="s">
        <v>1861</v>
      </c>
    </row>
    <row r="499" spans="1:16" x14ac:dyDescent="0.15">
      <c r="A499" t="s">
        <v>2948</v>
      </c>
      <c r="B499" t="s">
        <v>1862</v>
      </c>
      <c r="C499" t="s">
        <v>325</v>
      </c>
      <c r="D499" t="s">
        <v>1858</v>
      </c>
      <c r="F499" t="s">
        <v>1859</v>
      </c>
      <c r="H499" t="s">
        <v>1860</v>
      </c>
      <c r="I499" t="s">
        <v>1195</v>
      </c>
      <c r="J499">
        <v>2022</v>
      </c>
      <c r="K499" t="s">
        <v>408</v>
      </c>
      <c r="L499">
        <v>44599</v>
      </c>
      <c r="N499" t="s">
        <v>243</v>
      </c>
      <c r="O499" t="s">
        <v>331</v>
      </c>
      <c r="P499" t="s">
        <v>1861</v>
      </c>
    </row>
    <row r="500" spans="1:16" x14ac:dyDescent="0.15">
      <c r="A500" t="s">
        <v>2949</v>
      </c>
      <c r="B500" t="s">
        <v>1863</v>
      </c>
      <c r="C500" t="s">
        <v>325</v>
      </c>
      <c r="D500" t="s">
        <v>372</v>
      </c>
      <c r="F500" t="s">
        <v>489</v>
      </c>
      <c r="H500" t="s">
        <v>440</v>
      </c>
      <c r="I500" t="s">
        <v>1195</v>
      </c>
      <c r="J500">
        <v>2022</v>
      </c>
      <c r="K500" t="s">
        <v>458</v>
      </c>
      <c r="L500">
        <v>44809</v>
      </c>
      <c r="N500" t="s">
        <v>243</v>
      </c>
      <c r="P500" t="s">
        <v>1864</v>
      </c>
    </row>
    <row r="501" spans="1:16" x14ac:dyDescent="0.15">
      <c r="A501" t="s">
        <v>2950</v>
      </c>
      <c r="B501" t="s">
        <v>1865</v>
      </c>
      <c r="C501" t="s">
        <v>325</v>
      </c>
      <c r="D501" t="s">
        <v>570</v>
      </c>
      <c r="E501" t="s">
        <v>1866</v>
      </c>
      <c r="F501" t="s">
        <v>988</v>
      </c>
      <c r="G501" t="s">
        <v>1867</v>
      </c>
      <c r="H501" t="s">
        <v>341</v>
      </c>
      <c r="I501" t="s">
        <v>1195</v>
      </c>
      <c r="J501">
        <v>2022</v>
      </c>
      <c r="K501" t="s">
        <v>666</v>
      </c>
      <c r="L501">
        <v>44910</v>
      </c>
      <c r="N501" t="s">
        <v>243</v>
      </c>
      <c r="P501" t="s">
        <v>1868</v>
      </c>
    </row>
    <row r="502" spans="1:16" x14ac:dyDescent="0.15">
      <c r="A502" t="s">
        <v>2951</v>
      </c>
      <c r="B502" t="s">
        <v>1869</v>
      </c>
      <c r="C502" t="s">
        <v>325</v>
      </c>
      <c r="D502" t="s">
        <v>1870</v>
      </c>
      <c r="F502" t="s">
        <v>1871</v>
      </c>
      <c r="H502" t="s">
        <v>554</v>
      </c>
      <c r="I502" t="s">
        <v>1195</v>
      </c>
      <c r="J502">
        <v>2021</v>
      </c>
      <c r="K502" t="s">
        <v>458</v>
      </c>
      <c r="L502">
        <v>44690</v>
      </c>
      <c r="N502" t="s">
        <v>243</v>
      </c>
      <c r="P502" t="s">
        <v>1872</v>
      </c>
    </row>
    <row r="503" spans="1:16" x14ac:dyDescent="0.15">
      <c r="A503" t="s">
        <v>2952</v>
      </c>
      <c r="B503" t="s">
        <v>1873</v>
      </c>
      <c r="C503" t="s">
        <v>325</v>
      </c>
      <c r="D503" t="s">
        <v>483</v>
      </c>
      <c r="F503" t="s">
        <v>484</v>
      </c>
      <c r="H503" t="s">
        <v>485</v>
      </c>
      <c r="I503" t="s">
        <v>1195</v>
      </c>
      <c r="J503">
        <v>2022</v>
      </c>
      <c r="K503" t="s">
        <v>443</v>
      </c>
      <c r="L503">
        <v>44747</v>
      </c>
      <c r="N503" t="s">
        <v>243</v>
      </c>
      <c r="O503" t="s">
        <v>331</v>
      </c>
      <c r="P503" t="s">
        <v>1874</v>
      </c>
    </row>
    <row r="504" spans="1:16" x14ac:dyDescent="0.15">
      <c r="A504" t="s">
        <v>2953</v>
      </c>
      <c r="B504" t="s">
        <v>1875</v>
      </c>
      <c r="C504" t="s">
        <v>325</v>
      </c>
      <c r="D504" t="s">
        <v>738</v>
      </c>
      <c r="F504" t="s">
        <v>366</v>
      </c>
      <c r="G504" t="s">
        <v>1876</v>
      </c>
      <c r="H504" t="s">
        <v>368</v>
      </c>
      <c r="I504" t="s">
        <v>1195</v>
      </c>
      <c r="J504">
        <v>2022</v>
      </c>
      <c r="K504" t="s">
        <v>666</v>
      </c>
      <c r="L504">
        <v>44774</v>
      </c>
      <c r="N504" t="s">
        <v>243</v>
      </c>
      <c r="P504" t="s">
        <v>1877</v>
      </c>
    </row>
    <row r="505" spans="1:16" x14ac:dyDescent="0.15">
      <c r="A505" t="s">
        <v>2954</v>
      </c>
      <c r="B505" t="s">
        <v>1878</v>
      </c>
      <c r="C505" t="s">
        <v>325</v>
      </c>
      <c r="D505" t="s">
        <v>415</v>
      </c>
      <c r="E505" t="s">
        <v>1314</v>
      </c>
      <c r="F505" t="s">
        <v>1879</v>
      </c>
      <c r="H505" t="s">
        <v>388</v>
      </c>
      <c r="I505" t="s">
        <v>1195</v>
      </c>
      <c r="J505">
        <v>2022</v>
      </c>
      <c r="K505" t="s">
        <v>443</v>
      </c>
      <c r="L505">
        <v>44910</v>
      </c>
      <c r="M505" t="s">
        <v>1880</v>
      </c>
      <c r="N505" t="s">
        <v>243</v>
      </c>
      <c r="O505" t="s">
        <v>331</v>
      </c>
      <c r="P505" t="s">
        <v>1881</v>
      </c>
    </row>
    <row r="506" spans="1:16" x14ac:dyDescent="0.15">
      <c r="A506" t="s">
        <v>2955</v>
      </c>
      <c r="B506" t="s">
        <v>1882</v>
      </c>
      <c r="C506" t="s">
        <v>325</v>
      </c>
      <c r="D506" t="s">
        <v>326</v>
      </c>
      <c r="F506" t="s">
        <v>1784</v>
      </c>
      <c r="H506" t="s">
        <v>462</v>
      </c>
      <c r="I506" t="s">
        <v>1195</v>
      </c>
      <c r="J506">
        <v>2022</v>
      </c>
      <c r="K506" t="s">
        <v>458</v>
      </c>
      <c r="L506">
        <v>44834</v>
      </c>
      <c r="N506" t="s">
        <v>243</v>
      </c>
      <c r="P506" t="s">
        <v>1883</v>
      </c>
    </row>
    <row r="507" spans="1:16" x14ac:dyDescent="0.15">
      <c r="A507" t="s">
        <v>2955</v>
      </c>
      <c r="B507" t="s">
        <v>1884</v>
      </c>
      <c r="C507" t="s">
        <v>325</v>
      </c>
      <c r="D507" t="s">
        <v>326</v>
      </c>
      <c r="F507" t="s">
        <v>1784</v>
      </c>
      <c r="H507" t="s">
        <v>462</v>
      </c>
      <c r="I507" t="s">
        <v>1195</v>
      </c>
      <c r="J507">
        <v>2022</v>
      </c>
      <c r="K507" t="s">
        <v>458</v>
      </c>
      <c r="L507">
        <v>44876</v>
      </c>
      <c r="N507" t="s">
        <v>243</v>
      </c>
      <c r="P507" t="s">
        <v>1883</v>
      </c>
    </row>
    <row r="508" spans="1:16" x14ac:dyDescent="0.15">
      <c r="A508" t="s">
        <v>2956</v>
      </c>
      <c r="B508" t="s">
        <v>1885</v>
      </c>
      <c r="C508" t="s">
        <v>325</v>
      </c>
      <c r="D508" t="s">
        <v>415</v>
      </c>
      <c r="F508" t="s">
        <v>1886</v>
      </c>
      <c r="H508" t="s">
        <v>374</v>
      </c>
      <c r="I508" t="s">
        <v>1195</v>
      </c>
      <c r="J508">
        <v>2022</v>
      </c>
      <c r="K508" t="s">
        <v>408</v>
      </c>
      <c r="L508">
        <v>44865</v>
      </c>
      <c r="N508" t="s">
        <v>243</v>
      </c>
      <c r="O508" t="s">
        <v>331</v>
      </c>
      <c r="P508" t="s">
        <v>1887</v>
      </c>
    </row>
    <row r="509" spans="1:16" x14ac:dyDescent="0.15">
      <c r="A509" t="s">
        <v>2956</v>
      </c>
      <c r="B509" t="s">
        <v>1888</v>
      </c>
      <c r="C509" t="s">
        <v>325</v>
      </c>
      <c r="D509" t="s">
        <v>415</v>
      </c>
      <c r="F509" t="s">
        <v>1886</v>
      </c>
      <c r="H509" t="s">
        <v>374</v>
      </c>
      <c r="I509" t="s">
        <v>1195</v>
      </c>
      <c r="J509">
        <v>2022</v>
      </c>
      <c r="K509" t="s">
        <v>408</v>
      </c>
      <c r="L509">
        <v>44742</v>
      </c>
      <c r="N509" t="s">
        <v>243</v>
      </c>
      <c r="O509" t="s">
        <v>331</v>
      </c>
      <c r="P509" t="s">
        <v>1887</v>
      </c>
    </row>
    <row r="510" spans="1:16" x14ac:dyDescent="0.15">
      <c r="A510" t="s">
        <v>2956</v>
      </c>
      <c r="B510" t="s">
        <v>1889</v>
      </c>
      <c r="C510" t="s">
        <v>325</v>
      </c>
      <c r="D510" t="s">
        <v>415</v>
      </c>
      <c r="F510" t="s">
        <v>1886</v>
      </c>
      <c r="G510" t="s">
        <v>1890</v>
      </c>
      <c r="H510" t="s">
        <v>374</v>
      </c>
      <c r="I510" t="s">
        <v>1195</v>
      </c>
      <c r="J510">
        <v>2022</v>
      </c>
      <c r="K510" t="s">
        <v>408</v>
      </c>
      <c r="L510">
        <v>44869</v>
      </c>
      <c r="N510" t="s">
        <v>243</v>
      </c>
      <c r="O510" t="s">
        <v>331</v>
      </c>
      <c r="P510" t="s">
        <v>1887</v>
      </c>
    </row>
    <row r="511" spans="1:16" x14ac:dyDescent="0.15">
      <c r="A511" t="s">
        <v>2957</v>
      </c>
      <c r="B511" t="s">
        <v>1891</v>
      </c>
      <c r="C511" t="s">
        <v>325</v>
      </c>
      <c r="D511" t="s">
        <v>361</v>
      </c>
      <c r="F511" t="s">
        <v>479</v>
      </c>
      <c r="G511" t="s">
        <v>1494</v>
      </c>
      <c r="H511" t="s">
        <v>329</v>
      </c>
      <c r="I511" t="s">
        <v>1195</v>
      </c>
      <c r="J511">
        <v>2022</v>
      </c>
      <c r="K511" t="s">
        <v>458</v>
      </c>
      <c r="L511">
        <v>44789</v>
      </c>
      <c r="N511" t="s">
        <v>243</v>
      </c>
      <c r="P511" t="s">
        <v>1892</v>
      </c>
    </row>
    <row r="512" spans="1:16" x14ac:dyDescent="0.15">
      <c r="A512" t="s">
        <v>2958</v>
      </c>
      <c r="B512" t="s">
        <v>1893</v>
      </c>
      <c r="C512" t="s">
        <v>325</v>
      </c>
      <c r="D512" t="s">
        <v>326</v>
      </c>
      <c r="E512" t="s">
        <v>372</v>
      </c>
      <c r="F512" t="s">
        <v>683</v>
      </c>
      <c r="G512" t="s">
        <v>1894</v>
      </c>
      <c r="H512" t="s">
        <v>684</v>
      </c>
      <c r="I512" t="s">
        <v>1195</v>
      </c>
      <c r="J512">
        <v>2022</v>
      </c>
      <c r="K512" t="s">
        <v>458</v>
      </c>
      <c r="L512">
        <v>44837</v>
      </c>
      <c r="N512" t="s">
        <v>243</v>
      </c>
      <c r="P512" t="s">
        <v>1895</v>
      </c>
    </row>
    <row r="513" spans="1:16" x14ac:dyDescent="0.15">
      <c r="A513" t="s">
        <v>2959</v>
      </c>
      <c r="B513" t="s">
        <v>1896</v>
      </c>
      <c r="C513" t="s">
        <v>325</v>
      </c>
      <c r="D513" t="s">
        <v>1897</v>
      </c>
      <c r="E513" t="s">
        <v>372</v>
      </c>
      <c r="F513" t="s">
        <v>1818</v>
      </c>
      <c r="H513" t="s">
        <v>374</v>
      </c>
      <c r="I513" t="s">
        <v>1195</v>
      </c>
      <c r="J513">
        <v>2022</v>
      </c>
      <c r="K513" t="s">
        <v>330</v>
      </c>
      <c r="N513" t="s">
        <v>2</v>
      </c>
      <c r="P513" t="s">
        <v>1898</v>
      </c>
    </row>
    <row r="514" spans="1:16" x14ac:dyDescent="0.15">
      <c r="A514" t="s">
        <v>2959</v>
      </c>
      <c r="B514" t="s">
        <v>1899</v>
      </c>
      <c r="C514" t="s">
        <v>325</v>
      </c>
      <c r="D514" t="s">
        <v>1897</v>
      </c>
      <c r="E514" t="s">
        <v>372</v>
      </c>
      <c r="F514" t="s">
        <v>1818</v>
      </c>
      <c r="H514" t="s">
        <v>374</v>
      </c>
      <c r="I514" t="s">
        <v>1195</v>
      </c>
      <c r="J514">
        <v>2022</v>
      </c>
      <c r="K514" t="s">
        <v>330</v>
      </c>
      <c r="P514" t="s">
        <v>1898</v>
      </c>
    </row>
    <row r="515" spans="1:16" x14ac:dyDescent="0.15">
      <c r="A515" t="s">
        <v>2960</v>
      </c>
      <c r="B515" t="s">
        <v>1900</v>
      </c>
      <c r="C515" t="s">
        <v>325</v>
      </c>
      <c r="D515" t="s">
        <v>593</v>
      </c>
      <c r="F515" t="s">
        <v>1901</v>
      </c>
      <c r="H515" t="s">
        <v>1902</v>
      </c>
      <c r="I515" t="s">
        <v>1195</v>
      </c>
      <c r="J515">
        <v>2022</v>
      </c>
      <c r="K515" t="s">
        <v>408</v>
      </c>
      <c r="L515">
        <v>44823</v>
      </c>
      <c r="N515" t="s">
        <v>243</v>
      </c>
      <c r="O515" t="s">
        <v>331</v>
      </c>
      <c r="P515" t="s">
        <v>1903</v>
      </c>
    </row>
    <row r="516" spans="1:16" x14ac:dyDescent="0.15">
      <c r="A516" t="s">
        <v>2961</v>
      </c>
      <c r="B516" t="s">
        <v>1904</v>
      </c>
      <c r="C516" t="s">
        <v>325</v>
      </c>
      <c r="D516" t="s">
        <v>953</v>
      </c>
      <c r="F516" t="s">
        <v>1905</v>
      </c>
      <c r="H516" t="s">
        <v>1720</v>
      </c>
      <c r="I516" t="s">
        <v>1195</v>
      </c>
      <c r="J516">
        <v>2022</v>
      </c>
      <c r="K516" t="s">
        <v>443</v>
      </c>
      <c r="L516">
        <v>44869</v>
      </c>
      <c r="N516" t="s">
        <v>243</v>
      </c>
      <c r="O516" t="s">
        <v>331</v>
      </c>
      <c r="P516" t="s">
        <v>1906</v>
      </c>
    </row>
    <row r="517" spans="1:16" x14ac:dyDescent="0.15">
      <c r="A517" t="s">
        <v>2962</v>
      </c>
      <c r="B517" t="s">
        <v>1907</v>
      </c>
      <c r="C517" t="s">
        <v>325</v>
      </c>
      <c r="D517" t="s">
        <v>1908</v>
      </c>
      <c r="G517" t="s">
        <v>1909</v>
      </c>
      <c r="H517" t="s">
        <v>341</v>
      </c>
      <c r="I517" t="s">
        <v>1195</v>
      </c>
      <c r="J517">
        <v>2022</v>
      </c>
      <c r="K517" t="s">
        <v>666</v>
      </c>
      <c r="L517">
        <v>44783</v>
      </c>
      <c r="N517" t="s">
        <v>243</v>
      </c>
      <c r="P517" t="s">
        <v>1910</v>
      </c>
    </row>
    <row r="518" spans="1:16" x14ac:dyDescent="0.15">
      <c r="A518" t="s">
        <v>2963</v>
      </c>
      <c r="B518" t="s">
        <v>1911</v>
      </c>
      <c r="C518" t="s">
        <v>325</v>
      </c>
      <c r="D518" t="s">
        <v>1055</v>
      </c>
      <c r="F518" t="s">
        <v>1912</v>
      </c>
      <c r="H518" t="s">
        <v>874</v>
      </c>
      <c r="I518" t="s">
        <v>1195</v>
      </c>
      <c r="J518">
        <v>2022</v>
      </c>
      <c r="K518" t="s">
        <v>408</v>
      </c>
      <c r="L518">
        <v>44767</v>
      </c>
      <c r="N518" t="s">
        <v>336</v>
      </c>
      <c r="P518" t="s">
        <v>1913</v>
      </c>
    </row>
    <row r="519" spans="1:16" x14ac:dyDescent="0.15">
      <c r="A519" t="s">
        <v>2963</v>
      </c>
      <c r="B519" t="s">
        <v>1914</v>
      </c>
      <c r="C519" t="s">
        <v>325</v>
      </c>
      <c r="D519" t="s">
        <v>1055</v>
      </c>
      <c r="F519" t="s">
        <v>1912</v>
      </c>
      <c r="H519" t="s">
        <v>874</v>
      </c>
      <c r="I519" t="s">
        <v>1195</v>
      </c>
      <c r="J519">
        <v>2022</v>
      </c>
      <c r="K519" t="s">
        <v>408</v>
      </c>
      <c r="L519">
        <v>44767</v>
      </c>
      <c r="N519" t="s">
        <v>243</v>
      </c>
      <c r="O519" t="s">
        <v>331</v>
      </c>
      <c r="P519" t="s">
        <v>1913</v>
      </c>
    </row>
    <row r="520" spans="1:16" x14ac:dyDescent="0.15">
      <c r="A520" t="s">
        <v>2964</v>
      </c>
      <c r="B520" t="s">
        <v>1915</v>
      </c>
      <c r="C520" t="s">
        <v>325</v>
      </c>
      <c r="D520" t="s">
        <v>326</v>
      </c>
      <c r="F520" t="s">
        <v>1916</v>
      </c>
      <c r="H520" t="s">
        <v>384</v>
      </c>
      <c r="I520" t="s">
        <v>1195</v>
      </c>
      <c r="J520">
        <v>2022</v>
      </c>
      <c r="K520" t="s">
        <v>408</v>
      </c>
      <c r="L520">
        <v>44854</v>
      </c>
      <c r="N520" t="s">
        <v>243</v>
      </c>
      <c r="O520" t="s">
        <v>331</v>
      </c>
      <c r="P520" t="s">
        <v>1917</v>
      </c>
    </row>
    <row r="521" spans="1:16" x14ac:dyDescent="0.15">
      <c r="A521" t="s">
        <v>2965</v>
      </c>
      <c r="B521" t="s">
        <v>1918</v>
      </c>
      <c r="C521" t="s">
        <v>325</v>
      </c>
      <c r="D521" t="s">
        <v>415</v>
      </c>
      <c r="F521" t="s">
        <v>1919</v>
      </c>
      <c r="G521" t="s">
        <v>1805</v>
      </c>
      <c r="H521" t="s">
        <v>578</v>
      </c>
      <c r="I521" t="s">
        <v>1195</v>
      </c>
      <c r="J521">
        <v>2022</v>
      </c>
      <c r="K521" t="s">
        <v>408</v>
      </c>
      <c r="L521">
        <v>44727</v>
      </c>
      <c r="N521" t="s">
        <v>336</v>
      </c>
      <c r="P521" t="s">
        <v>1920</v>
      </c>
    </row>
    <row r="522" spans="1:16" x14ac:dyDescent="0.15">
      <c r="A522" t="s">
        <v>2965</v>
      </c>
      <c r="B522" t="s">
        <v>1921</v>
      </c>
      <c r="C522" t="s">
        <v>325</v>
      </c>
      <c r="D522" t="s">
        <v>415</v>
      </c>
      <c r="F522" t="s">
        <v>1919</v>
      </c>
      <c r="H522" t="s">
        <v>578</v>
      </c>
      <c r="I522" t="s">
        <v>1195</v>
      </c>
      <c r="J522">
        <v>2022</v>
      </c>
      <c r="K522" t="s">
        <v>408</v>
      </c>
      <c r="L522">
        <v>45092</v>
      </c>
      <c r="N522" t="s">
        <v>243</v>
      </c>
      <c r="P522" t="s">
        <v>1920</v>
      </c>
    </row>
    <row r="523" spans="1:16" x14ac:dyDescent="0.15">
      <c r="A523" t="s">
        <v>2965</v>
      </c>
      <c r="B523" t="s">
        <v>1922</v>
      </c>
      <c r="C523" t="s">
        <v>325</v>
      </c>
      <c r="D523" t="s">
        <v>415</v>
      </c>
      <c r="F523" t="s">
        <v>1919</v>
      </c>
      <c r="H523" t="s">
        <v>578</v>
      </c>
      <c r="I523" t="s">
        <v>1195</v>
      </c>
      <c r="J523">
        <v>2022</v>
      </c>
      <c r="K523" t="s">
        <v>408</v>
      </c>
      <c r="L523">
        <v>45061</v>
      </c>
      <c r="N523" t="s">
        <v>243</v>
      </c>
      <c r="O523" t="s">
        <v>1923</v>
      </c>
      <c r="P523" t="s">
        <v>1920</v>
      </c>
    </row>
    <row r="524" spans="1:16" x14ac:dyDescent="0.15">
      <c r="A524" t="s">
        <v>2965</v>
      </c>
      <c r="B524" t="s">
        <v>1924</v>
      </c>
      <c r="C524" t="s">
        <v>325</v>
      </c>
      <c r="D524" t="s">
        <v>415</v>
      </c>
      <c r="F524" t="s">
        <v>1919</v>
      </c>
      <c r="H524" t="s">
        <v>578</v>
      </c>
      <c r="I524" t="s">
        <v>1195</v>
      </c>
      <c r="J524">
        <v>2023</v>
      </c>
      <c r="K524" t="s">
        <v>408</v>
      </c>
      <c r="L524">
        <v>45087</v>
      </c>
      <c r="N524" t="s">
        <v>243</v>
      </c>
      <c r="O524" t="s">
        <v>1395</v>
      </c>
      <c r="P524" t="s">
        <v>1920</v>
      </c>
    </row>
    <row r="525" spans="1:16" x14ac:dyDescent="0.15">
      <c r="A525" t="s">
        <v>2966</v>
      </c>
      <c r="B525" t="s">
        <v>1925</v>
      </c>
      <c r="C525" t="s">
        <v>325</v>
      </c>
      <c r="D525" t="s">
        <v>415</v>
      </c>
      <c r="F525" t="s">
        <v>1926</v>
      </c>
      <c r="H525" t="s">
        <v>1902</v>
      </c>
      <c r="I525" t="s">
        <v>1195</v>
      </c>
      <c r="J525">
        <v>2022</v>
      </c>
      <c r="K525" t="s">
        <v>408</v>
      </c>
      <c r="L525">
        <v>44880</v>
      </c>
      <c r="N525" t="s">
        <v>243</v>
      </c>
      <c r="O525" t="s">
        <v>331</v>
      </c>
      <c r="P525" t="s">
        <v>1927</v>
      </c>
    </row>
    <row r="526" spans="1:16" x14ac:dyDescent="0.15">
      <c r="A526" t="s">
        <v>2967</v>
      </c>
      <c r="B526" t="s">
        <v>1928</v>
      </c>
      <c r="C526" t="s">
        <v>325</v>
      </c>
      <c r="D526" t="s">
        <v>1929</v>
      </c>
      <c r="F526" t="s">
        <v>1930</v>
      </c>
      <c r="H526" t="s">
        <v>620</v>
      </c>
      <c r="I526" t="s">
        <v>1195</v>
      </c>
      <c r="J526">
        <v>2022</v>
      </c>
      <c r="K526" t="s">
        <v>666</v>
      </c>
      <c r="L526">
        <v>44908</v>
      </c>
      <c r="N526" t="s">
        <v>243</v>
      </c>
      <c r="P526" t="s">
        <v>1931</v>
      </c>
    </row>
    <row r="527" spans="1:16" x14ac:dyDescent="0.15">
      <c r="A527" t="s">
        <v>2968</v>
      </c>
      <c r="B527" t="s">
        <v>1932</v>
      </c>
      <c r="C527" t="s">
        <v>325</v>
      </c>
      <c r="D527" t="s">
        <v>415</v>
      </c>
      <c r="F527" t="s">
        <v>1040</v>
      </c>
      <c r="H527" t="s">
        <v>374</v>
      </c>
      <c r="I527" t="s">
        <v>1195</v>
      </c>
      <c r="J527">
        <v>2022</v>
      </c>
      <c r="K527" t="s">
        <v>408</v>
      </c>
      <c r="L527">
        <v>44592</v>
      </c>
      <c r="N527" t="s">
        <v>243</v>
      </c>
      <c r="O527" t="s">
        <v>331</v>
      </c>
      <c r="P527" t="s">
        <v>1933</v>
      </c>
    </row>
    <row r="528" spans="1:16" x14ac:dyDescent="0.15">
      <c r="A528" t="s">
        <v>2968</v>
      </c>
      <c r="B528" t="s">
        <v>1934</v>
      </c>
      <c r="C528" t="s">
        <v>325</v>
      </c>
      <c r="D528" t="s">
        <v>415</v>
      </c>
      <c r="F528" t="s">
        <v>1040</v>
      </c>
      <c r="H528" t="s">
        <v>374</v>
      </c>
      <c r="I528" t="s">
        <v>1195</v>
      </c>
      <c r="J528">
        <v>2022</v>
      </c>
      <c r="K528" t="s">
        <v>408</v>
      </c>
      <c r="N528" t="s">
        <v>243</v>
      </c>
      <c r="O528" t="s">
        <v>331</v>
      </c>
      <c r="P528" t="s">
        <v>1933</v>
      </c>
    </row>
    <row r="529" spans="1:16" x14ac:dyDescent="0.15">
      <c r="A529" t="s">
        <v>2969</v>
      </c>
      <c r="B529" t="s">
        <v>1935</v>
      </c>
      <c r="C529" t="s">
        <v>325</v>
      </c>
      <c r="D529" t="s">
        <v>593</v>
      </c>
      <c r="E529" t="s">
        <v>497</v>
      </c>
      <c r="F529" t="s">
        <v>1635</v>
      </c>
      <c r="H529" t="s">
        <v>341</v>
      </c>
      <c r="I529" t="s">
        <v>1195</v>
      </c>
      <c r="J529">
        <v>2022</v>
      </c>
      <c r="K529" t="s">
        <v>408</v>
      </c>
      <c r="L529">
        <v>44910</v>
      </c>
      <c r="N529" t="s">
        <v>243</v>
      </c>
      <c r="O529" t="s">
        <v>331</v>
      </c>
      <c r="P529" t="s">
        <v>1936</v>
      </c>
    </row>
    <row r="530" spans="1:16" x14ac:dyDescent="0.15">
      <c r="A530" t="s">
        <v>2970</v>
      </c>
      <c r="B530" t="s">
        <v>1937</v>
      </c>
      <c r="C530" t="s">
        <v>325</v>
      </c>
      <c r="D530" t="s">
        <v>415</v>
      </c>
      <c r="E530" t="s">
        <v>429</v>
      </c>
      <c r="F530" t="s">
        <v>1194</v>
      </c>
      <c r="H530" t="s">
        <v>431</v>
      </c>
      <c r="I530" t="s">
        <v>1195</v>
      </c>
      <c r="J530">
        <v>2022</v>
      </c>
      <c r="K530" t="s">
        <v>666</v>
      </c>
      <c r="L530">
        <v>44721</v>
      </c>
      <c r="N530" t="s">
        <v>243</v>
      </c>
      <c r="P530" t="s">
        <v>1938</v>
      </c>
    </row>
    <row r="531" spans="1:16" x14ac:dyDescent="0.15">
      <c r="A531" t="s">
        <v>2971</v>
      </c>
      <c r="B531" t="s">
        <v>1939</v>
      </c>
      <c r="C531" t="s">
        <v>325</v>
      </c>
      <c r="D531" t="s">
        <v>372</v>
      </c>
      <c r="F531" t="s">
        <v>509</v>
      </c>
      <c r="H531" t="s">
        <v>374</v>
      </c>
      <c r="I531" t="s">
        <v>1195</v>
      </c>
      <c r="J531">
        <v>2022</v>
      </c>
      <c r="K531" t="s">
        <v>330</v>
      </c>
      <c r="L531">
        <v>44875</v>
      </c>
      <c r="N531" t="s">
        <v>243</v>
      </c>
      <c r="P531" t="s">
        <v>1940</v>
      </c>
    </row>
    <row r="532" spans="1:16" x14ac:dyDescent="0.15">
      <c r="A532" t="s">
        <v>2972</v>
      </c>
      <c r="B532" t="s">
        <v>1941</v>
      </c>
      <c r="C532" t="s">
        <v>325</v>
      </c>
      <c r="D532" t="s">
        <v>1002</v>
      </c>
      <c r="E532" t="s">
        <v>372</v>
      </c>
      <c r="F532" t="s">
        <v>683</v>
      </c>
      <c r="H532" t="s">
        <v>684</v>
      </c>
      <c r="I532" t="s">
        <v>1195</v>
      </c>
      <c r="J532">
        <v>2022</v>
      </c>
      <c r="K532" t="s">
        <v>666</v>
      </c>
      <c r="L532">
        <v>44901</v>
      </c>
      <c r="N532" t="s">
        <v>243</v>
      </c>
      <c r="P532" t="s">
        <v>1942</v>
      </c>
    </row>
    <row r="533" spans="1:16" x14ac:dyDescent="0.15">
      <c r="A533" t="s">
        <v>2973</v>
      </c>
      <c r="B533" t="s">
        <v>1943</v>
      </c>
      <c r="C533" t="s">
        <v>325</v>
      </c>
      <c r="D533" t="s">
        <v>483</v>
      </c>
      <c r="E533" t="s">
        <v>1120</v>
      </c>
      <c r="F533" t="s">
        <v>670</v>
      </c>
      <c r="H533" t="s">
        <v>612</v>
      </c>
      <c r="I533" t="s">
        <v>1195</v>
      </c>
      <c r="J533">
        <v>2022</v>
      </c>
      <c r="K533" t="s">
        <v>458</v>
      </c>
      <c r="L533">
        <v>44894</v>
      </c>
      <c r="N533" t="s">
        <v>243</v>
      </c>
      <c r="P533" t="s">
        <v>1944</v>
      </c>
    </row>
    <row r="534" spans="1:16" x14ac:dyDescent="0.15">
      <c r="A534" t="s">
        <v>2974</v>
      </c>
      <c r="B534" t="s">
        <v>1945</v>
      </c>
      <c r="C534" t="s">
        <v>325</v>
      </c>
      <c r="D534" t="s">
        <v>345</v>
      </c>
      <c r="F534" t="s">
        <v>1696</v>
      </c>
      <c r="H534" t="s">
        <v>1148</v>
      </c>
      <c r="I534" t="s">
        <v>1195</v>
      </c>
      <c r="J534">
        <v>2022</v>
      </c>
      <c r="K534" t="s">
        <v>330</v>
      </c>
      <c r="L534">
        <v>44834</v>
      </c>
      <c r="N534" t="s">
        <v>243</v>
      </c>
      <c r="P534" t="s">
        <v>1946</v>
      </c>
    </row>
    <row r="535" spans="1:16" x14ac:dyDescent="0.15">
      <c r="A535" t="s">
        <v>2975</v>
      </c>
      <c r="B535" t="s">
        <v>1947</v>
      </c>
      <c r="C535" t="s">
        <v>325</v>
      </c>
      <c r="D535" t="s">
        <v>405</v>
      </c>
      <c r="E535" t="s">
        <v>405</v>
      </c>
      <c r="G535" t="s">
        <v>1948</v>
      </c>
      <c r="H535" t="s">
        <v>407</v>
      </c>
      <c r="I535" t="s">
        <v>1195</v>
      </c>
      <c r="J535">
        <v>2022</v>
      </c>
      <c r="K535" t="s">
        <v>330</v>
      </c>
      <c r="L535">
        <v>44771</v>
      </c>
      <c r="N535" t="s">
        <v>2</v>
      </c>
      <c r="P535" t="s">
        <v>1949</v>
      </c>
    </row>
    <row r="536" spans="1:16" x14ac:dyDescent="0.15">
      <c r="A536" t="s">
        <v>2976</v>
      </c>
      <c r="B536" t="s">
        <v>1950</v>
      </c>
      <c r="C536" t="s">
        <v>325</v>
      </c>
      <c r="D536" t="s">
        <v>483</v>
      </c>
      <c r="F536" t="s">
        <v>1951</v>
      </c>
      <c r="H536" t="s">
        <v>485</v>
      </c>
      <c r="I536" t="s">
        <v>1195</v>
      </c>
      <c r="J536">
        <v>2022</v>
      </c>
      <c r="K536" t="s">
        <v>443</v>
      </c>
      <c r="L536">
        <v>44907</v>
      </c>
      <c r="N536" t="s">
        <v>243</v>
      </c>
      <c r="O536" t="s">
        <v>331</v>
      </c>
      <c r="P536" t="s">
        <v>1952</v>
      </c>
    </row>
    <row r="537" spans="1:16" x14ac:dyDescent="0.15">
      <c r="A537" t="s">
        <v>2977</v>
      </c>
      <c r="B537" t="s">
        <v>1953</v>
      </c>
      <c r="C537" t="s">
        <v>325</v>
      </c>
      <c r="D537" t="s">
        <v>326</v>
      </c>
      <c r="E537" t="s">
        <v>1954</v>
      </c>
      <c r="F537" t="s">
        <v>1955</v>
      </c>
      <c r="H537" t="s">
        <v>1956</v>
      </c>
      <c r="I537" t="s">
        <v>1195</v>
      </c>
      <c r="J537">
        <v>2022</v>
      </c>
      <c r="K537" t="s">
        <v>408</v>
      </c>
      <c r="L537">
        <v>44876</v>
      </c>
      <c r="N537" t="s">
        <v>243</v>
      </c>
      <c r="O537" t="s">
        <v>331</v>
      </c>
      <c r="P537" t="s">
        <v>1957</v>
      </c>
    </row>
    <row r="538" spans="1:16" x14ac:dyDescent="0.15">
      <c r="A538" t="s">
        <v>2978</v>
      </c>
      <c r="B538" t="s">
        <v>1958</v>
      </c>
      <c r="C538" t="s">
        <v>325</v>
      </c>
      <c r="D538" t="s">
        <v>1912</v>
      </c>
      <c r="F538" t="s">
        <v>1959</v>
      </c>
      <c r="G538" t="s">
        <v>1960</v>
      </c>
      <c r="H538" t="s">
        <v>874</v>
      </c>
      <c r="I538" t="s">
        <v>1195</v>
      </c>
      <c r="J538">
        <v>2022</v>
      </c>
      <c r="K538" t="s">
        <v>408</v>
      </c>
      <c r="L538">
        <v>44936</v>
      </c>
      <c r="M538" t="s">
        <v>573</v>
      </c>
      <c r="N538" t="s">
        <v>10</v>
      </c>
      <c r="P538" t="s">
        <v>1961</v>
      </c>
    </row>
    <row r="539" spans="1:16" x14ac:dyDescent="0.15">
      <c r="A539" t="s">
        <v>2979</v>
      </c>
      <c r="B539" t="s">
        <v>1962</v>
      </c>
      <c r="C539" t="s">
        <v>325</v>
      </c>
      <c r="D539" t="s">
        <v>1963</v>
      </c>
      <c r="F539" t="s">
        <v>1916</v>
      </c>
      <c r="H539" t="s">
        <v>384</v>
      </c>
      <c r="I539" t="s">
        <v>1195</v>
      </c>
      <c r="J539">
        <v>2022</v>
      </c>
      <c r="K539" t="s">
        <v>408</v>
      </c>
      <c r="L539">
        <v>44941</v>
      </c>
      <c r="N539" t="s">
        <v>243</v>
      </c>
      <c r="O539" t="s">
        <v>331</v>
      </c>
      <c r="P539" t="s">
        <v>1964</v>
      </c>
    </row>
    <row r="540" spans="1:16" x14ac:dyDescent="0.15">
      <c r="A540" t="s">
        <v>2979</v>
      </c>
      <c r="B540" t="s">
        <v>1965</v>
      </c>
      <c r="C540" t="s">
        <v>325</v>
      </c>
      <c r="D540" t="s">
        <v>1963</v>
      </c>
      <c r="F540" t="s">
        <v>1916</v>
      </c>
      <c r="H540" t="s">
        <v>384</v>
      </c>
      <c r="I540" t="s">
        <v>1195</v>
      </c>
      <c r="J540">
        <v>2022</v>
      </c>
      <c r="K540" t="s">
        <v>408</v>
      </c>
      <c r="L540">
        <v>45092</v>
      </c>
      <c r="N540" t="s">
        <v>243</v>
      </c>
      <c r="O540" t="s">
        <v>331</v>
      </c>
      <c r="P540" t="s">
        <v>1964</v>
      </c>
    </row>
    <row r="541" spans="1:16" x14ac:dyDescent="0.15">
      <c r="A541" t="s">
        <v>2979</v>
      </c>
      <c r="B541" t="s">
        <v>1966</v>
      </c>
      <c r="C541" t="s">
        <v>325</v>
      </c>
      <c r="D541" t="s">
        <v>1963</v>
      </c>
      <c r="F541" t="s">
        <v>1916</v>
      </c>
      <c r="H541" t="s">
        <v>384</v>
      </c>
      <c r="I541" t="s">
        <v>1195</v>
      </c>
      <c r="J541">
        <v>2022</v>
      </c>
      <c r="K541" t="s">
        <v>408</v>
      </c>
      <c r="L541">
        <v>45107</v>
      </c>
      <c r="N541" t="s">
        <v>243</v>
      </c>
      <c r="O541" t="s">
        <v>331</v>
      </c>
      <c r="P541" t="s">
        <v>1964</v>
      </c>
    </row>
    <row r="542" spans="1:16" x14ac:dyDescent="0.15">
      <c r="A542" t="s">
        <v>2980</v>
      </c>
      <c r="B542" t="s">
        <v>1967</v>
      </c>
      <c r="C542" t="s">
        <v>325</v>
      </c>
      <c r="D542" t="s">
        <v>350</v>
      </c>
      <c r="F542" t="s">
        <v>1048</v>
      </c>
      <c r="H542" t="s">
        <v>351</v>
      </c>
      <c r="I542" t="s">
        <v>1195</v>
      </c>
      <c r="J542">
        <v>2022</v>
      </c>
      <c r="K542" t="s">
        <v>666</v>
      </c>
      <c r="L542" t="s">
        <v>1968</v>
      </c>
      <c r="M542" t="s">
        <v>1512</v>
      </c>
      <c r="N542" t="s">
        <v>243</v>
      </c>
      <c r="P542" t="s">
        <v>1969</v>
      </c>
    </row>
    <row r="543" spans="1:16" x14ac:dyDescent="0.15">
      <c r="A543" t="s">
        <v>2981</v>
      </c>
      <c r="B543" t="s">
        <v>1970</v>
      </c>
      <c r="C543" t="s">
        <v>325</v>
      </c>
      <c r="D543" t="s">
        <v>1328</v>
      </c>
      <c r="E543" t="s">
        <v>942</v>
      </c>
      <c r="F543" t="s">
        <v>1971</v>
      </c>
      <c r="H543" t="s">
        <v>449</v>
      </c>
      <c r="I543" t="s">
        <v>1195</v>
      </c>
      <c r="J543">
        <v>2022</v>
      </c>
      <c r="K543" t="s">
        <v>666</v>
      </c>
      <c r="L543">
        <v>44936</v>
      </c>
      <c r="N543" t="s">
        <v>243</v>
      </c>
      <c r="P543" t="s">
        <v>1972</v>
      </c>
    </row>
    <row r="544" spans="1:16" x14ac:dyDescent="0.15">
      <c r="A544" t="s">
        <v>2982</v>
      </c>
      <c r="B544" t="s">
        <v>1973</v>
      </c>
      <c r="C544" t="s">
        <v>325</v>
      </c>
      <c r="D544" t="s">
        <v>483</v>
      </c>
      <c r="F544" t="s">
        <v>1518</v>
      </c>
      <c r="G544" t="s">
        <v>1974</v>
      </c>
      <c r="H544" t="s">
        <v>436</v>
      </c>
      <c r="I544" t="s">
        <v>1195</v>
      </c>
      <c r="J544">
        <v>2022</v>
      </c>
      <c r="K544" t="s">
        <v>458</v>
      </c>
      <c r="L544">
        <v>44886</v>
      </c>
      <c r="N544" t="s">
        <v>243</v>
      </c>
      <c r="P544" t="s">
        <v>1975</v>
      </c>
    </row>
    <row r="545" spans="1:16" x14ac:dyDescent="0.15">
      <c r="A545" t="s">
        <v>2982</v>
      </c>
      <c r="B545" t="s">
        <v>1976</v>
      </c>
      <c r="C545" t="s">
        <v>325</v>
      </c>
      <c r="D545" t="s">
        <v>483</v>
      </c>
      <c r="F545" t="s">
        <v>1518</v>
      </c>
      <c r="G545" t="s">
        <v>1977</v>
      </c>
      <c r="H545" t="s">
        <v>436</v>
      </c>
      <c r="I545" t="s">
        <v>1195</v>
      </c>
      <c r="J545">
        <v>2022</v>
      </c>
      <c r="K545" t="s">
        <v>458</v>
      </c>
      <c r="L545">
        <v>44907</v>
      </c>
      <c r="N545" t="s">
        <v>243</v>
      </c>
      <c r="P545" t="s">
        <v>1975</v>
      </c>
    </row>
    <row r="546" spans="1:16" x14ac:dyDescent="0.15">
      <c r="A546" t="s">
        <v>2983</v>
      </c>
      <c r="B546" t="s">
        <v>1515</v>
      </c>
      <c r="C546" t="s">
        <v>325</v>
      </c>
      <c r="D546" t="s">
        <v>1978</v>
      </c>
      <c r="F546" t="s">
        <v>1979</v>
      </c>
      <c r="H546" t="s">
        <v>624</v>
      </c>
      <c r="I546" t="s">
        <v>1195</v>
      </c>
      <c r="J546">
        <v>2022</v>
      </c>
      <c r="K546" t="s">
        <v>458</v>
      </c>
      <c r="M546" t="s">
        <v>1980</v>
      </c>
      <c r="N546" t="s">
        <v>597</v>
      </c>
      <c r="P546" t="s">
        <v>1981</v>
      </c>
    </row>
    <row r="547" spans="1:16" x14ac:dyDescent="0.15">
      <c r="A547" t="s">
        <v>2984</v>
      </c>
      <c r="B547" t="s">
        <v>1982</v>
      </c>
      <c r="C547" t="s">
        <v>325</v>
      </c>
      <c r="D547" t="s">
        <v>415</v>
      </c>
      <c r="F547" t="s">
        <v>1983</v>
      </c>
      <c r="H547" t="s">
        <v>1201</v>
      </c>
      <c r="I547" t="s">
        <v>1195</v>
      </c>
      <c r="J547">
        <v>2022</v>
      </c>
      <c r="K547" t="s">
        <v>330</v>
      </c>
      <c r="L547">
        <v>44957</v>
      </c>
      <c r="N547" t="s">
        <v>243</v>
      </c>
      <c r="P547" t="s">
        <v>1984</v>
      </c>
    </row>
    <row r="548" spans="1:16" x14ac:dyDescent="0.15">
      <c r="A548" t="s">
        <v>2985</v>
      </c>
      <c r="B548" t="s">
        <v>1985</v>
      </c>
      <c r="C548" t="s">
        <v>325</v>
      </c>
      <c r="D548" t="s">
        <v>345</v>
      </c>
      <c r="E548" t="s">
        <v>1916</v>
      </c>
      <c r="F548" t="s">
        <v>1916</v>
      </c>
      <c r="G548" t="s">
        <v>1986</v>
      </c>
      <c r="H548" t="s">
        <v>384</v>
      </c>
      <c r="I548" t="s">
        <v>1195</v>
      </c>
      <c r="J548">
        <v>2022</v>
      </c>
      <c r="K548" t="s">
        <v>330</v>
      </c>
      <c r="L548">
        <v>44985</v>
      </c>
      <c r="N548" t="s">
        <v>243</v>
      </c>
      <c r="P548" t="s">
        <v>1987</v>
      </c>
    </row>
    <row r="549" spans="1:16" x14ac:dyDescent="0.15">
      <c r="A549" t="s">
        <v>2986</v>
      </c>
      <c r="B549" t="s">
        <v>1988</v>
      </c>
      <c r="C549" t="s">
        <v>325</v>
      </c>
      <c r="D549" t="s">
        <v>1328</v>
      </c>
      <c r="E549" t="s">
        <v>497</v>
      </c>
      <c r="F549" t="s">
        <v>1989</v>
      </c>
      <c r="G549" t="s">
        <v>1990</v>
      </c>
      <c r="H549" t="s">
        <v>499</v>
      </c>
      <c r="I549" t="s">
        <v>1195</v>
      </c>
      <c r="J549">
        <v>2022</v>
      </c>
      <c r="K549" t="s">
        <v>330</v>
      </c>
      <c r="N549" t="s">
        <v>243</v>
      </c>
      <c r="P549" t="s">
        <v>1991</v>
      </c>
    </row>
    <row r="550" spans="1:16" x14ac:dyDescent="0.15">
      <c r="A550" t="s">
        <v>2987</v>
      </c>
      <c r="B550" t="s">
        <v>1992</v>
      </c>
      <c r="C550" t="s">
        <v>325</v>
      </c>
      <c r="D550" t="s">
        <v>483</v>
      </c>
      <c r="F550" t="s">
        <v>693</v>
      </c>
      <c r="G550" t="s">
        <v>1993</v>
      </c>
      <c r="H550" t="s">
        <v>388</v>
      </c>
      <c r="I550" t="s">
        <v>1195</v>
      </c>
      <c r="J550">
        <v>2022</v>
      </c>
      <c r="K550" t="s">
        <v>458</v>
      </c>
      <c r="L550">
        <v>45112</v>
      </c>
      <c r="N550" t="s">
        <v>243</v>
      </c>
      <c r="P550" t="s">
        <v>1994</v>
      </c>
    </row>
    <row r="551" spans="1:16" x14ac:dyDescent="0.15">
      <c r="A551" t="s">
        <v>2988</v>
      </c>
      <c r="B551" t="s">
        <v>1995</v>
      </c>
      <c r="C551" t="s">
        <v>325</v>
      </c>
      <c r="D551" t="s">
        <v>1328</v>
      </c>
      <c r="E551" t="s">
        <v>497</v>
      </c>
      <c r="F551" t="s">
        <v>1996</v>
      </c>
      <c r="H551" t="s">
        <v>499</v>
      </c>
      <c r="I551" t="s">
        <v>1195</v>
      </c>
      <c r="J551">
        <v>2022</v>
      </c>
      <c r="K551" t="s">
        <v>458</v>
      </c>
      <c r="L551">
        <v>45026</v>
      </c>
      <c r="N551" t="s">
        <v>243</v>
      </c>
      <c r="P551" t="s">
        <v>1997</v>
      </c>
    </row>
    <row r="552" spans="1:16" x14ac:dyDescent="0.15">
      <c r="A552" t="s">
        <v>2989</v>
      </c>
      <c r="B552" t="s">
        <v>1998</v>
      </c>
      <c r="C552" t="s">
        <v>325</v>
      </c>
      <c r="D552" t="s">
        <v>593</v>
      </c>
      <c r="F552" t="s">
        <v>1999</v>
      </c>
      <c r="H552" t="s">
        <v>485</v>
      </c>
      <c r="I552" t="s">
        <v>1195</v>
      </c>
      <c r="J552">
        <v>2022</v>
      </c>
      <c r="K552" t="s">
        <v>408</v>
      </c>
      <c r="N552" t="s">
        <v>243</v>
      </c>
      <c r="O552" t="s">
        <v>331</v>
      </c>
      <c r="P552" t="s">
        <v>2000</v>
      </c>
    </row>
    <row r="553" spans="1:16" x14ac:dyDescent="0.15">
      <c r="A553" t="s">
        <v>2989</v>
      </c>
      <c r="B553" t="s">
        <v>2001</v>
      </c>
      <c r="C553" t="s">
        <v>325</v>
      </c>
      <c r="D553" t="s">
        <v>593</v>
      </c>
      <c r="F553" t="s">
        <v>1999</v>
      </c>
      <c r="G553" t="s">
        <v>2002</v>
      </c>
      <c r="H553" t="s">
        <v>485</v>
      </c>
      <c r="I553" t="s">
        <v>1195</v>
      </c>
      <c r="J553">
        <v>2022</v>
      </c>
      <c r="K553" t="s">
        <v>408</v>
      </c>
      <c r="L553">
        <v>45212</v>
      </c>
      <c r="N553" t="s">
        <v>336</v>
      </c>
      <c r="P553" t="s">
        <v>2000</v>
      </c>
    </row>
    <row r="554" spans="1:16" x14ac:dyDescent="0.15">
      <c r="A554" t="s">
        <v>2989</v>
      </c>
      <c r="B554" t="s">
        <v>2003</v>
      </c>
      <c r="C554" t="s">
        <v>325</v>
      </c>
      <c r="D554" t="s">
        <v>593</v>
      </c>
      <c r="F554" t="s">
        <v>1999</v>
      </c>
      <c r="G554" t="s">
        <v>2004</v>
      </c>
      <c r="H554" t="s">
        <v>485</v>
      </c>
      <c r="I554" t="s">
        <v>1195</v>
      </c>
      <c r="J554">
        <v>2022</v>
      </c>
      <c r="K554" t="s">
        <v>408</v>
      </c>
      <c r="L554">
        <v>45212</v>
      </c>
      <c r="N554" t="s">
        <v>336</v>
      </c>
      <c r="P554" t="s">
        <v>2000</v>
      </c>
    </row>
    <row r="555" spans="1:16" x14ac:dyDescent="0.15">
      <c r="A555" t="s">
        <v>2989</v>
      </c>
      <c r="B555" t="s">
        <v>2005</v>
      </c>
      <c r="C555" t="s">
        <v>325</v>
      </c>
      <c r="D555" t="s">
        <v>593</v>
      </c>
      <c r="F555" t="s">
        <v>1999</v>
      </c>
      <c r="G555" t="s">
        <v>2006</v>
      </c>
      <c r="H555" t="s">
        <v>485</v>
      </c>
      <c r="I555" t="s">
        <v>1195</v>
      </c>
      <c r="J555">
        <v>2022</v>
      </c>
      <c r="K555" t="s">
        <v>408</v>
      </c>
      <c r="L555">
        <v>45212</v>
      </c>
      <c r="N555" t="s">
        <v>336</v>
      </c>
      <c r="P555" t="s">
        <v>2000</v>
      </c>
    </row>
    <row r="556" spans="1:16" x14ac:dyDescent="0.15">
      <c r="A556" t="s">
        <v>2989</v>
      </c>
      <c r="B556" t="s">
        <v>2007</v>
      </c>
      <c r="C556" t="s">
        <v>325</v>
      </c>
      <c r="D556" t="s">
        <v>593</v>
      </c>
      <c r="F556" t="s">
        <v>1999</v>
      </c>
      <c r="G556" t="s">
        <v>2008</v>
      </c>
      <c r="H556" t="s">
        <v>485</v>
      </c>
      <c r="I556" t="s">
        <v>1195</v>
      </c>
      <c r="J556">
        <v>2024</v>
      </c>
      <c r="K556" t="s">
        <v>458</v>
      </c>
      <c r="L556">
        <v>45390</v>
      </c>
      <c r="N556" t="s">
        <v>336</v>
      </c>
      <c r="P556" t="s">
        <v>2000</v>
      </c>
    </row>
    <row r="557" spans="1:16" x14ac:dyDescent="0.15">
      <c r="A557" t="s">
        <v>2990</v>
      </c>
      <c r="B557" t="s">
        <v>2009</v>
      </c>
      <c r="C557" t="s">
        <v>325</v>
      </c>
      <c r="D557" t="s">
        <v>345</v>
      </c>
      <c r="E557" t="s">
        <v>345</v>
      </c>
      <c r="F557" t="s">
        <v>1653</v>
      </c>
      <c r="G557" t="s">
        <v>2010</v>
      </c>
      <c r="H557" t="s">
        <v>485</v>
      </c>
      <c r="I557" t="s">
        <v>1195</v>
      </c>
      <c r="J557">
        <v>2022</v>
      </c>
      <c r="K557" t="s">
        <v>330</v>
      </c>
      <c r="N557" t="s">
        <v>243</v>
      </c>
      <c r="P557" t="s">
        <v>2011</v>
      </c>
    </row>
    <row r="558" spans="1:16" x14ac:dyDescent="0.15">
      <c r="A558" t="s">
        <v>2991</v>
      </c>
      <c r="B558" t="s">
        <v>2012</v>
      </c>
      <c r="C558" t="s">
        <v>325</v>
      </c>
      <c r="D558" t="s">
        <v>1328</v>
      </c>
      <c r="E558" t="s">
        <v>497</v>
      </c>
      <c r="F558" t="s">
        <v>2013</v>
      </c>
      <c r="H558" t="s">
        <v>733</v>
      </c>
      <c r="I558" t="s">
        <v>1195</v>
      </c>
      <c r="J558">
        <v>2022</v>
      </c>
      <c r="K558" t="s">
        <v>330</v>
      </c>
      <c r="L558">
        <v>44684</v>
      </c>
      <c r="N558" t="s">
        <v>243</v>
      </c>
      <c r="P558" t="s">
        <v>2014</v>
      </c>
    </row>
    <row r="559" spans="1:16" x14ac:dyDescent="0.15">
      <c r="A559" t="s">
        <v>2992</v>
      </c>
      <c r="B559" t="s">
        <v>597</v>
      </c>
      <c r="C559" t="s">
        <v>325</v>
      </c>
      <c r="D559" t="s">
        <v>835</v>
      </c>
      <c r="F559" t="s">
        <v>748</v>
      </c>
      <c r="H559" t="s">
        <v>624</v>
      </c>
      <c r="I559" t="s">
        <v>1195</v>
      </c>
      <c r="J559">
        <v>2023</v>
      </c>
      <c r="K559" t="s">
        <v>2</v>
      </c>
      <c r="N559" t="s">
        <v>2</v>
      </c>
      <c r="P559" t="s">
        <v>2015</v>
      </c>
    </row>
    <row r="560" spans="1:16" x14ac:dyDescent="0.15">
      <c r="A560" t="s">
        <v>2993</v>
      </c>
      <c r="B560" t="s">
        <v>2016</v>
      </c>
      <c r="C560" t="s">
        <v>325</v>
      </c>
      <c r="D560" t="s">
        <v>953</v>
      </c>
      <c r="F560" t="s">
        <v>2017</v>
      </c>
      <c r="H560" t="s">
        <v>485</v>
      </c>
      <c r="I560" t="s">
        <v>1195</v>
      </c>
      <c r="J560">
        <v>2022</v>
      </c>
      <c r="K560" t="s">
        <v>443</v>
      </c>
      <c r="L560">
        <v>45174</v>
      </c>
      <c r="N560" t="s">
        <v>243</v>
      </c>
      <c r="O560" t="s">
        <v>331</v>
      </c>
      <c r="P560" t="s">
        <v>2018</v>
      </c>
    </row>
    <row r="561" spans="1:16" x14ac:dyDescent="0.15">
      <c r="A561" t="s">
        <v>2994</v>
      </c>
      <c r="B561" t="s">
        <v>2019</v>
      </c>
      <c r="C561" t="s">
        <v>325</v>
      </c>
      <c r="D561" t="s">
        <v>2020</v>
      </c>
      <c r="F561" t="s">
        <v>1532</v>
      </c>
      <c r="G561" t="s">
        <v>1532</v>
      </c>
      <c r="H561" t="s">
        <v>407</v>
      </c>
      <c r="I561" t="s">
        <v>1195</v>
      </c>
      <c r="J561">
        <v>2022</v>
      </c>
      <c r="K561" t="s">
        <v>443</v>
      </c>
      <c r="L561">
        <v>45100</v>
      </c>
      <c r="M561" t="s">
        <v>3210</v>
      </c>
      <c r="N561" t="s">
        <v>336</v>
      </c>
      <c r="O561" t="s">
        <v>573</v>
      </c>
      <c r="P561" t="s">
        <v>2021</v>
      </c>
    </row>
    <row r="562" spans="1:16" x14ac:dyDescent="0.15">
      <c r="A562" t="s">
        <v>2994</v>
      </c>
      <c r="B562" t="s">
        <v>2022</v>
      </c>
      <c r="C562" t="s">
        <v>325</v>
      </c>
      <c r="D562" t="s">
        <v>2020</v>
      </c>
      <c r="F562" t="s">
        <v>1532</v>
      </c>
      <c r="G562" t="s">
        <v>2023</v>
      </c>
      <c r="H562" t="s">
        <v>407</v>
      </c>
      <c r="I562" t="s">
        <v>1195</v>
      </c>
      <c r="J562">
        <v>2022</v>
      </c>
      <c r="K562" t="s">
        <v>443</v>
      </c>
      <c r="L562">
        <v>45016</v>
      </c>
      <c r="M562" t="s">
        <v>3210</v>
      </c>
      <c r="N562" t="s">
        <v>336</v>
      </c>
      <c r="O562" t="s">
        <v>573</v>
      </c>
      <c r="P562" t="s">
        <v>2021</v>
      </c>
    </row>
    <row r="563" spans="1:16" x14ac:dyDescent="0.15">
      <c r="A563" t="s">
        <v>2994</v>
      </c>
      <c r="B563" t="s">
        <v>2024</v>
      </c>
      <c r="C563" t="s">
        <v>325</v>
      </c>
      <c r="D563" t="s">
        <v>2020</v>
      </c>
      <c r="F563" t="s">
        <v>1532</v>
      </c>
      <c r="G563" t="s">
        <v>2025</v>
      </c>
      <c r="H563" t="s">
        <v>407</v>
      </c>
      <c r="I563" t="s">
        <v>1195</v>
      </c>
      <c r="J563">
        <v>2022</v>
      </c>
      <c r="K563" t="s">
        <v>443</v>
      </c>
      <c r="L563">
        <v>45100</v>
      </c>
      <c r="N563" t="s">
        <v>243</v>
      </c>
      <c r="O563" t="s">
        <v>331</v>
      </c>
      <c r="P563" t="s">
        <v>2021</v>
      </c>
    </row>
    <row r="564" spans="1:16" x14ac:dyDescent="0.15">
      <c r="A564" t="s">
        <v>2995</v>
      </c>
      <c r="B564" t="s">
        <v>2026</v>
      </c>
      <c r="C564" t="s">
        <v>325</v>
      </c>
      <c r="D564" t="s">
        <v>483</v>
      </c>
      <c r="F564" t="s">
        <v>2027</v>
      </c>
      <c r="G564" t="s">
        <v>2028</v>
      </c>
      <c r="H564" t="s">
        <v>578</v>
      </c>
      <c r="I564" t="s">
        <v>1195</v>
      </c>
      <c r="J564">
        <v>2022</v>
      </c>
      <c r="K564" t="s">
        <v>458</v>
      </c>
      <c r="L564">
        <v>45082</v>
      </c>
      <c r="N564" t="s">
        <v>243</v>
      </c>
      <c r="P564" t="s">
        <v>2029</v>
      </c>
    </row>
    <row r="565" spans="1:16" x14ac:dyDescent="0.15">
      <c r="A565" t="s">
        <v>2996</v>
      </c>
      <c r="B565" t="s">
        <v>2030</v>
      </c>
      <c r="C565" t="s">
        <v>325</v>
      </c>
      <c r="D565" t="s">
        <v>953</v>
      </c>
      <c r="F565" t="s">
        <v>2031</v>
      </c>
      <c r="H565" t="s">
        <v>1720</v>
      </c>
      <c r="I565" t="s">
        <v>1195</v>
      </c>
      <c r="J565">
        <v>2022</v>
      </c>
      <c r="K565" t="s">
        <v>443</v>
      </c>
      <c r="L565">
        <v>45231</v>
      </c>
      <c r="N565" t="s">
        <v>243</v>
      </c>
      <c r="O565" t="s">
        <v>331</v>
      </c>
      <c r="P565" t="s">
        <v>2032</v>
      </c>
    </row>
    <row r="566" spans="1:16" x14ac:dyDescent="0.15">
      <c r="A566" t="s">
        <v>2996</v>
      </c>
      <c r="B566" t="s">
        <v>2033</v>
      </c>
      <c r="C566" t="s">
        <v>325</v>
      </c>
      <c r="D566" t="s">
        <v>953</v>
      </c>
      <c r="F566" t="s">
        <v>2031</v>
      </c>
      <c r="H566" t="s">
        <v>1720</v>
      </c>
      <c r="I566" t="s">
        <v>1195</v>
      </c>
      <c r="J566">
        <v>2022</v>
      </c>
      <c r="K566" t="s">
        <v>443</v>
      </c>
      <c r="L566">
        <v>45049</v>
      </c>
      <c r="N566" t="s">
        <v>243</v>
      </c>
      <c r="O566" t="s">
        <v>331</v>
      </c>
      <c r="P566" t="s">
        <v>2032</v>
      </c>
    </row>
    <row r="567" spans="1:16" x14ac:dyDescent="0.15">
      <c r="A567" t="s">
        <v>2997</v>
      </c>
      <c r="B567" t="s">
        <v>2034</v>
      </c>
      <c r="C567" t="s">
        <v>325</v>
      </c>
      <c r="D567" t="s">
        <v>326</v>
      </c>
      <c r="F567" t="s">
        <v>2035</v>
      </c>
      <c r="H567" t="s">
        <v>384</v>
      </c>
      <c r="I567" t="s">
        <v>1195</v>
      </c>
      <c r="J567">
        <v>2022</v>
      </c>
      <c r="K567" t="s">
        <v>458</v>
      </c>
      <c r="L567">
        <v>45078</v>
      </c>
      <c r="N567" t="s">
        <v>243</v>
      </c>
      <c r="P567" t="s">
        <v>2036</v>
      </c>
    </row>
    <row r="568" spans="1:16" x14ac:dyDescent="0.15">
      <c r="A568" t="s">
        <v>2998</v>
      </c>
      <c r="B568" t="s">
        <v>2037</v>
      </c>
      <c r="C568" t="s">
        <v>325</v>
      </c>
      <c r="D568" t="s">
        <v>415</v>
      </c>
      <c r="E568" t="s">
        <v>1314</v>
      </c>
      <c r="F568" t="s">
        <v>2038</v>
      </c>
      <c r="H568" t="s">
        <v>578</v>
      </c>
      <c r="I568" t="s">
        <v>1195</v>
      </c>
      <c r="J568">
        <v>2022</v>
      </c>
      <c r="K568" t="s">
        <v>408</v>
      </c>
      <c r="L568">
        <v>45006</v>
      </c>
      <c r="N568" t="s">
        <v>243</v>
      </c>
      <c r="O568" t="s">
        <v>331</v>
      </c>
      <c r="P568" t="s">
        <v>2039</v>
      </c>
    </row>
    <row r="569" spans="1:16" x14ac:dyDescent="0.15">
      <c r="A569" t="s">
        <v>2999</v>
      </c>
      <c r="B569" t="s">
        <v>2040</v>
      </c>
      <c r="C569" t="s">
        <v>325</v>
      </c>
      <c r="D569" t="s">
        <v>415</v>
      </c>
      <c r="F569" t="s">
        <v>2041</v>
      </c>
      <c r="H569" t="s">
        <v>341</v>
      </c>
      <c r="I569" t="s">
        <v>1195</v>
      </c>
      <c r="J569">
        <v>2022</v>
      </c>
      <c r="K569" t="s">
        <v>408</v>
      </c>
      <c r="L569" t="s">
        <v>2042</v>
      </c>
      <c r="N569" t="s">
        <v>243</v>
      </c>
      <c r="O569" t="s">
        <v>331</v>
      </c>
      <c r="P569" t="s">
        <v>2043</v>
      </c>
    </row>
    <row r="570" spans="1:16" x14ac:dyDescent="0.15">
      <c r="A570" t="s">
        <v>3000</v>
      </c>
      <c r="B570" t="s">
        <v>2044</v>
      </c>
      <c r="C570" t="s">
        <v>325</v>
      </c>
      <c r="D570" t="s">
        <v>593</v>
      </c>
      <c r="E570" t="s">
        <v>2045</v>
      </c>
      <c r="F570" t="s">
        <v>2046</v>
      </c>
      <c r="H570" t="s">
        <v>485</v>
      </c>
      <c r="I570" t="s">
        <v>1195</v>
      </c>
      <c r="J570">
        <v>2022</v>
      </c>
      <c r="K570" t="s">
        <v>408</v>
      </c>
      <c r="L570">
        <v>45061</v>
      </c>
      <c r="N570" t="s">
        <v>243</v>
      </c>
      <c r="O570" t="s">
        <v>331</v>
      </c>
      <c r="P570" t="s">
        <v>2047</v>
      </c>
    </row>
    <row r="571" spans="1:16" x14ac:dyDescent="0.15">
      <c r="A571" t="s">
        <v>3000</v>
      </c>
      <c r="B571" t="s">
        <v>2048</v>
      </c>
      <c r="C571" t="s">
        <v>325</v>
      </c>
      <c r="D571" t="s">
        <v>593</v>
      </c>
      <c r="E571" t="s">
        <v>2045</v>
      </c>
      <c r="F571" t="s">
        <v>2046</v>
      </c>
      <c r="H571" t="s">
        <v>485</v>
      </c>
      <c r="I571" t="s">
        <v>1195</v>
      </c>
      <c r="J571">
        <v>2023</v>
      </c>
      <c r="K571" t="s">
        <v>408</v>
      </c>
      <c r="L571">
        <v>45107</v>
      </c>
      <c r="N571" t="s">
        <v>243</v>
      </c>
      <c r="O571" t="s">
        <v>331</v>
      </c>
      <c r="P571" t="s">
        <v>2047</v>
      </c>
    </row>
    <row r="572" spans="1:16" x14ac:dyDescent="0.15">
      <c r="A572" t="s">
        <v>3001</v>
      </c>
      <c r="B572" t="s">
        <v>2049</v>
      </c>
      <c r="C572" t="s">
        <v>325</v>
      </c>
      <c r="D572" t="s">
        <v>372</v>
      </c>
      <c r="F572" t="s">
        <v>489</v>
      </c>
      <c r="H572" t="s">
        <v>440</v>
      </c>
      <c r="I572" t="s">
        <v>1195</v>
      </c>
      <c r="J572">
        <v>2022</v>
      </c>
      <c r="K572" t="s">
        <v>458</v>
      </c>
      <c r="L572">
        <v>44718</v>
      </c>
      <c r="N572" t="s">
        <v>243</v>
      </c>
      <c r="P572" t="s">
        <v>2050</v>
      </c>
    </row>
    <row r="573" spans="1:16" x14ac:dyDescent="0.15">
      <c r="A573" t="s">
        <v>3002</v>
      </c>
      <c r="B573" t="s">
        <v>2051</v>
      </c>
      <c r="C573" t="s">
        <v>325</v>
      </c>
      <c r="D573" t="s">
        <v>326</v>
      </c>
      <c r="F573" t="s">
        <v>2052</v>
      </c>
      <c r="H573" t="s">
        <v>2053</v>
      </c>
      <c r="I573" t="s">
        <v>1195</v>
      </c>
      <c r="J573">
        <v>2022</v>
      </c>
      <c r="K573" t="s">
        <v>443</v>
      </c>
      <c r="L573">
        <v>45323</v>
      </c>
      <c r="N573" t="s">
        <v>243</v>
      </c>
      <c r="O573" t="s">
        <v>331</v>
      </c>
      <c r="P573" t="s">
        <v>2054</v>
      </c>
    </row>
    <row r="574" spans="1:16" x14ac:dyDescent="0.15">
      <c r="A574" t="s">
        <v>3002</v>
      </c>
      <c r="B574" t="s">
        <v>2055</v>
      </c>
      <c r="C574" t="s">
        <v>325</v>
      </c>
      <c r="D574" t="s">
        <v>326</v>
      </c>
      <c r="F574" t="s">
        <v>2052</v>
      </c>
      <c r="H574" t="s">
        <v>2053</v>
      </c>
      <c r="I574" t="s">
        <v>1195</v>
      </c>
      <c r="J574">
        <v>2023</v>
      </c>
      <c r="K574" t="s">
        <v>443</v>
      </c>
      <c r="N574" t="s">
        <v>243</v>
      </c>
      <c r="O574" t="s">
        <v>331</v>
      </c>
      <c r="P574" t="s">
        <v>2054</v>
      </c>
    </row>
    <row r="575" spans="1:16" x14ac:dyDescent="0.15">
      <c r="A575" t="s">
        <v>3003</v>
      </c>
      <c r="B575" t="s">
        <v>2056</v>
      </c>
      <c r="C575" t="s">
        <v>325</v>
      </c>
      <c r="D575" t="s">
        <v>2057</v>
      </c>
      <c r="F575" t="s">
        <v>2057</v>
      </c>
      <c r="G575" t="s">
        <v>2058</v>
      </c>
      <c r="H575" t="s">
        <v>341</v>
      </c>
      <c r="I575" t="s">
        <v>1195</v>
      </c>
      <c r="J575">
        <v>2022</v>
      </c>
      <c r="K575" t="s">
        <v>666</v>
      </c>
      <c r="L575">
        <v>45107</v>
      </c>
      <c r="N575" t="s">
        <v>243</v>
      </c>
      <c r="P575" t="s">
        <v>2059</v>
      </c>
    </row>
    <row r="576" spans="1:16" x14ac:dyDescent="0.15">
      <c r="A576" t="s">
        <v>3004</v>
      </c>
      <c r="B576" t="s">
        <v>2060</v>
      </c>
      <c r="C576" t="s">
        <v>325</v>
      </c>
      <c r="D576" t="s">
        <v>372</v>
      </c>
      <c r="F576" t="s">
        <v>1277</v>
      </c>
      <c r="H576" t="s">
        <v>1278</v>
      </c>
      <c r="I576" t="s">
        <v>1195</v>
      </c>
      <c r="J576">
        <v>2023</v>
      </c>
      <c r="K576" t="s">
        <v>458</v>
      </c>
      <c r="L576">
        <v>45107</v>
      </c>
      <c r="N576" t="s">
        <v>243</v>
      </c>
      <c r="P576" t="s">
        <v>2061</v>
      </c>
    </row>
    <row r="577" spans="1:16" x14ac:dyDescent="0.15">
      <c r="A577" t="s">
        <v>3005</v>
      </c>
      <c r="B577" t="s">
        <v>2062</v>
      </c>
      <c r="C577" t="s">
        <v>325</v>
      </c>
      <c r="D577" t="s">
        <v>818</v>
      </c>
      <c r="E577" t="s">
        <v>558</v>
      </c>
      <c r="F577" t="s">
        <v>819</v>
      </c>
      <c r="G577" t="s">
        <v>2063</v>
      </c>
      <c r="H577" t="s">
        <v>341</v>
      </c>
      <c r="I577" t="s">
        <v>1195</v>
      </c>
      <c r="J577">
        <v>2023</v>
      </c>
      <c r="K577" t="s">
        <v>666</v>
      </c>
      <c r="L577">
        <v>45089</v>
      </c>
      <c r="N577" t="s">
        <v>243</v>
      </c>
      <c r="P577" t="s">
        <v>2064</v>
      </c>
    </row>
    <row r="578" spans="1:16" x14ac:dyDescent="0.15">
      <c r="A578" t="s">
        <v>3005</v>
      </c>
      <c r="B578" t="s">
        <v>2065</v>
      </c>
      <c r="C578" t="s">
        <v>325</v>
      </c>
      <c r="D578" t="s">
        <v>818</v>
      </c>
      <c r="E578" t="s">
        <v>558</v>
      </c>
      <c r="F578" t="s">
        <v>819</v>
      </c>
      <c r="G578" t="s">
        <v>2066</v>
      </c>
      <c r="H578" t="s">
        <v>341</v>
      </c>
      <c r="I578" t="s">
        <v>1195</v>
      </c>
      <c r="J578">
        <v>2023</v>
      </c>
      <c r="K578" t="s">
        <v>521</v>
      </c>
      <c r="L578">
        <v>45142</v>
      </c>
      <c r="N578" t="s">
        <v>243</v>
      </c>
      <c r="P578" t="s">
        <v>2064</v>
      </c>
    </row>
    <row r="579" spans="1:16" x14ac:dyDescent="0.15">
      <c r="A579" t="s">
        <v>3006</v>
      </c>
      <c r="B579" t="s">
        <v>2067</v>
      </c>
      <c r="C579" t="s">
        <v>325</v>
      </c>
      <c r="D579" t="s">
        <v>2068</v>
      </c>
      <c r="F579" t="s">
        <v>2069</v>
      </c>
      <c r="H579" t="s">
        <v>485</v>
      </c>
      <c r="I579" t="s">
        <v>1195</v>
      </c>
      <c r="J579">
        <v>2023</v>
      </c>
      <c r="K579" t="s">
        <v>443</v>
      </c>
      <c r="L579">
        <v>45107</v>
      </c>
      <c r="N579" t="s">
        <v>243</v>
      </c>
      <c r="O579" t="s">
        <v>331</v>
      </c>
      <c r="P579" t="s">
        <v>2070</v>
      </c>
    </row>
    <row r="580" spans="1:16" x14ac:dyDescent="0.15">
      <c r="A580" t="s">
        <v>3007</v>
      </c>
      <c r="B580" t="s">
        <v>2071</v>
      </c>
      <c r="C580" t="s">
        <v>325</v>
      </c>
      <c r="D580" t="s">
        <v>687</v>
      </c>
      <c r="F580" t="s">
        <v>688</v>
      </c>
      <c r="G580" t="s">
        <v>2072</v>
      </c>
      <c r="H580" t="s">
        <v>388</v>
      </c>
      <c r="I580" t="s">
        <v>1195</v>
      </c>
      <c r="J580">
        <v>2023</v>
      </c>
      <c r="K580" t="s">
        <v>458</v>
      </c>
      <c r="L580">
        <v>45044</v>
      </c>
      <c r="N580" t="s">
        <v>243</v>
      </c>
      <c r="P580" t="s">
        <v>2073</v>
      </c>
    </row>
    <row r="581" spans="1:16" x14ac:dyDescent="0.15">
      <c r="A581" t="s">
        <v>3008</v>
      </c>
      <c r="B581" t="s">
        <v>2074</v>
      </c>
      <c r="C581" t="s">
        <v>325</v>
      </c>
      <c r="D581" t="s">
        <v>350</v>
      </c>
      <c r="F581" t="s">
        <v>1048</v>
      </c>
      <c r="H581" t="s">
        <v>351</v>
      </c>
      <c r="I581" t="s">
        <v>1195</v>
      </c>
      <c r="J581">
        <v>2023</v>
      </c>
      <c r="K581" t="s">
        <v>330</v>
      </c>
      <c r="L581">
        <v>45107</v>
      </c>
      <c r="N581" t="s">
        <v>243</v>
      </c>
      <c r="P581" t="s">
        <v>2075</v>
      </c>
    </row>
    <row r="582" spans="1:16" x14ac:dyDescent="0.15">
      <c r="A582" t="s">
        <v>3008</v>
      </c>
      <c r="B582" t="s">
        <v>2076</v>
      </c>
      <c r="C582" t="s">
        <v>325</v>
      </c>
      <c r="D582" t="s">
        <v>350</v>
      </c>
      <c r="F582" t="s">
        <v>1048</v>
      </c>
      <c r="H582" t="s">
        <v>351</v>
      </c>
      <c r="I582" t="s">
        <v>1195</v>
      </c>
      <c r="J582">
        <v>2023</v>
      </c>
      <c r="K582" t="s">
        <v>330</v>
      </c>
      <c r="L582">
        <v>45107</v>
      </c>
      <c r="N582" t="s">
        <v>243</v>
      </c>
      <c r="P582" t="s">
        <v>2075</v>
      </c>
    </row>
    <row r="583" spans="1:16" x14ac:dyDescent="0.15">
      <c r="A583" t="s">
        <v>3009</v>
      </c>
      <c r="B583" t="s">
        <v>2077</v>
      </c>
      <c r="C583" t="s">
        <v>325</v>
      </c>
      <c r="D583" t="s">
        <v>811</v>
      </c>
      <c r="F583" t="s">
        <v>811</v>
      </c>
      <c r="G583" t="s">
        <v>2078</v>
      </c>
      <c r="H583" t="s">
        <v>341</v>
      </c>
      <c r="I583" t="s">
        <v>1195</v>
      </c>
      <c r="J583">
        <v>2023</v>
      </c>
      <c r="K583" t="s">
        <v>458</v>
      </c>
      <c r="L583">
        <v>45047</v>
      </c>
      <c r="N583" t="s">
        <v>243</v>
      </c>
      <c r="P583" t="s">
        <v>2079</v>
      </c>
    </row>
    <row r="584" spans="1:16" x14ac:dyDescent="0.15">
      <c r="A584" t="s">
        <v>3009</v>
      </c>
      <c r="B584" t="s">
        <v>2080</v>
      </c>
      <c r="C584" t="s">
        <v>325</v>
      </c>
      <c r="D584" t="s">
        <v>811</v>
      </c>
      <c r="F584" t="s">
        <v>811</v>
      </c>
      <c r="G584" t="s">
        <v>2081</v>
      </c>
      <c r="H584" t="s">
        <v>341</v>
      </c>
      <c r="I584" t="s">
        <v>1195</v>
      </c>
      <c r="J584">
        <v>2023</v>
      </c>
      <c r="K584" t="s">
        <v>458</v>
      </c>
      <c r="L584">
        <v>45145</v>
      </c>
      <c r="N584" t="s">
        <v>243</v>
      </c>
      <c r="P584" t="s">
        <v>2079</v>
      </c>
    </row>
    <row r="585" spans="1:16" x14ac:dyDescent="0.15">
      <c r="A585" t="s">
        <v>3010</v>
      </c>
      <c r="B585" t="s">
        <v>2082</v>
      </c>
      <c r="C585" t="s">
        <v>325</v>
      </c>
      <c r="D585" t="s">
        <v>361</v>
      </c>
      <c r="F585" t="s">
        <v>479</v>
      </c>
      <c r="G585" t="s">
        <v>1494</v>
      </c>
      <c r="H585" t="s">
        <v>388</v>
      </c>
      <c r="I585" t="s">
        <v>1195</v>
      </c>
      <c r="J585">
        <v>2023</v>
      </c>
      <c r="K585" t="s">
        <v>458</v>
      </c>
      <c r="L585">
        <v>45064</v>
      </c>
      <c r="N585" t="s">
        <v>243</v>
      </c>
      <c r="P585" t="s">
        <v>2083</v>
      </c>
    </row>
    <row r="586" spans="1:16" x14ac:dyDescent="0.15">
      <c r="A586" t="s">
        <v>3011</v>
      </c>
      <c r="B586" t="s">
        <v>2084</v>
      </c>
      <c r="C586" t="s">
        <v>325</v>
      </c>
      <c r="D586" t="s">
        <v>415</v>
      </c>
      <c r="F586" t="s">
        <v>2085</v>
      </c>
      <c r="H586" t="s">
        <v>329</v>
      </c>
      <c r="I586" t="s">
        <v>1195</v>
      </c>
      <c r="J586">
        <v>2023</v>
      </c>
      <c r="K586" t="s">
        <v>443</v>
      </c>
      <c r="L586">
        <v>45198</v>
      </c>
      <c r="N586" t="s">
        <v>243</v>
      </c>
      <c r="O586" t="s">
        <v>331</v>
      </c>
      <c r="P586" t="s">
        <v>2086</v>
      </c>
    </row>
    <row r="587" spans="1:16" x14ac:dyDescent="0.15">
      <c r="A587" t="s">
        <v>3012</v>
      </c>
      <c r="B587" t="s">
        <v>2087</v>
      </c>
      <c r="C587" t="s">
        <v>325</v>
      </c>
      <c r="D587" t="s">
        <v>415</v>
      </c>
      <c r="F587" t="s">
        <v>1916</v>
      </c>
      <c r="G587" t="s">
        <v>2088</v>
      </c>
      <c r="H587" t="s">
        <v>384</v>
      </c>
      <c r="I587" t="s">
        <v>1195</v>
      </c>
      <c r="J587">
        <v>2023</v>
      </c>
      <c r="K587" t="s">
        <v>458</v>
      </c>
      <c r="L587">
        <v>45100</v>
      </c>
      <c r="N587" t="s">
        <v>243</v>
      </c>
      <c r="P587" t="s">
        <v>2089</v>
      </c>
    </row>
    <row r="588" spans="1:16" x14ac:dyDescent="0.15">
      <c r="A588" t="s">
        <v>3013</v>
      </c>
      <c r="B588" t="s">
        <v>2090</v>
      </c>
      <c r="C588" t="s">
        <v>325</v>
      </c>
      <c r="D588" t="s">
        <v>415</v>
      </c>
      <c r="F588" t="s">
        <v>2091</v>
      </c>
      <c r="G588" t="s">
        <v>1574</v>
      </c>
      <c r="H588" t="s">
        <v>624</v>
      </c>
      <c r="I588" t="s">
        <v>1195</v>
      </c>
      <c r="J588">
        <v>2023</v>
      </c>
      <c r="K588" t="s">
        <v>666</v>
      </c>
      <c r="L588">
        <v>45076</v>
      </c>
      <c r="N588" t="s">
        <v>336</v>
      </c>
      <c r="P588" t="s">
        <v>2092</v>
      </c>
    </row>
    <row r="589" spans="1:16" x14ac:dyDescent="0.15">
      <c r="A589" t="s">
        <v>3013</v>
      </c>
      <c r="B589" t="s">
        <v>2093</v>
      </c>
      <c r="C589" t="s">
        <v>325</v>
      </c>
      <c r="D589" t="s">
        <v>415</v>
      </c>
      <c r="F589" t="s">
        <v>2091</v>
      </c>
      <c r="G589" t="s">
        <v>1574</v>
      </c>
      <c r="H589" t="s">
        <v>624</v>
      </c>
      <c r="I589" t="s">
        <v>1195</v>
      </c>
      <c r="J589">
        <v>2023</v>
      </c>
      <c r="K589" t="s">
        <v>666</v>
      </c>
      <c r="L589">
        <v>45076</v>
      </c>
      <c r="N589" t="s">
        <v>10</v>
      </c>
      <c r="P589" t="s">
        <v>2092</v>
      </c>
    </row>
    <row r="590" spans="1:16" x14ac:dyDescent="0.15">
      <c r="A590" t="s">
        <v>3014</v>
      </c>
      <c r="B590" t="s">
        <v>2094</v>
      </c>
      <c r="C590" t="s">
        <v>325</v>
      </c>
      <c r="D590" t="s">
        <v>1328</v>
      </c>
      <c r="E590" t="s">
        <v>372</v>
      </c>
      <c r="F590" t="s">
        <v>2095</v>
      </c>
      <c r="G590" t="s">
        <v>2096</v>
      </c>
      <c r="H590" t="s">
        <v>374</v>
      </c>
      <c r="I590" t="s">
        <v>1195</v>
      </c>
      <c r="J590">
        <v>2023</v>
      </c>
      <c r="K590" t="s">
        <v>408</v>
      </c>
      <c r="L590">
        <v>45072</v>
      </c>
      <c r="N590" t="s">
        <v>336</v>
      </c>
      <c r="P590" t="s">
        <v>2097</v>
      </c>
    </row>
    <row r="591" spans="1:16" x14ac:dyDescent="0.15">
      <c r="A591" t="s">
        <v>3015</v>
      </c>
      <c r="B591" t="s">
        <v>2098</v>
      </c>
      <c r="C591" t="s">
        <v>325</v>
      </c>
      <c r="D591" t="s">
        <v>326</v>
      </c>
      <c r="F591" t="s">
        <v>2099</v>
      </c>
      <c r="H591" t="s">
        <v>2053</v>
      </c>
      <c r="I591" t="s">
        <v>1195</v>
      </c>
      <c r="J591">
        <v>2023</v>
      </c>
      <c r="K591" t="s">
        <v>458</v>
      </c>
      <c r="L591">
        <v>45138</v>
      </c>
      <c r="N591" t="s">
        <v>597</v>
      </c>
      <c r="P591" t="s">
        <v>2100</v>
      </c>
    </row>
    <row r="592" spans="1:16" x14ac:dyDescent="0.15">
      <c r="A592" t="s">
        <v>3016</v>
      </c>
      <c r="B592" t="s">
        <v>2101</v>
      </c>
      <c r="C592" t="s">
        <v>325</v>
      </c>
      <c r="D592" t="s">
        <v>415</v>
      </c>
      <c r="E592" t="s">
        <v>2102</v>
      </c>
      <c r="F592" t="s">
        <v>2103</v>
      </c>
      <c r="H592" t="s">
        <v>1012</v>
      </c>
      <c r="I592" t="s">
        <v>1195</v>
      </c>
      <c r="J592">
        <v>2023</v>
      </c>
      <c r="K592" t="s">
        <v>330</v>
      </c>
      <c r="L592">
        <v>45128</v>
      </c>
      <c r="N592" t="s">
        <v>243</v>
      </c>
      <c r="P592" t="s">
        <v>2104</v>
      </c>
    </row>
    <row r="593" spans="1:16" x14ac:dyDescent="0.15">
      <c r="A593" t="s">
        <v>3017</v>
      </c>
      <c r="B593" t="s">
        <v>2105</v>
      </c>
      <c r="C593" t="s">
        <v>325</v>
      </c>
      <c r="D593" t="s">
        <v>345</v>
      </c>
      <c r="E593" t="s">
        <v>483</v>
      </c>
      <c r="F593" t="s">
        <v>722</v>
      </c>
      <c r="G593" t="s">
        <v>2106</v>
      </c>
      <c r="H593" t="s">
        <v>578</v>
      </c>
      <c r="I593" t="s">
        <v>1195</v>
      </c>
      <c r="J593">
        <v>2023</v>
      </c>
      <c r="K593" t="s">
        <v>458</v>
      </c>
      <c r="L593">
        <v>45173</v>
      </c>
      <c r="N593" t="s">
        <v>243</v>
      </c>
      <c r="P593" t="s">
        <v>2107</v>
      </c>
    </row>
    <row r="594" spans="1:16" x14ac:dyDescent="0.15">
      <c r="A594" t="s">
        <v>3018</v>
      </c>
      <c r="B594" t="s">
        <v>2108</v>
      </c>
      <c r="C594" t="s">
        <v>325</v>
      </c>
      <c r="D594" t="s">
        <v>345</v>
      </c>
      <c r="E594" t="s">
        <v>2109</v>
      </c>
      <c r="F594" t="s">
        <v>2109</v>
      </c>
      <c r="H594" t="s">
        <v>680</v>
      </c>
      <c r="I594" t="s">
        <v>1195</v>
      </c>
      <c r="J594">
        <v>2023</v>
      </c>
      <c r="K594" t="s">
        <v>408</v>
      </c>
      <c r="L594">
        <v>45322</v>
      </c>
      <c r="M594" t="s">
        <v>3210</v>
      </c>
      <c r="N594" t="s">
        <v>10</v>
      </c>
      <c r="P594" t="s">
        <v>2110</v>
      </c>
    </row>
    <row r="595" spans="1:16" x14ac:dyDescent="0.15">
      <c r="A595" t="s">
        <v>3019</v>
      </c>
      <c r="B595" t="s">
        <v>2111</v>
      </c>
      <c r="C595" t="s">
        <v>325</v>
      </c>
      <c r="D595" t="s">
        <v>2112</v>
      </c>
      <c r="E595" t="s">
        <v>2102</v>
      </c>
      <c r="F595" t="s">
        <v>2113</v>
      </c>
      <c r="G595" t="s">
        <v>2114</v>
      </c>
      <c r="H595" t="s">
        <v>368</v>
      </c>
      <c r="I595" t="s">
        <v>1195</v>
      </c>
      <c r="J595">
        <v>2023</v>
      </c>
      <c r="K595" t="s">
        <v>330</v>
      </c>
      <c r="L595">
        <v>45107</v>
      </c>
      <c r="N595" t="s">
        <v>243</v>
      </c>
      <c r="P595" t="s">
        <v>2115</v>
      </c>
    </row>
    <row r="596" spans="1:16" x14ac:dyDescent="0.15">
      <c r="A596" t="s">
        <v>3019</v>
      </c>
      <c r="B596" t="s">
        <v>2116</v>
      </c>
      <c r="C596" t="s">
        <v>325</v>
      </c>
      <c r="D596" t="s">
        <v>2112</v>
      </c>
      <c r="E596" t="s">
        <v>2102</v>
      </c>
      <c r="F596" t="s">
        <v>2113</v>
      </c>
      <c r="G596" t="s">
        <v>2117</v>
      </c>
      <c r="H596" t="s">
        <v>368</v>
      </c>
      <c r="I596" t="s">
        <v>1195</v>
      </c>
      <c r="J596">
        <v>2023</v>
      </c>
      <c r="K596" t="s">
        <v>330</v>
      </c>
      <c r="L596">
        <v>45138</v>
      </c>
      <c r="N596" t="s">
        <v>243</v>
      </c>
      <c r="P596" t="s">
        <v>2115</v>
      </c>
    </row>
    <row r="597" spans="1:16" x14ac:dyDescent="0.15">
      <c r="A597" t="s">
        <v>3020</v>
      </c>
      <c r="B597" t="s">
        <v>2118</v>
      </c>
      <c r="C597" t="s">
        <v>325</v>
      </c>
      <c r="D597" t="s">
        <v>415</v>
      </c>
      <c r="F597" t="s">
        <v>577</v>
      </c>
      <c r="H597" t="s">
        <v>388</v>
      </c>
      <c r="I597" t="s">
        <v>1195</v>
      </c>
      <c r="J597">
        <v>2023</v>
      </c>
      <c r="K597" t="s">
        <v>2119</v>
      </c>
      <c r="L597">
        <v>45168</v>
      </c>
      <c r="N597" t="s">
        <v>243</v>
      </c>
      <c r="P597" t="s">
        <v>2120</v>
      </c>
    </row>
    <row r="598" spans="1:16" x14ac:dyDescent="0.15">
      <c r="A598" t="s">
        <v>3021</v>
      </c>
      <c r="B598" t="s">
        <v>2121</v>
      </c>
      <c r="C598" t="s">
        <v>325</v>
      </c>
      <c r="D598" t="s">
        <v>326</v>
      </c>
      <c r="F598" t="s">
        <v>2122</v>
      </c>
      <c r="H598" t="s">
        <v>1860</v>
      </c>
      <c r="I598" t="s">
        <v>1195</v>
      </c>
      <c r="J598">
        <v>2023</v>
      </c>
      <c r="K598" t="s">
        <v>408</v>
      </c>
      <c r="L598">
        <v>45217</v>
      </c>
      <c r="N598" t="s">
        <v>243</v>
      </c>
      <c r="P598" t="s">
        <v>2123</v>
      </c>
    </row>
    <row r="599" spans="1:16" x14ac:dyDescent="0.15">
      <c r="A599" t="s">
        <v>3021</v>
      </c>
      <c r="B599" t="s">
        <v>2124</v>
      </c>
      <c r="C599" t="s">
        <v>325</v>
      </c>
      <c r="D599" t="s">
        <v>326</v>
      </c>
      <c r="F599" t="s">
        <v>2122</v>
      </c>
      <c r="H599" t="s">
        <v>1860</v>
      </c>
      <c r="I599" t="s">
        <v>1195</v>
      </c>
      <c r="J599">
        <v>2023</v>
      </c>
      <c r="K599" t="s">
        <v>408</v>
      </c>
      <c r="L599">
        <v>45217</v>
      </c>
      <c r="N599" t="s">
        <v>243</v>
      </c>
      <c r="P599" t="s">
        <v>2123</v>
      </c>
    </row>
    <row r="600" spans="1:16" x14ac:dyDescent="0.15">
      <c r="A600" t="s">
        <v>3021</v>
      </c>
      <c r="B600" t="s">
        <v>2125</v>
      </c>
      <c r="C600" t="s">
        <v>325</v>
      </c>
      <c r="D600" t="s">
        <v>326</v>
      </c>
      <c r="F600" t="s">
        <v>2122</v>
      </c>
      <c r="H600" t="s">
        <v>1860</v>
      </c>
      <c r="I600" t="s">
        <v>1195</v>
      </c>
      <c r="J600">
        <v>2023</v>
      </c>
      <c r="K600" t="s">
        <v>408</v>
      </c>
      <c r="L600">
        <v>45275</v>
      </c>
      <c r="N600" t="s">
        <v>243</v>
      </c>
      <c r="P600" t="s">
        <v>2123</v>
      </c>
    </row>
    <row r="601" spans="1:16" x14ac:dyDescent="0.15">
      <c r="A601" t="s">
        <v>3022</v>
      </c>
      <c r="B601" t="s">
        <v>2126</v>
      </c>
      <c r="C601" t="s">
        <v>325</v>
      </c>
      <c r="D601" t="s">
        <v>1362</v>
      </c>
      <c r="I601" t="s">
        <v>1195</v>
      </c>
      <c r="K601" t="s">
        <v>458</v>
      </c>
      <c r="L601">
        <v>45205</v>
      </c>
      <c r="N601" t="s">
        <v>243</v>
      </c>
      <c r="P601" t="s">
        <v>2127</v>
      </c>
    </row>
    <row r="602" spans="1:16" x14ac:dyDescent="0.15">
      <c r="A602" t="s">
        <v>3023</v>
      </c>
      <c r="B602" t="s">
        <v>2128</v>
      </c>
      <c r="C602" t="s">
        <v>325</v>
      </c>
      <c r="D602" t="s">
        <v>326</v>
      </c>
      <c r="F602" t="s">
        <v>2129</v>
      </c>
      <c r="G602" t="s">
        <v>2130</v>
      </c>
      <c r="I602" t="s">
        <v>1195</v>
      </c>
      <c r="J602">
        <v>2023</v>
      </c>
      <c r="K602" t="s">
        <v>458</v>
      </c>
      <c r="L602">
        <v>45187</v>
      </c>
      <c r="N602" t="s">
        <v>336</v>
      </c>
      <c r="P602" t="s">
        <v>2131</v>
      </c>
    </row>
    <row r="603" spans="1:16" x14ac:dyDescent="0.15">
      <c r="A603" t="s">
        <v>3024</v>
      </c>
      <c r="B603" t="s">
        <v>2132</v>
      </c>
      <c r="C603" t="s">
        <v>325</v>
      </c>
      <c r="D603" t="s">
        <v>326</v>
      </c>
      <c r="F603" t="s">
        <v>1685</v>
      </c>
      <c r="H603" t="s">
        <v>578</v>
      </c>
      <c r="I603" t="s">
        <v>1195</v>
      </c>
      <c r="J603">
        <v>2023</v>
      </c>
      <c r="K603" t="s">
        <v>443</v>
      </c>
      <c r="L603">
        <v>45169</v>
      </c>
      <c r="N603" t="s">
        <v>243</v>
      </c>
      <c r="O603" t="s">
        <v>331</v>
      </c>
      <c r="P603" t="s">
        <v>2133</v>
      </c>
    </row>
    <row r="604" spans="1:16" x14ac:dyDescent="0.15">
      <c r="A604" t="s">
        <v>3025</v>
      </c>
      <c r="B604" t="s">
        <v>2134</v>
      </c>
      <c r="C604" t="s">
        <v>325</v>
      </c>
      <c r="D604" t="s">
        <v>970</v>
      </c>
      <c r="E604" t="s">
        <v>970</v>
      </c>
      <c r="F604" t="s">
        <v>2135</v>
      </c>
      <c r="G604" t="s">
        <v>2136</v>
      </c>
      <c r="H604" t="s">
        <v>499</v>
      </c>
      <c r="I604" t="s">
        <v>1195</v>
      </c>
      <c r="J604">
        <v>2023</v>
      </c>
      <c r="K604" t="s">
        <v>330</v>
      </c>
      <c r="L604">
        <v>45198</v>
      </c>
      <c r="N604" t="s">
        <v>243</v>
      </c>
      <c r="P604" t="s">
        <v>2137</v>
      </c>
    </row>
    <row r="605" spans="1:16" x14ac:dyDescent="0.15">
      <c r="A605" t="s">
        <v>3026</v>
      </c>
      <c r="B605" t="s">
        <v>2138</v>
      </c>
      <c r="C605" t="s">
        <v>325</v>
      </c>
      <c r="D605" t="s">
        <v>2139</v>
      </c>
      <c r="E605" t="s">
        <v>372</v>
      </c>
      <c r="F605" t="s">
        <v>2140</v>
      </c>
      <c r="G605" t="s">
        <v>2141</v>
      </c>
      <c r="H605" t="s">
        <v>374</v>
      </c>
      <c r="I605" t="s">
        <v>1195</v>
      </c>
      <c r="J605">
        <v>2023</v>
      </c>
      <c r="K605" t="s">
        <v>408</v>
      </c>
      <c r="L605">
        <v>45198</v>
      </c>
      <c r="N605" t="s">
        <v>243</v>
      </c>
      <c r="P605" t="s">
        <v>2142</v>
      </c>
    </row>
    <row r="606" spans="1:16" x14ac:dyDescent="0.15">
      <c r="A606" t="s">
        <v>3027</v>
      </c>
      <c r="B606" t="s">
        <v>2143</v>
      </c>
      <c r="C606" t="s">
        <v>325</v>
      </c>
      <c r="D606" t="s">
        <v>415</v>
      </c>
      <c r="E606" t="s">
        <v>738</v>
      </c>
      <c r="F606" t="s">
        <v>2144</v>
      </c>
      <c r="G606" t="s">
        <v>2145</v>
      </c>
      <c r="H606" t="s">
        <v>374</v>
      </c>
      <c r="I606" t="s">
        <v>1195</v>
      </c>
      <c r="J606">
        <v>2023</v>
      </c>
      <c r="K606" t="s">
        <v>2119</v>
      </c>
      <c r="L606">
        <v>45142</v>
      </c>
      <c r="N606" t="s">
        <v>243</v>
      </c>
      <c r="P606" t="s">
        <v>2146</v>
      </c>
    </row>
    <row r="607" spans="1:16" x14ac:dyDescent="0.15">
      <c r="A607" t="s">
        <v>3028</v>
      </c>
      <c r="B607" t="s">
        <v>2147</v>
      </c>
      <c r="C607" t="s">
        <v>325</v>
      </c>
      <c r="D607" t="s">
        <v>2148</v>
      </c>
      <c r="E607" t="s">
        <v>2149</v>
      </c>
      <c r="F607" t="s">
        <v>2150</v>
      </c>
      <c r="H607" t="s">
        <v>341</v>
      </c>
      <c r="I607" t="s">
        <v>1195</v>
      </c>
      <c r="J607">
        <v>2023</v>
      </c>
      <c r="K607" t="s">
        <v>666</v>
      </c>
      <c r="L607">
        <v>45199</v>
      </c>
      <c r="N607" t="s">
        <v>243</v>
      </c>
      <c r="P607" t="s">
        <v>2151</v>
      </c>
    </row>
    <row r="608" spans="1:16" x14ac:dyDescent="0.15">
      <c r="A608" t="s">
        <v>3028</v>
      </c>
      <c r="B608" t="s">
        <v>2152</v>
      </c>
      <c r="C608" t="s">
        <v>325</v>
      </c>
      <c r="D608" t="s">
        <v>2148</v>
      </c>
      <c r="E608" t="s">
        <v>2149</v>
      </c>
      <c r="F608" t="s">
        <v>2150</v>
      </c>
      <c r="G608" t="s">
        <v>2153</v>
      </c>
      <c r="H608" t="s">
        <v>341</v>
      </c>
      <c r="I608" t="s">
        <v>1195</v>
      </c>
      <c r="J608">
        <v>2023</v>
      </c>
      <c r="K608" t="s">
        <v>666</v>
      </c>
      <c r="L608">
        <v>45229</v>
      </c>
      <c r="N608" t="s">
        <v>243</v>
      </c>
      <c r="P608" t="s">
        <v>2151</v>
      </c>
    </row>
    <row r="609" spans="1:16" x14ac:dyDescent="0.15">
      <c r="A609" t="s">
        <v>3029</v>
      </c>
      <c r="B609" t="s">
        <v>2154</v>
      </c>
      <c r="C609" t="s">
        <v>325</v>
      </c>
      <c r="D609" t="s">
        <v>2155</v>
      </c>
      <c r="E609" t="s">
        <v>2155</v>
      </c>
      <c r="F609" t="s">
        <v>2156</v>
      </c>
      <c r="H609" t="s">
        <v>2157</v>
      </c>
      <c r="I609" t="s">
        <v>1195</v>
      </c>
      <c r="J609">
        <v>2023</v>
      </c>
      <c r="K609" t="s">
        <v>2119</v>
      </c>
      <c r="L609">
        <v>45187</v>
      </c>
      <c r="N609" t="s">
        <v>243</v>
      </c>
      <c r="P609" t="s">
        <v>2158</v>
      </c>
    </row>
    <row r="610" spans="1:16" x14ac:dyDescent="0.15">
      <c r="A610" t="s">
        <v>3030</v>
      </c>
      <c r="B610" t="s">
        <v>2159</v>
      </c>
      <c r="C610" t="s">
        <v>325</v>
      </c>
      <c r="D610" t="s">
        <v>404</v>
      </c>
      <c r="E610" t="s">
        <v>2160</v>
      </c>
      <c r="G610" t="s">
        <v>2161</v>
      </c>
      <c r="H610" t="s">
        <v>2162</v>
      </c>
      <c r="I610" t="s">
        <v>1195</v>
      </c>
      <c r="J610">
        <v>2023</v>
      </c>
      <c r="K610" t="s">
        <v>330</v>
      </c>
      <c r="N610" t="s">
        <v>243</v>
      </c>
      <c r="P610" t="s">
        <v>2163</v>
      </c>
    </row>
    <row r="611" spans="1:16" x14ac:dyDescent="0.15">
      <c r="A611" t="s">
        <v>3030</v>
      </c>
      <c r="B611" t="s">
        <v>2164</v>
      </c>
      <c r="C611" t="s">
        <v>325</v>
      </c>
      <c r="D611" t="s">
        <v>404</v>
      </c>
      <c r="E611" t="s">
        <v>2160</v>
      </c>
      <c r="H611" t="s">
        <v>2162</v>
      </c>
      <c r="I611" t="s">
        <v>1195</v>
      </c>
      <c r="J611">
        <v>2023</v>
      </c>
      <c r="K611" t="s">
        <v>330</v>
      </c>
      <c r="N611" t="s">
        <v>336</v>
      </c>
      <c r="P611" t="s">
        <v>2163</v>
      </c>
    </row>
    <row r="612" spans="1:16" x14ac:dyDescent="0.15">
      <c r="A612" t="s">
        <v>3031</v>
      </c>
      <c r="B612" t="s">
        <v>2165</v>
      </c>
      <c r="C612" t="s">
        <v>325</v>
      </c>
      <c r="D612" t="s">
        <v>738</v>
      </c>
      <c r="F612" t="s">
        <v>2113</v>
      </c>
      <c r="G612" t="s">
        <v>2166</v>
      </c>
      <c r="H612" t="s">
        <v>368</v>
      </c>
      <c r="I612" t="s">
        <v>1195</v>
      </c>
      <c r="J612">
        <v>2023</v>
      </c>
      <c r="K612" t="s">
        <v>458</v>
      </c>
      <c r="L612">
        <v>45223</v>
      </c>
      <c r="N612" t="s">
        <v>336</v>
      </c>
      <c r="P612" t="s">
        <v>2167</v>
      </c>
    </row>
    <row r="613" spans="1:16" x14ac:dyDescent="0.15">
      <c r="A613" t="s">
        <v>3032</v>
      </c>
      <c r="C613" t="s">
        <v>325</v>
      </c>
      <c r="D613" t="s">
        <v>2035</v>
      </c>
      <c r="F613" t="s">
        <v>2168</v>
      </c>
      <c r="G613" t="s">
        <v>2169</v>
      </c>
      <c r="H613" t="s">
        <v>384</v>
      </c>
      <c r="I613" t="s">
        <v>1195</v>
      </c>
      <c r="J613">
        <v>2023</v>
      </c>
      <c r="K613" t="s">
        <v>666</v>
      </c>
      <c r="M613" t="s">
        <v>2170</v>
      </c>
      <c r="N613" t="s">
        <v>243</v>
      </c>
      <c r="P613" t="s">
        <v>2171</v>
      </c>
    </row>
    <row r="614" spans="1:16" x14ac:dyDescent="0.15">
      <c r="A614" t="s">
        <v>3032</v>
      </c>
      <c r="C614" t="s">
        <v>325</v>
      </c>
      <c r="D614" t="s">
        <v>2035</v>
      </c>
      <c r="F614" t="s">
        <v>2168</v>
      </c>
      <c r="G614" t="s">
        <v>2172</v>
      </c>
      <c r="H614" t="s">
        <v>384</v>
      </c>
      <c r="I614" t="s">
        <v>1195</v>
      </c>
      <c r="J614">
        <v>2023</v>
      </c>
      <c r="K614" t="s">
        <v>666</v>
      </c>
      <c r="M614" t="s">
        <v>2170</v>
      </c>
      <c r="N614" t="s">
        <v>243</v>
      </c>
      <c r="P614" t="s">
        <v>2171</v>
      </c>
    </row>
    <row r="615" spans="1:16" x14ac:dyDescent="0.15">
      <c r="A615" t="s">
        <v>3033</v>
      </c>
      <c r="B615" t="s">
        <v>2173</v>
      </c>
      <c r="C615" t="s">
        <v>325</v>
      </c>
      <c r="D615" t="s">
        <v>326</v>
      </c>
      <c r="F615" t="s">
        <v>1685</v>
      </c>
      <c r="H615" t="s">
        <v>578</v>
      </c>
      <c r="I615" t="s">
        <v>1195</v>
      </c>
      <c r="J615">
        <v>2023</v>
      </c>
      <c r="K615" t="s">
        <v>443</v>
      </c>
      <c r="L615">
        <v>45132</v>
      </c>
      <c r="N615" t="s">
        <v>243</v>
      </c>
      <c r="O615" t="s">
        <v>331</v>
      </c>
      <c r="P615" t="s">
        <v>2174</v>
      </c>
    </row>
    <row r="616" spans="1:16" x14ac:dyDescent="0.15">
      <c r="A616" t="s">
        <v>3034</v>
      </c>
      <c r="B616" t="s">
        <v>2175</v>
      </c>
      <c r="C616" t="s">
        <v>325</v>
      </c>
      <c r="D616" t="s">
        <v>953</v>
      </c>
      <c r="F616" t="s">
        <v>2176</v>
      </c>
      <c r="H616" t="s">
        <v>1720</v>
      </c>
      <c r="I616" t="s">
        <v>1195</v>
      </c>
      <c r="J616">
        <v>2023</v>
      </c>
      <c r="K616" t="s">
        <v>443</v>
      </c>
      <c r="L616">
        <v>45497</v>
      </c>
      <c r="N616" t="s">
        <v>243</v>
      </c>
      <c r="O616" t="s">
        <v>331</v>
      </c>
      <c r="P616" t="s">
        <v>2177</v>
      </c>
    </row>
    <row r="617" spans="1:16" x14ac:dyDescent="0.15">
      <c r="A617" t="s">
        <v>3035</v>
      </c>
      <c r="B617" t="s">
        <v>2178</v>
      </c>
      <c r="C617" t="s">
        <v>325</v>
      </c>
      <c r="D617" t="s">
        <v>1144</v>
      </c>
      <c r="E617" t="s">
        <v>1144</v>
      </c>
      <c r="F617" t="s">
        <v>1635</v>
      </c>
      <c r="G617" t="s">
        <v>2179</v>
      </c>
      <c r="H617" t="s">
        <v>341</v>
      </c>
      <c r="I617" t="s">
        <v>1195</v>
      </c>
      <c r="J617">
        <v>2023</v>
      </c>
      <c r="K617" t="s">
        <v>330</v>
      </c>
      <c r="N617" t="s">
        <v>2</v>
      </c>
      <c r="P617" t="s">
        <v>2180</v>
      </c>
    </row>
    <row r="618" spans="1:16" x14ac:dyDescent="0.15">
      <c r="A618" t="s">
        <v>3036</v>
      </c>
      <c r="B618" t="s">
        <v>2181</v>
      </c>
      <c r="C618" t="s">
        <v>325</v>
      </c>
      <c r="D618" t="s">
        <v>345</v>
      </c>
      <c r="E618" t="s">
        <v>2182</v>
      </c>
      <c r="F618" t="s">
        <v>2182</v>
      </c>
      <c r="H618" t="s">
        <v>1902</v>
      </c>
      <c r="I618" t="s">
        <v>1195</v>
      </c>
      <c r="J618">
        <v>2023</v>
      </c>
      <c r="K618" t="s">
        <v>2119</v>
      </c>
      <c r="L618">
        <v>45260</v>
      </c>
      <c r="N618" t="s">
        <v>943</v>
      </c>
      <c r="P618" t="s">
        <v>2183</v>
      </c>
    </row>
    <row r="619" spans="1:16" x14ac:dyDescent="0.15">
      <c r="A619" t="s">
        <v>3037</v>
      </c>
      <c r="B619" t="s">
        <v>2184</v>
      </c>
      <c r="C619" t="s">
        <v>325</v>
      </c>
      <c r="D619" t="s">
        <v>345</v>
      </c>
      <c r="E619" t="s">
        <v>2185</v>
      </c>
      <c r="F619" t="s">
        <v>2185</v>
      </c>
      <c r="H619" t="s">
        <v>874</v>
      </c>
      <c r="I619" t="s">
        <v>1195</v>
      </c>
      <c r="J619">
        <v>2023</v>
      </c>
      <c r="K619" t="s">
        <v>2119</v>
      </c>
      <c r="L619">
        <v>45229</v>
      </c>
      <c r="N619" t="s">
        <v>243</v>
      </c>
      <c r="P619" t="s">
        <v>2186</v>
      </c>
    </row>
    <row r="620" spans="1:16" x14ac:dyDescent="0.15">
      <c r="A620" t="s">
        <v>3038</v>
      </c>
      <c r="B620" t="s">
        <v>2187</v>
      </c>
      <c r="C620" t="s">
        <v>325</v>
      </c>
      <c r="D620" t="s">
        <v>2188</v>
      </c>
      <c r="F620" t="s">
        <v>2189</v>
      </c>
      <c r="H620" t="s">
        <v>485</v>
      </c>
      <c r="I620" t="s">
        <v>1195</v>
      </c>
      <c r="J620">
        <v>2023</v>
      </c>
      <c r="K620" t="s">
        <v>443</v>
      </c>
      <c r="L620">
        <v>45229</v>
      </c>
      <c r="N620" t="s">
        <v>243</v>
      </c>
      <c r="O620" t="s">
        <v>331</v>
      </c>
      <c r="P620" t="s">
        <v>2190</v>
      </c>
    </row>
    <row r="621" spans="1:16" x14ac:dyDescent="0.15">
      <c r="A621" t="s">
        <v>3039</v>
      </c>
      <c r="B621" t="s">
        <v>2191</v>
      </c>
      <c r="C621" t="s">
        <v>325</v>
      </c>
      <c r="D621" t="s">
        <v>483</v>
      </c>
      <c r="F621" t="s">
        <v>2027</v>
      </c>
      <c r="G621" t="s">
        <v>2192</v>
      </c>
      <c r="H621" t="s">
        <v>578</v>
      </c>
      <c r="I621" t="s">
        <v>1195</v>
      </c>
      <c r="J621">
        <v>2023</v>
      </c>
      <c r="K621" t="s">
        <v>458</v>
      </c>
      <c r="L621">
        <v>45198</v>
      </c>
      <c r="N621" t="s">
        <v>243</v>
      </c>
      <c r="P621" t="s">
        <v>2193</v>
      </c>
    </row>
    <row r="622" spans="1:16" x14ac:dyDescent="0.15">
      <c r="A622" t="s">
        <v>3040</v>
      </c>
      <c r="B622" t="s">
        <v>2194</v>
      </c>
      <c r="C622" t="s">
        <v>325</v>
      </c>
      <c r="D622" t="s">
        <v>1328</v>
      </c>
      <c r="E622" t="s">
        <v>372</v>
      </c>
      <c r="F622" t="s">
        <v>2095</v>
      </c>
      <c r="H622" t="s">
        <v>374</v>
      </c>
      <c r="I622" t="s">
        <v>1195</v>
      </c>
      <c r="J622">
        <v>2023</v>
      </c>
      <c r="K622" t="s">
        <v>2119</v>
      </c>
      <c r="N622" t="s">
        <v>243</v>
      </c>
      <c r="P622" t="s">
        <v>2195</v>
      </c>
    </row>
    <row r="623" spans="1:16" x14ac:dyDescent="0.15">
      <c r="A623" t="s">
        <v>3041</v>
      </c>
      <c r="B623" t="s">
        <v>2196</v>
      </c>
      <c r="C623" t="s">
        <v>325</v>
      </c>
      <c r="D623" t="s">
        <v>326</v>
      </c>
      <c r="F623" t="s">
        <v>548</v>
      </c>
      <c r="H623" t="s">
        <v>485</v>
      </c>
      <c r="I623" t="s">
        <v>1195</v>
      </c>
      <c r="J623">
        <v>2023</v>
      </c>
      <c r="K623" t="s">
        <v>443</v>
      </c>
      <c r="L623">
        <v>45251</v>
      </c>
      <c r="N623" t="s">
        <v>243</v>
      </c>
      <c r="O623" t="s">
        <v>331</v>
      </c>
      <c r="P623" t="s">
        <v>2197</v>
      </c>
    </row>
    <row r="624" spans="1:16" x14ac:dyDescent="0.15">
      <c r="A624" t="s">
        <v>3042</v>
      </c>
      <c r="B624" t="s">
        <v>2198</v>
      </c>
      <c r="C624" t="s">
        <v>325</v>
      </c>
      <c r="D624" t="s">
        <v>326</v>
      </c>
      <c r="F624" t="s">
        <v>2199</v>
      </c>
      <c r="H624" t="s">
        <v>1473</v>
      </c>
      <c r="I624" t="s">
        <v>1195</v>
      </c>
      <c r="J624">
        <v>2023</v>
      </c>
      <c r="K624" t="s">
        <v>408</v>
      </c>
      <c r="L624">
        <v>45275</v>
      </c>
      <c r="N624" t="s">
        <v>243</v>
      </c>
      <c r="P624" t="s">
        <v>2200</v>
      </c>
    </row>
    <row r="625" spans="1:16" x14ac:dyDescent="0.15">
      <c r="A625" t="s">
        <v>3043</v>
      </c>
      <c r="B625" t="s">
        <v>2201</v>
      </c>
      <c r="C625" t="s">
        <v>325</v>
      </c>
      <c r="D625" t="s">
        <v>593</v>
      </c>
      <c r="F625" t="s">
        <v>2202</v>
      </c>
      <c r="H625" t="s">
        <v>2203</v>
      </c>
      <c r="I625" t="s">
        <v>1195</v>
      </c>
      <c r="J625">
        <v>2023</v>
      </c>
      <c r="K625" t="s">
        <v>2</v>
      </c>
      <c r="L625">
        <v>45231</v>
      </c>
      <c r="M625" t="s">
        <v>2204</v>
      </c>
      <c r="N625" t="s">
        <v>10</v>
      </c>
      <c r="P625" t="s">
        <v>2205</v>
      </c>
    </row>
    <row r="626" spans="1:16" x14ac:dyDescent="0.15">
      <c r="A626" t="s">
        <v>3044</v>
      </c>
      <c r="B626" t="s">
        <v>2206</v>
      </c>
      <c r="C626" t="s">
        <v>325</v>
      </c>
      <c r="D626" t="s">
        <v>377</v>
      </c>
      <c r="F626" t="s">
        <v>873</v>
      </c>
      <c r="G626" t="s">
        <v>2207</v>
      </c>
      <c r="H626" t="s">
        <v>874</v>
      </c>
      <c r="I626" t="s">
        <v>1195</v>
      </c>
      <c r="J626">
        <v>2023</v>
      </c>
      <c r="K626" t="s">
        <v>2119</v>
      </c>
      <c r="L626">
        <v>45236</v>
      </c>
      <c r="N626" t="s">
        <v>243</v>
      </c>
      <c r="P626" t="s">
        <v>2208</v>
      </c>
    </row>
    <row r="627" spans="1:16" x14ac:dyDescent="0.15">
      <c r="A627" t="s">
        <v>3045</v>
      </c>
      <c r="B627" t="s">
        <v>2209</v>
      </c>
      <c r="C627" t="s">
        <v>325</v>
      </c>
      <c r="D627" t="s">
        <v>593</v>
      </c>
      <c r="F627" t="s">
        <v>1635</v>
      </c>
      <c r="G627" t="s">
        <v>2210</v>
      </c>
      <c r="H627" t="s">
        <v>341</v>
      </c>
      <c r="I627" t="s">
        <v>1195</v>
      </c>
      <c r="J627">
        <v>2023</v>
      </c>
      <c r="K627" t="s">
        <v>458</v>
      </c>
      <c r="L627">
        <v>45212</v>
      </c>
      <c r="N627" t="s">
        <v>243</v>
      </c>
      <c r="P627" t="s">
        <v>2211</v>
      </c>
    </row>
    <row r="628" spans="1:16" x14ac:dyDescent="0.15">
      <c r="A628" t="s">
        <v>3046</v>
      </c>
      <c r="B628" t="s">
        <v>2212</v>
      </c>
      <c r="C628" t="s">
        <v>325</v>
      </c>
      <c r="D628" t="s">
        <v>570</v>
      </c>
      <c r="E628" t="s">
        <v>988</v>
      </c>
      <c r="F628" t="s">
        <v>988</v>
      </c>
      <c r="G628" t="s">
        <v>2213</v>
      </c>
      <c r="H628" t="s">
        <v>341</v>
      </c>
      <c r="I628" t="s">
        <v>1195</v>
      </c>
      <c r="J628">
        <v>2023</v>
      </c>
      <c r="K628" t="s">
        <v>521</v>
      </c>
      <c r="L628">
        <v>45271</v>
      </c>
      <c r="N628" t="s">
        <v>243</v>
      </c>
      <c r="P628" t="s">
        <v>2214</v>
      </c>
    </row>
    <row r="629" spans="1:16" x14ac:dyDescent="0.15">
      <c r="A629" t="s">
        <v>3047</v>
      </c>
      <c r="B629" t="s">
        <v>2215</v>
      </c>
      <c r="C629" t="s">
        <v>325</v>
      </c>
      <c r="D629" t="s">
        <v>2216</v>
      </c>
      <c r="F629" t="s">
        <v>2217</v>
      </c>
      <c r="H629" t="s">
        <v>874</v>
      </c>
      <c r="I629" t="s">
        <v>1195</v>
      </c>
      <c r="J629">
        <v>2023</v>
      </c>
      <c r="K629" t="s">
        <v>408</v>
      </c>
      <c r="L629">
        <v>45260</v>
      </c>
      <c r="N629" t="s">
        <v>243</v>
      </c>
      <c r="P629" t="s">
        <v>2218</v>
      </c>
    </row>
    <row r="630" spans="1:16" x14ac:dyDescent="0.15">
      <c r="A630" t="s">
        <v>3048</v>
      </c>
      <c r="B630" t="s">
        <v>2219</v>
      </c>
      <c r="C630" t="s">
        <v>325</v>
      </c>
      <c r="D630" t="s">
        <v>1328</v>
      </c>
      <c r="E630" t="s">
        <v>372</v>
      </c>
      <c r="F630" t="s">
        <v>1971</v>
      </c>
      <c r="G630" t="s">
        <v>2220</v>
      </c>
      <c r="H630" t="s">
        <v>449</v>
      </c>
      <c r="I630" t="s">
        <v>1195</v>
      </c>
      <c r="J630">
        <v>2023</v>
      </c>
      <c r="K630" t="s">
        <v>666</v>
      </c>
      <c r="L630">
        <v>45259</v>
      </c>
      <c r="N630" t="s">
        <v>243</v>
      </c>
      <c r="P630" t="s">
        <v>2221</v>
      </c>
    </row>
    <row r="631" spans="1:16" x14ac:dyDescent="0.15">
      <c r="A631" t="s">
        <v>3049</v>
      </c>
      <c r="B631" t="s">
        <v>2222</v>
      </c>
      <c r="C631" t="s">
        <v>325</v>
      </c>
      <c r="D631" t="s">
        <v>415</v>
      </c>
      <c r="F631" t="s">
        <v>2223</v>
      </c>
      <c r="G631" t="s">
        <v>2224</v>
      </c>
      <c r="H631" t="s">
        <v>341</v>
      </c>
      <c r="I631" t="s">
        <v>1195</v>
      </c>
      <c r="J631">
        <v>2023</v>
      </c>
      <c r="K631" t="s">
        <v>458</v>
      </c>
      <c r="L631">
        <v>45219</v>
      </c>
      <c r="N631" t="s">
        <v>243</v>
      </c>
      <c r="P631" t="s">
        <v>2225</v>
      </c>
    </row>
    <row r="632" spans="1:16" x14ac:dyDescent="0.15">
      <c r="A632" t="s">
        <v>3050</v>
      </c>
      <c r="B632" t="s">
        <v>2226</v>
      </c>
      <c r="C632" t="s">
        <v>325</v>
      </c>
      <c r="D632" t="s">
        <v>415</v>
      </c>
      <c r="E632" t="s">
        <v>1314</v>
      </c>
      <c r="F632" t="s">
        <v>1834</v>
      </c>
      <c r="G632" t="s">
        <v>2227</v>
      </c>
      <c r="H632" t="s">
        <v>388</v>
      </c>
      <c r="I632" t="s">
        <v>1195</v>
      </c>
      <c r="J632">
        <v>2023</v>
      </c>
      <c r="K632" t="s">
        <v>2119</v>
      </c>
      <c r="L632">
        <v>45046</v>
      </c>
      <c r="N632" t="s">
        <v>243</v>
      </c>
      <c r="P632" t="s">
        <v>2228</v>
      </c>
    </row>
    <row r="633" spans="1:16" x14ac:dyDescent="0.15">
      <c r="A633" t="s">
        <v>3051</v>
      </c>
      <c r="B633" t="s">
        <v>2229</v>
      </c>
      <c r="C633" t="s">
        <v>325</v>
      </c>
      <c r="D633" t="s">
        <v>415</v>
      </c>
      <c r="E633" t="s">
        <v>738</v>
      </c>
      <c r="F633" t="s">
        <v>2144</v>
      </c>
      <c r="H633" t="s">
        <v>374</v>
      </c>
      <c r="I633" t="s">
        <v>1195</v>
      </c>
      <c r="J633">
        <v>2023</v>
      </c>
      <c r="K633" t="s">
        <v>458</v>
      </c>
      <c r="L633">
        <v>45257</v>
      </c>
      <c r="N633" t="s">
        <v>243</v>
      </c>
      <c r="P633" t="s">
        <v>2230</v>
      </c>
    </row>
    <row r="634" spans="1:16" x14ac:dyDescent="0.15">
      <c r="A634" t="s">
        <v>3052</v>
      </c>
      <c r="B634" t="s">
        <v>2231</v>
      </c>
      <c r="C634" t="s">
        <v>325</v>
      </c>
      <c r="D634" t="s">
        <v>2232</v>
      </c>
      <c r="F634" t="s">
        <v>2233</v>
      </c>
      <c r="G634" t="s">
        <v>2234</v>
      </c>
      <c r="H634" t="s">
        <v>2235</v>
      </c>
      <c r="I634" t="s">
        <v>1195</v>
      </c>
      <c r="J634">
        <v>2023</v>
      </c>
      <c r="K634" t="s">
        <v>666</v>
      </c>
      <c r="L634">
        <v>45245</v>
      </c>
      <c r="N634" t="s">
        <v>597</v>
      </c>
      <c r="P634" t="s">
        <v>2236</v>
      </c>
    </row>
    <row r="635" spans="1:16" x14ac:dyDescent="0.15">
      <c r="A635" t="s">
        <v>3053</v>
      </c>
      <c r="B635" t="s">
        <v>2237</v>
      </c>
      <c r="C635" t="s">
        <v>325</v>
      </c>
      <c r="D635" t="s">
        <v>415</v>
      </c>
      <c r="F635" t="s">
        <v>548</v>
      </c>
      <c r="G635" t="s">
        <v>2238</v>
      </c>
      <c r="H635" t="s">
        <v>485</v>
      </c>
      <c r="I635" t="s">
        <v>1195</v>
      </c>
      <c r="J635">
        <v>2023</v>
      </c>
      <c r="K635" t="s">
        <v>330</v>
      </c>
      <c r="L635">
        <v>45366</v>
      </c>
      <c r="M635" t="s">
        <v>1756</v>
      </c>
      <c r="N635" t="s">
        <v>2</v>
      </c>
      <c r="P635" t="s">
        <v>2239</v>
      </c>
    </row>
    <row r="636" spans="1:16" x14ac:dyDescent="0.15">
      <c r="A636" t="s">
        <v>3053</v>
      </c>
      <c r="B636" t="s">
        <v>2240</v>
      </c>
      <c r="C636" t="s">
        <v>325</v>
      </c>
      <c r="D636" t="s">
        <v>415</v>
      </c>
      <c r="F636" t="s">
        <v>548</v>
      </c>
      <c r="G636" t="s">
        <v>2241</v>
      </c>
      <c r="H636" t="s">
        <v>485</v>
      </c>
      <c r="I636" t="s">
        <v>1195</v>
      </c>
      <c r="J636">
        <v>2023</v>
      </c>
      <c r="K636" t="s">
        <v>330</v>
      </c>
      <c r="L636">
        <v>45366</v>
      </c>
      <c r="M636" t="s">
        <v>1756</v>
      </c>
      <c r="N636" t="s">
        <v>2</v>
      </c>
      <c r="P636" t="s">
        <v>2239</v>
      </c>
    </row>
    <row r="637" spans="1:16" x14ac:dyDescent="0.15">
      <c r="A637" t="s">
        <v>3053</v>
      </c>
      <c r="B637" t="s">
        <v>2242</v>
      </c>
      <c r="C637" t="s">
        <v>325</v>
      </c>
      <c r="D637" t="s">
        <v>415</v>
      </c>
      <c r="F637" t="s">
        <v>548</v>
      </c>
      <c r="G637" t="s">
        <v>2243</v>
      </c>
      <c r="H637" t="s">
        <v>485</v>
      </c>
      <c r="I637" t="s">
        <v>1195</v>
      </c>
      <c r="J637">
        <v>2023</v>
      </c>
      <c r="K637" t="s">
        <v>330</v>
      </c>
      <c r="L637">
        <v>45366</v>
      </c>
      <c r="N637" t="s">
        <v>243</v>
      </c>
      <c r="P637" t="s">
        <v>2239</v>
      </c>
    </row>
    <row r="638" spans="1:16" x14ac:dyDescent="0.15">
      <c r="A638" t="s">
        <v>3054</v>
      </c>
      <c r="B638" t="s">
        <v>2159</v>
      </c>
      <c r="C638" t="s">
        <v>325</v>
      </c>
      <c r="D638" t="s">
        <v>404</v>
      </c>
      <c r="E638" t="s">
        <v>2160</v>
      </c>
      <c r="G638" t="s">
        <v>2244</v>
      </c>
      <c r="H638" t="s">
        <v>2162</v>
      </c>
      <c r="I638" t="s">
        <v>1195</v>
      </c>
      <c r="J638">
        <v>2023</v>
      </c>
      <c r="K638" t="s">
        <v>330</v>
      </c>
      <c r="N638" t="s">
        <v>243</v>
      </c>
      <c r="P638" t="s">
        <v>2245</v>
      </c>
    </row>
    <row r="639" spans="1:16" x14ac:dyDescent="0.15">
      <c r="A639" t="s">
        <v>3055</v>
      </c>
      <c r="B639" t="s">
        <v>2246</v>
      </c>
      <c r="C639" t="s">
        <v>325</v>
      </c>
      <c r="D639" t="s">
        <v>361</v>
      </c>
      <c r="I639" t="s">
        <v>1195</v>
      </c>
      <c r="J639">
        <v>2023</v>
      </c>
      <c r="K639" t="s">
        <v>458</v>
      </c>
      <c r="L639">
        <v>45287</v>
      </c>
      <c r="N639" t="s">
        <v>243</v>
      </c>
      <c r="P639" t="s">
        <v>2247</v>
      </c>
    </row>
    <row r="640" spans="1:16" x14ac:dyDescent="0.15">
      <c r="A640" t="s">
        <v>3056</v>
      </c>
      <c r="B640" t="s">
        <v>2248</v>
      </c>
      <c r="C640" t="s">
        <v>325</v>
      </c>
      <c r="D640" t="s">
        <v>483</v>
      </c>
      <c r="F640" t="s">
        <v>1843</v>
      </c>
      <c r="H640" t="s">
        <v>993</v>
      </c>
      <c r="I640" t="s">
        <v>1195</v>
      </c>
      <c r="J640">
        <v>2023</v>
      </c>
      <c r="K640" t="s">
        <v>443</v>
      </c>
      <c r="L640">
        <v>45397</v>
      </c>
      <c r="N640" t="s">
        <v>243</v>
      </c>
      <c r="O640" t="s">
        <v>331</v>
      </c>
      <c r="P640" t="s">
        <v>2249</v>
      </c>
    </row>
    <row r="641" spans="1:16" x14ac:dyDescent="0.15">
      <c r="A641" t="s">
        <v>3057</v>
      </c>
      <c r="B641" t="s">
        <v>2250</v>
      </c>
      <c r="C641" t="s">
        <v>325</v>
      </c>
      <c r="D641" t="s">
        <v>953</v>
      </c>
      <c r="F641" t="s">
        <v>2251</v>
      </c>
      <c r="H641" t="s">
        <v>485</v>
      </c>
      <c r="I641" t="s">
        <v>1195</v>
      </c>
      <c r="J641">
        <v>2024</v>
      </c>
      <c r="K641" t="s">
        <v>443</v>
      </c>
      <c r="L641">
        <v>45489</v>
      </c>
      <c r="N641" t="s">
        <v>243</v>
      </c>
      <c r="O641" t="s">
        <v>331</v>
      </c>
      <c r="P641" t="s">
        <v>2252</v>
      </c>
    </row>
    <row r="642" spans="1:16" x14ac:dyDescent="0.15">
      <c r="A642" t="s">
        <v>3058</v>
      </c>
      <c r="B642" t="s">
        <v>2253</v>
      </c>
      <c r="C642" t="s">
        <v>325</v>
      </c>
      <c r="D642" t="s">
        <v>2254</v>
      </c>
      <c r="F642" t="s">
        <v>2254</v>
      </c>
      <c r="H642" t="s">
        <v>1148</v>
      </c>
      <c r="I642" t="s">
        <v>1195</v>
      </c>
      <c r="J642">
        <v>2023</v>
      </c>
      <c r="K642" t="s">
        <v>408</v>
      </c>
      <c r="L642">
        <v>45366</v>
      </c>
      <c r="N642" t="s">
        <v>597</v>
      </c>
      <c r="P642" t="s">
        <v>2255</v>
      </c>
    </row>
    <row r="643" spans="1:16" x14ac:dyDescent="0.15">
      <c r="A643" t="s">
        <v>3059</v>
      </c>
      <c r="B643" t="s">
        <v>2256</v>
      </c>
      <c r="C643" t="s">
        <v>325</v>
      </c>
      <c r="D643" t="s">
        <v>372</v>
      </c>
      <c r="F643" t="s">
        <v>2140</v>
      </c>
      <c r="H643" t="s">
        <v>374</v>
      </c>
      <c r="I643" t="s">
        <v>1195</v>
      </c>
      <c r="J643">
        <v>2023</v>
      </c>
      <c r="K643" t="s">
        <v>330</v>
      </c>
      <c r="L643">
        <v>45355</v>
      </c>
      <c r="N643" t="s">
        <v>243</v>
      </c>
      <c r="P643" t="s">
        <v>2257</v>
      </c>
    </row>
    <row r="644" spans="1:16" x14ac:dyDescent="0.15">
      <c r="A644" t="s">
        <v>3060</v>
      </c>
      <c r="B644" t="s">
        <v>2258</v>
      </c>
      <c r="C644" t="s">
        <v>325</v>
      </c>
      <c r="D644" t="s">
        <v>345</v>
      </c>
      <c r="F644" t="s">
        <v>548</v>
      </c>
      <c r="G644" t="s">
        <v>2259</v>
      </c>
      <c r="H644" t="s">
        <v>485</v>
      </c>
      <c r="I644" t="s">
        <v>1195</v>
      </c>
      <c r="J644">
        <v>2023</v>
      </c>
      <c r="K644" t="s">
        <v>330</v>
      </c>
      <c r="N644" t="s">
        <v>243</v>
      </c>
      <c r="P644" t="s">
        <v>2260</v>
      </c>
    </row>
    <row r="645" spans="1:16" x14ac:dyDescent="0.15">
      <c r="A645" t="s">
        <v>3061</v>
      </c>
      <c r="B645" t="s">
        <v>2261</v>
      </c>
      <c r="C645" t="s">
        <v>325</v>
      </c>
      <c r="D645" t="s">
        <v>345</v>
      </c>
      <c r="F645" t="s">
        <v>2262</v>
      </c>
      <c r="H645" t="s">
        <v>578</v>
      </c>
      <c r="I645" t="s">
        <v>1195</v>
      </c>
      <c r="J645">
        <v>2023</v>
      </c>
      <c r="K645" t="s">
        <v>443</v>
      </c>
      <c r="L645">
        <v>45366</v>
      </c>
      <c r="N645" t="s">
        <v>243</v>
      </c>
      <c r="O645" t="s">
        <v>331</v>
      </c>
      <c r="P645" t="s">
        <v>2263</v>
      </c>
    </row>
    <row r="646" spans="1:16" x14ac:dyDescent="0.15">
      <c r="A646" t="s">
        <v>3061</v>
      </c>
      <c r="B646" t="s">
        <v>2261</v>
      </c>
      <c r="C646" t="s">
        <v>325</v>
      </c>
      <c r="D646" t="s">
        <v>345</v>
      </c>
      <c r="F646" t="s">
        <v>2262</v>
      </c>
      <c r="H646" t="s">
        <v>578</v>
      </c>
      <c r="I646" t="s">
        <v>1195</v>
      </c>
      <c r="J646">
        <v>2023</v>
      </c>
      <c r="K646" t="s">
        <v>443</v>
      </c>
      <c r="L646">
        <v>45000</v>
      </c>
      <c r="N646" t="s">
        <v>243</v>
      </c>
      <c r="O646" t="s">
        <v>331</v>
      </c>
      <c r="P646" t="s">
        <v>2263</v>
      </c>
    </row>
    <row r="647" spans="1:16" x14ac:dyDescent="0.15">
      <c r="A647" t="s">
        <v>3061</v>
      </c>
      <c r="B647" t="s">
        <v>2264</v>
      </c>
      <c r="C647" t="s">
        <v>325</v>
      </c>
      <c r="D647" t="s">
        <v>345</v>
      </c>
      <c r="F647" t="s">
        <v>2262</v>
      </c>
      <c r="H647" t="s">
        <v>578</v>
      </c>
      <c r="I647" t="s">
        <v>1195</v>
      </c>
      <c r="J647">
        <v>2023</v>
      </c>
      <c r="K647" t="s">
        <v>443</v>
      </c>
      <c r="L647">
        <v>45000</v>
      </c>
      <c r="N647" t="s">
        <v>243</v>
      </c>
      <c r="O647" t="s">
        <v>331</v>
      </c>
      <c r="P647" t="s">
        <v>2263</v>
      </c>
    </row>
    <row r="648" spans="1:16" x14ac:dyDescent="0.15">
      <c r="A648" t="s">
        <v>3061</v>
      </c>
      <c r="B648" t="s">
        <v>2265</v>
      </c>
      <c r="C648" t="s">
        <v>325</v>
      </c>
      <c r="D648" t="s">
        <v>345</v>
      </c>
      <c r="F648" t="s">
        <v>2262</v>
      </c>
      <c r="H648" t="s">
        <v>578</v>
      </c>
      <c r="I648" t="s">
        <v>1195</v>
      </c>
      <c r="J648">
        <v>2024</v>
      </c>
      <c r="K648" t="s">
        <v>443</v>
      </c>
      <c r="L648">
        <v>45562</v>
      </c>
      <c r="N648" t="s">
        <v>243</v>
      </c>
      <c r="O648" t="s">
        <v>331</v>
      </c>
      <c r="P648" t="s">
        <v>2263</v>
      </c>
    </row>
    <row r="649" spans="1:16" x14ac:dyDescent="0.15">
      <c r="A649" t="s">
        <v>3062</v>
      </c>
      <c r="B649" t="s">
        <v>2266</v>
      </c>
      <c r="C649" t="s">
        <v>325</v>
      </c>
      <c r="D649" t="s">
        <v>2267</v>
      </c>
      <c r="F649" t="s">
        <v>2268</v>
      </c>
      <c r="G649" t="s">
        <v>2269</v>
      </c>
      <c r="H649" t="s">
        <v>341</v>
      </c>
      <c r="I649" t="s">
        <v>1195</v>
      </c>
      <c r="J649">
        <v>2023</v>
      </c>
      <c r="K649" t="s">
        <v>666</v>
      </c>
      <c r="L649">
        <v>44985</v>
      </c>
      <c r="N649" t="s">
        <v>243</v>
      </c>
      <c r="P649" t="s">
        <v>2270</v>
      </c>
    </row>
    <row r="650" spans="1:16" x14ac:dyDescent="0.15">
      <c r="A650" t="s">
        <v>3062</v>
      </c>
      <c r="B650" t="s">
        <v>2271</v>
      </c>
      <c r="C650" t="s">
        <v>325</v>
      </c>
      <c r="D650" t="s">
        <v>2267</v>
      </c>
      <c r="F650" t="s">
        <v>2268</v>
      </c>
      <c r="G650" t="s">
        <v>2272</v>
      </c>
      <c r="H650" t="s">
        <v>341</v>
      </c>
      <c r="I650" t="s">
        <v>1195</v>
      </c>
      <c r="J650">
        <v>2024</v>
      </c>
      <c r="K650" t="s">
        <v>666</v>
      </c>
      <c r="L650">
        <v>45580</v>
      </c>
      <c r="N650" t="s">
        <v>243</v>
      </c>
      <c r="P650" t="s">
        <v>2270</v>
      </c>
    </row>
    <row r="651" spans="1:16" x14ac:dyDescent="0.15">
      <c r="A651" t="s">
        <v>3063</v>
      </c>
      <c r="B651" t="s">
        <v>2273</v>
      </c>
      <c r="C651" t="s">
        <v>325</v>
      </c>
      <c r="D651" t="s">
        <v>377</v>
      </c>
      <c r="E651" t="s">
        <v>372</v>
      </c>
      <c r="F651" t="s">
        <v>755</v>
      </c>
      <c r="H651" t="s">
        <v>449</v>
      </c>
      <c r="I651" t="s">
        <v>1195</v>
      </c>
      <c r="J651">
        <v>2023</v>
      </c>
      <c r="K651" t="s">
        <v>458</v>
      </c>
      <c r="L651">
        <v>45313</v>
      </c>
      <c r="N651" t="s">
        <v>243</v>
      </c>
      <c r="P651" t="s">
        <v>2274</v>
      </c>
    </row>
    <row r="652" spans="1:16" x14ac:dyDescent="0.15">
      <c r="A652" t="s">
        <v>3064</v>
      </c>
      <c r="B652" t="s">
        <v>2275</v>
      </c>
      <c r="C652" t="s">
        <v>325</v>
      </c>
      <c r="D652" t="s">
        <v>483</v>
      </c>
      <c r="E652" t="s">
        <v>483</v>
      </c>
      <c r="F652" t="s">
        <v>1033</v>
      </c>
      <c r="G652" t="s">
        <v>2276</v>
      </c>
      <c r="H652" t="s">
        <v>431</v>
      </c>
      <c r="I652" t="s">
        <v>1195</v>
      </c>
      <c r="J652">
        <v>2023</v>
      </c>
      <c r="K652" t="s">
        <v>2119</v>
      </c>
      <c r="L652">
        <v>45488</v>
      </c>
      <c r="N652" t="s">
        <v>243</v>
      </c>
      <c r="P652" t="s">
        <v>2277</v>
      </c>
    </row>
    <row r="653" spans="1:16" x14ac:dyDescent="0.15">
      <c r="A653" t="s">
        <v>3065</v>
      </c>
      <c r="B653" t="s">
        <v>2278</v>
      </c>
      <c r="C653" t="s">
        <v>325</v>
      </c>
      <c r="D653" t="s">
        <v>326</v>
      </c>
      <c r="F653" t="s">
        <v>2122</v>
      </c>
      <c r="G653" t="s">
        <v>2279</v>
      </c>
      <c r="H653" t="s">
        <v>1860</v>
      </c>
      <c r="I653" t="s">
        <v>1195</v>
      </c>
      <c r="J653">
        <v>2024</v>
      </c>
      <c r="K653" t="s">
        <v>458</v>
      </c>
      <c r="L653">
        <v>45412</v>
      </c>
      <c r="N653" t="s">
        <v>597</v>
      </c>
      <c r="P653" t="s">
        <v>2280</v>
      </c>
    </row>
    <row r="654" spans="1:16" x14ac:dyDescent="0.15">
      <c r="A654" t="s">
        <v>3065</v>
      </c>
      <c r="B654" t="s">
        <v>2281</v>
      </c>
      <c r="C654" t="s">
        <v>325</v>
      </c>
      <c r="D654" t="s">
        <v>326</v>
      </c>
      <c r="F654" t="s">
        <v>2122</v>
      </c>
      <c r="G654" t="s">
        <v>2282</v>
      </c>
      <c r="H654" t="s">
        <v>1860</v>
      </c>
      <c r="I654" t="s">
        <v>1195</v>
      </c>
      <c r="J654">
        <v>2024</v>
      </c>
      <c r="K654" t="s">
        <v>458</v>
      </c>
      <c r="L654">
        <v>45468</v>
      </c>
      <c r="N654" t="s">
        <v>597</v>
      </c>
      <c r="P654" t="s">
        <v>2280</v>
      </c>
    </row>
    <row r="655" spans="1:16" x14ac:dyDescent="0.15">
      <c r="A655" t="s">
        <v>3066</v>
      </c>
      <c r="B655" t="s">
        <v>2283</v>
      </c>
      <c r="C655" t="s">
        <v>325</v>
      </c>
      <c r="D655" t="s">
        <v>2284</v>
      </c>
      <c r="E655" t="s">
        <v>942</v>
      </c>
      <c r="F655" t="s">
        <v>1971</v>
      </c>
      <c r="G655" t="s">
        <v>2285</v>
      </c>
      <c r="H655" t="s">
        <v>449</v>
      </c>
      <c r="I655" t="s">
        <v>1195</v>
      </c>
      <c r="J655">
        <v>2023</v>
      </c>
      <c r="K655" t="s">
        <v>666</v>
      </c>
      <c r="L655">
        <v>45322</v>
      </c>
      <c r="N655" t="s">
        <v>243</v>
      </c>
      <c r="P655" t="s">
        <v>2286</v>
      </c>
    </row>
    <row r="656" spans="1:16" x14ac:dyDescent="0.15">
      <c r="A656" t="s">
        <v>3067</v>
      </c>
      <c r="B656" t="s">
        <v>2287</v>
      </c>
      <c r="C656" t="s">
        <v>325</v>
      </c>
      <c r="D656" t="s">
        <v>326</v>
      </c>
      <c r="E656" t="s">
        <v>738</v>
      </c>
      <c r="F656" t="s">
        <v>2288</v>
      </c>
      <c r="H656" t="s">
        <v>578</v>
      </c>
      <c r="I656" t="s">
        <v>1195</v>
      </c>
      <c r="J656">
        <v>2023</v>
      </c>
      <c r="K656" t="s">
        <v>2119</v>
      </c>
      <c r="L656">
        <v>45478</v>
      </c>
      <c r="N656" t="s">
        <v>243</v>
      </c>
      <c r="P656" t="s">
        <v>2289</v>
      </c>
    </row>
    <row r="657" spans="1:16" x14ac:dyDescent="0.15">
      <c r="A657" t="s">
        <v>3068</v>
      </c>
      <c r="B657" t="s">
        <v>2290</v>
      </c>
      <c r="C657" t="s">
        <v>325</v>
      </c>
      <c r="D657" t="s">
        <v>326</v>
      </c>
      <c r="F657" t="s">
        <v>2291</v>
      </c>
      <c r="H657" t="s">
        <v>578</v>
      </c>
      <c r="I657" t="s">
        <v>1195</v>
      </c>
      <c r="J657">
        <v>2023</v>
      </c>
      <c r="K657" t="s">
        <v>443</v>
      </c>
      <c r="L657">
        <v>45350</v>
      </c>
      <c r="N657" t="s">
        <v>243</v>
      </c>
      <c r="O657" t="s">
        <v>331</v>
      </c>
      <c r="P657" t="s">
        <v>2292</v>
      </c>
    </row>
    <row r="658" spans="1:16" x14ac:dyDescent="0.15">
      <c r="A658" t="s">
        <v>3069</v>
      </c>
      <c r="B658" t="s">
        <v>2293</v>
      </c>
      <c r="C658" t="s">
        <v>325</v>
      </c>
      <c r="D658" t="s">
        <v>2294</v>
      </c>
      <c r="F658" t="s">
        <v>2295</v>
      </c>
      <c r="H658" t="s">
        <v>384</v>
      </c>
      <c r="I658" t="s">
        <v>384</v>
      </c>
      <c r="J658">
        <v>2023</v>
      </c>
      <c r="K658" t="s">
        <v>666</v>
      </c>
      <c r="L658">
        <v>45412</v>
      </c>
      <c r="N658" t="s">
        <v>2296</v>
      </c>
      <c r="O658" t="s">
        <v>3170</v>
      </c>
      <c r="P658" t="s">
        <v>2297</v>
      </c>
    </row>
    <row r="659" spans="1:16" x14ac:dyDescent="0.15">
      <c r="A659" t="s">
        <v>3070</v>
      </c>
      <c r="B659" t="s">
        <v>2298</v>
      </c>
      <c r="C659" t="s">
        <v>325</v>
      </c>
      <c r="D659" t="s">
        <v>1144</v>
      </c>
      <c r="F659" t="s">
        <v>1329</v>
      </c>
      <c r="G659" t="s">
        <v>2145</v>
      </c>
      <c r="H659" t="s">
        <v>499</v>
      </c>
      <c r="I659" t="s">
        <v>1195</v>
      </c>
      <c r="J659">
        <v>2024</v>
      </c>
      <c r="K659" t="s">
        <v>458</v>
      </c>
      <c r="L659">
        <v>45595</v>
      </c>
      <c r="N659" t="s">
        <v>243</v>
      </c>
      <c r="P659" t="s">
        <v>2299</v>
      </c>
    </row>
    <row r="660" spans="1:16" x14ac:dyDescent="0.15">
      <c r="A660" t="s">
        <v>3071</v>
      </c>
      <c r="B660" t="s">
        <v>2300</v>
      </c>
      <c r="C660" t="s">
        <v>325</v>
      </c>
      <c r="D660" t="s">
        <v>1328</v>
      </c>
      <c r="E660" t="s">
        <v>970</v>
      </c>
      <c r="G660" t="s">
        <v>2301</v>
      </c>
      <c r="H660" t="s">
        <v>499</v>
      </c>
      <c r="I660" t="s">
        <v>1195</v>
      </c>
      <c r="J660">
        <v>2024</v>
      </c>
      <c r="K660" t="s">
        <v>330</v>
      </c>
      <c r="L660">
        <v>45481</v>
      </c>
      <c r="N660" t="s">
        <v>243</v>
      </c>
      <c r="P660" t="s">
        <v>2302</v>
      </c>
    </row>
    <row r="661" spans="1:16" x14ac:dyDescent="0.15">
      <c r="A661" t="s">
        <v>3072</v>
      </c>
      <c r="B661" t="s">
        <v>2303</v>
      </c>
      <c r="C661" t="s">
        <v>325</v>
      </c>
      <c r="D661" t="s">
        <v>404</v>
      </c>
      <c r="E661" t="s">
        <v>2304</v>
      </c>
      <c r="F661" t="s">
        <v>2305</v>
      </c>
      <c r="H661" t="s">
        <v>624</v>
      </c>
      <c r="I661" t="s">
        <v>2306</v>
      </c>
      <c r="J661">
        <v>2024</v>
      </c>
      <c r="K661" t="s">
        <v>2307</v>
      </c>
      <c r="L661">
        <v>45505</v>
      </c>
      <c r="N661" t="s">
        <v>243</v>
      </c>
      <c r="P661" t="s">
        <v>2308</v>
      </c>
    </row>
    <row r="662" spans="1:16" x14ac:dyDescent="0.15">
      <c r="A662" t="s">
        <v>3072</v>
      </c>
      <c r="C662" t="s">
        <v>325</v>
      </c>
      <c r="D662" t="s">
        <v>404</v>
      </c>
      <c r="E662" t="s">
        <v>2304</v>
      </c>
      <c r="F662" t="s">
        <v>2305</v>
      </c>
      <c r="G662" t="s">
        <v>2309</v>
      </c>
      <c r="H662" t="s">
        <v>624</v>
      </c>
      <c r="I662" t="s">
        <v>2306</v>
      </c>
      <c r="J662">
        <v>2024</v>
      </c>
      <c r="K662" t="s">
        <v>2307</v>
      </c>
      <c r="N662" t="s">
        <v>243</v>
      </c>
      <c r="P662" t="s">
        <v>2308</v>
      </c>
    </row>
    <row r="663" spans="1:16" x14ac:dyDescent="0.15">
      <c r="A663" t="s">
        <v>3073</v>
      </c>
      <c r="B663" t="s">
        <v>2310</v>
      </c>
      <c r="C663" t="s">
        <v>325</v>
      </c>
      <c r="D663" t="s">
        <v>1328</v>
      </c>
      <c r="E663" t="s">
        <v>497</v>
      </c>
      <c r="F663" t="s">
        <v>1996</v>
      </c>
      <c r="G663" t="s">
        <v>1363</v>
      </c>
      <c r="H663" t="s">
        <v>499</v>
      </c>
      <c r="I663" t="s">
        <v>1195</v>
      </c>
      <c r="J663">
        <v>2024</v>
      </c>
      <c r="K663" t="s">
        <v>330</v>
      </c>
      <c r="L663">
        <v>45425</v>
      </c>
      <c r="N663" t="s">
        <v>243</v>
      </c>
      <c r="P663" t="s">
        <v>2311</v>
      </c>
    </row>
    <row r="664" spans="1:16" x14ac:dyDescent="0.15">
      <c r="A664" t="s">
        <v>3074</v>
      </c>
      <c r="B664" t="s">
        <v>2312</v>
      </c>
      <c r="C664" t="s">
        <v>325</v>
      </c>
      <c r="D664" t="s">
        <v>953</v>
      </c>
      <c r="F664" t="s">
        <v>2313</v>
      </c>
      <c r="H664" t="s">
        <v>485</v>
      </c>
      <c r="I664" t="s">
        <v>1195</v>
      </c>
      <c r="J664">
        <v>2024</v>
      </c>
      <c r="K664" t="s">
        <v>443</v>
      </c>
      <c r="L664">
        <v>46114</v>
      </c>
      <c r="N664" t="s">
        <v>10</v>
      </c>
      <c r="P664" t="s">
        <v>2314</v>
      </c>
    </row>
    <row r="665" spans="1:16" x14ac:dyDescent="0.15">
      <c r="A665" t="s">
        <v>3075</v>
      </c>
      <c r="B665" t="s">
        <v>2315</v>
      </c>
      <c r="C665" t="s">
        <v>325</v>
      </c>
      <c r="D665" t="s">
        <v>1328</v>
      </c>
      <c r="E665" t="s">
        <v>497</v>
      </c>
      <c r="F665" t="s">
        <v>2316</v>
      </c>
      <c r="H665" t="s">
        <v>499</v>
      </c>
      <c r="I665" t="s">
        <v>1195</v>
      </c>
      <c r="J665">
        <v>2024</v>
      </c>
      <c r="K665" t="s">
        <v>330</v>
      </c>
      <c r="L665">
        <v>45478</v>
      </c>
      <c r="N665" t="s">
        <v>243</v>
      </c>
      <c r="P665" t="s">
        <v>2317</v>
      </c>
    </row>
    <row r="666" spans="1:16" x14ac:dyDescent="0.15">
      <c r="A666" t="s">
        <v>3076</v>
      </c>
      <c r="B666" t="s">
        <v>2318</v>
      </c>
      <c r="C666" t="s">
        <v>325</v>
      </c>
      <c r="D666" t="s">
        <v>483</v>
      </c>
      <c r="F666" t="s">
        <v>484</v>
      </c>
      <c r="H666" t="s">
        <v>485</v>
      </c>
      <c r="I666" t="s">
        <v>1195</v>
      </c>
      <c r="J666">
        <v>2024</v>
      </c>
      <c r="K666" t="s">
        <v>458</v>
      </c>
      <c r="L666">
        <v>45471</v>
      </c>
      <c r="N666" t="s">
        <v>243</v>
      </c>
      <c r="P666" t="s">
        <v>2319</v>
      </c>
    </row>
    <row r="667" spans="1:16" x14ac:dyDescent="0.15">
      <c r="A667" t="s">
        <v>3077</v>
      </c>
      <c r="B667" t="s">
        <v>2320</v>
      </c>
      <c r="C667" t="s">
        <v>325</v>
      </c>
      <c r="D667" t="s">
        <v>2321</v>
      </c>
      <c r="F667" t="s">
        <v>2321</v>
      </c>
      <c r="H667" t="s">
        <v>341</v>
      </c>
      <c r="I667" t="s">
        <v>1195</v>
      </c>
      <c r="J667">
        <v>2024</v>
      </c>
      <c r="K667" t="s">
        <v>666</v>
      </c>
      <c r="L667">
        <v>45488</v>
      </c>
      <c r="N667" t="s">
        <v>243</v>
      </c>
      <c r="P667" t="s">
        <v>2322</v>
      </c>
    </row>
    <row r="668" spans="1:16" x14ac:dyDescent="0.15">
      <c r="A668" t="s">
        <v>3078</v>
      </c>
      <c r="B668" t="s">
        <v>2323</v>
      </c>
      <c r="C668" t="s">
        <v>325</v>
      </c>
      <c r="D668" t="s">
        <v>942</v>
      </c>
      <c r="E668" t="s">
        <v>942</v>
      </c>
      <c r="F668" t="s">
        <v>2140</v>
      </c>
      <c r="G668" t="s">
        <v>2324</v>
      </c>
      <c r="H668" t="s">
        <v>374</v>
      </c>
      <c r="I668" t="s">
        <v>1195</v>
      </c>
      <c r="J668">
        <v>2024</v>
      </c>
      <c r="K668" t="s">
        <v>330</v>
      </c>
      <c r="L668">
        <v>45446</v>
      </c>
      <c r="N668" t="s">
        <v>243</v>
      </c>
      <c r="P668" t="s">
        <v>2325</v>
      </c>
    </row>
    <row r="669" spans="1:16" x14ac:dyDescent="0.15">
      <c r="A669" t="s">
        <v>3079</v>
      </c>
      <c r="B669" t="s">
        <v>2326</v>
      </c>
      <c r="C669" t="s">
        <v>325</v>
      </c>
      <c r="D669" t="s">
        <v>345</v>
      </c>
      <c r="F669" t="s">
        <v>2327</v>
      </c>
      <c r="H669" t="s">
        <v>1106</v>
      </c>
      <c r="I669" t="s">
        <v>1195</v>
      </c>
      <c r="J669">
        <v>2024</v>
      </c>
      <c r="K669" t="s">
        <v>521</v>
      </c>
      <c r="L669">
        <v>45474</v>
      </c>
      <c r="N669" t="s">
        <v>243</v>
      </c>
      <c r="P669" t="s">
        <v>2328</v>
      </c>
    </row>
    <row r="670" spans="1:16" x14ac:dyDescent="0.15">
      <c r="A670" t="s">
        <v>3079</v>
      </c>
      <c r="B670" t="s">
        <v>2329</v>
      </c>
      <c r="C670" t="s">
        <v>325</v>
      </c>
      <c r="D670" t="s">
        <v>345</v>
      </c>
      <c r="F670" t="s">
        <v>2327</v>
      </c>
      <c r="G670" t="s">
        <v>2330</v>
      </c>
      <c r="H670" t="s">
        <v>1106</v>
      </c>
      <c r="I670" t="s">
        <v>1195</v>
      </c>
      <c r="J670">
        <v>2024</v>
      </c>
      <c r="K670" t="s">
        <v>521</v>
      </c>
      <c r="L670">
        <v>45474</v>
      </c>
      <c r="N670" t="s">
        <v>336</v>
      </c>
      <c r="P670" t="s">
        <v>2328</v>
      </c>
    </row>
    <row r="671" spans="1:16" x14ac:dyDescent="0.15">
      <c r="A671" t="s">
        <v>3080</v>
      </c>
      <c r="B671" t="s">
        <v>2331</v>
      </c>
      <c r="C671" t="s">
        <v>325</v>
      </c>
      <c r="D671" t="s">
        <v>404</v>
      </c>
      <c r="E671" t="s">
        <v>2332</v>
      </c>
      <c r="F671" t="s">
        <v>2333</v>
      </c>
      <c r="H671" t="s">
        <v>411</v>
      </c>
      <c r="I671" t="s">
        <v>1195</v>
      </c>
      <c r="J671">
        <v>2024</v>
      </c>
      <c r="K671" t="s">
        <v>2</v>
      </c>
      <c r="N671" t="s">
        <v>597</v>
      </c>
      <c r="P671" t="s">
        <v>2334</v>
      </c>
    </row>
    <row r="672" spans="1:16" x14ac:dyDescent="0.15">
      <c r="A672" t="s">
        <v>3081</v>
      </c>
      <c r="B672" t="s">
        <v>2335</v>
      </c>
      <c r="C672" t="s">
        <v>325</v>
      </c>
      <c r="D672" t="s">
        <v>2336</v>
      </c>
      <c r="E672" t="s">
        <v>2337</v>
      </c>
      <c r="F672" t="s">
        <v>2295</v>
      </c>
      <c r="H672" t="s">
        <v>384</v>
      </c>
      <c r="I672" t="s">
        <v>384</v>
      </c>
      <c r="J672">
        <v>2024</v>
      </c>
      <c r="K672" t="s">
        <v>666</v>
      </c>
      <c r="L672">
        <v>45565</v>
      </c>
      <c r="N672" t="s">
        <v>243</v>
      </c>
      <c r="O672" t="s">
        <v>3171</v>
      </c>
      <c r="P672" t="s">
        <v>2338</v>
      </c>
    </row>
    <row r="673" spans="1:16" x14ac:dyDescent="0.15">
      <c r="A673" t="s">
        <v>3082</v>
      </c>
      <c r="B673" t="s">
        <v>2339</v>
      </c>
      <c r="C673" t="s">
        <v>325</v>
      </c>
      <c r="D673" t="s">
        <v>2294</v>
      </c>
      <c r="F673" t="s">
        <v>2340</v>
      </c>
      <c r="G673" t="s">
        <v>2341</v>
      </c>
      <c r="H673" t="s">
        <v>384</v>
      </c>
      <c r="I673" t="s">
        <v>384</v>
      </c>
      <c r="J673">
        <v>2024</v>
      </c>
      <c r="K673" t="s">
        <v>666</v>
      </c>
      <c r="L673" t="s">
        <v>2342</v>
      </c>
      <c r="N673" t="s">
        <v>597</v>
      </c>
      <c r="O673" t="s">
        <v>3171</v>
      </c>
      <c r="P673" t="s">
        <v>2343</v>
      </c>
    </row>
    <row r="674" spans="1:16" x14ac:dyDescent="0.15">
      <c r="A674" t="s">
        <v>3083</v>
      </c>
      <c r="B674" t="s">
        <v>2344</v>
      </c>
      <c r="C674" t="s">
        <v>325</v>
      </c>
      <c r="D674" t="s">
        <v>2345</v>
      </c>
      <c r="F674" t="s">
        <v>679</v>
      </c>
      <c r="G674" t="s">
        <v>2346</v>
      </c>
      <c r="H674" t="s">
        <v>680</v>
      </c>
      <c r="I674" t="s">
        <v>1195</v>
      </c>
      <c r="J674">
        <v>2024</v>
      </c>
      <c r="K674" t="s">
        <v>330</v>
      </c>
      <c r="N674" t="s">
        <v>243</v>
      </c>
      <c r="P674" t="s">
        <v>2347</v>
      </c>
    </row>
    <row r="675" spans="1:16" x14ac:dyDescent="0.15">
      <c r="A675" t="s">
        <v>3084</v>
      </c>
      <c r="B675" t="s">
        <v>2348</v>
      </c>
      <c r="C675" t="s">
        <v>325</v>
      </c>
      <c r="D675" t="s">
        <v>372</v>
      </c>
      <c r="F675" t="s">
        <v>1817</v>
      </c>
      <c r="G675" t="s">
        <v>2349</v>
      </c>
      <c r="H675" t="s">
        <v>374</v>
      </c>
      <c r="I675" t="s">
        <v>1195</v>
      </c>
      <c r="J675">
        <v>2024</v>
      </c>
      <c r="K675" t="s">
        <v>330</v>
      </c>
      <c r="N675" t="s">
        <v>243</v>
      </c>
      <c r="P675" t="s">
        <v>2350</v>
      </c>
    </row>
    <row r="676" spans="1:16" x14ac:dyDescent="0.15">
      <c r="A676" t="s">
        <v>3085</v>
      </c>
      <c r="B676" t="s">
        <v>2351</v>
      </c>
      <c r="C676" t="s">
        <v>325</v>
      </c>
      <c r="D676" t="s">
        <v>2035</v>
      </c>
      <c r="E676" t="s">
        <v>2352</v>
      </c>
      <c r="F676" t="s">
        <v>2353</v>
      </c>
      <c r="H676" t="s">
        <v>384</v>
      </c>
      <c r="I676" t="s">
        <v>1195</v>
      </c>
      <c r="J676">
        <v>2024</v>
      </c>
      <c r="K676" t="s">
        <v>666</v>
      </c>
      <c r="L676">
        <v>45458</v>
      </c>
      <c r="M676" t="s">
        <v>2170</v>
      </c>
      <c r="N676" t="s">
        <v>243</v>
      </c>
      <c r="P676" t="s">
        <v>2354</v>
      </c>
    </row>
    <row r="677" spans="1:16" x14ac:dyDescent="0.15">
      <c r="A677" t="s">
        <v>3086</v>
      </c>
      <c r="B677" t="s">
        <v>2355</v>
      </c>
      <c r="C677" t="s">
        <v>325</v>
      </c>
      <c r="D677" t="s">
        <v>818</v>
      </c>
      <c r="G677" t="s">
        <v>2356</v>
      </c>
      <c r="H677" t="s">
        <v>341</v>
      </c>
      <c r="I677" t="s">
        <v>1195</v>
      </c>
      <c r="J677">
        <v>2024</v>
      </c>
      <c r="K677" t="s">
        <v>521</v>
      </c>
      <c r="L677">
        <v>45497</v>
      </c>
      <c r="N677" t="s">
        <v>243</v>
      </c>
      <c r="P677" t="s">
        <v>2357</v>
      </c>
    </row>
    <row r="678" spans="1:16" x14ac:dyDescent="0.15">
      <c r="A678" t="s">
        <v>3086</v>
      </c>
      <c r="B678" t="s">
        <v>2358</v>
      </c>
      <c r="C678" t="s">
        <v>325</v>
      </c>
      <c r="D678" t="s">
        <v>818</v>
      </c>
      <c r="G678" t="s">
        <v>2356</v>
      </c>
      <c r="H678" t="s">
        <v>341</v>
      </c>
      <c r="I678" t="s">
        <v>1195</v>
      </c>
      <c r="J678">
        <v>2024</v>
      </c>
      <c r="K678" t="s">
        <v>521</v>
      </c>
      <c r="L678">
        <v>45497</v>
      </c>
      <c r="N678" t="s">
        <v>243</v>
      </c>
      <c r="P678" t="s">
        <v>2357</v>
      </c>
    </row>
    <row r="679" spans="1:16" x14ac:dyDescent="0.15">
      <c r="A679" t="s">
        <v>3086</v>
      </c>
      <c r="B679" t="s">
        <v>2359</v>
      </c>
      <c r="C679" t="s">
        <v>325</v>
      </c>
      <c r="D679" t="s">
        <v>818</v>
      </c>
      <c r="G679" t="s">
        <v>2356</v>
      </c>
      <c r="H679" t="s">
        <v>341</v>
      </c>
      <c r="I679" t="s">
        <v>1195</v>
      </c>
      <c r="J679">
        <v>2024</v>
      </c>
      <c r="K679" t="s">
        <v>521</v>
      </c>
      <c r="L679">
        <v>45628</v>
      </c>
      <c r="N679" t="s">
        <v>243</v>
      </c>
      <c r="P679" t="s">
        <v>2357</v>
      </c>
    </row>
    <row r="680" spans="1:16" x14ac:dyDescent="0.15">
      <c r="A680" t="s">
        <v>3086</v>
      </c>
      <c r="B680" t="s">
        <v>2360</v>
      </c>
      <c r="C680" t="s">
        <v>325</v>
      </c>
      <c r="D680" t="s">
        <v>818</v>
      </c>
      <c r="G680" t="s">
        <v>2361</v>
      </c>
      <c r="H680" t="s">
        <v>341</v>
      </c>
      <c r="I680" t="s">
        <v>1195</v>
      </c>
      <c r="J680">
        <v>2024</v>
      </c>
      <c r="K680" t="s">
        <v>666</v>
      </c>
      <c r="L680">
        <v>45801</v>
      </c>
      <c r="N680" t="s">
        <v>243</v>
      </c>
      <c r="P680" t="s">
        <v>2357</v>
      </c>
    </row>
    <row r="681" spans="1:16" x14ac:dyDescent="0.15">
      <c r="A681" t="s">
        <v>3087</v>
      </c>
      <c r="B681" t="s">
        <v>2362</v>
      </c>
      <c r="C681" t="s">
        <v>325</v>
      </c>
      <c r="D681" t="s">
        <v>593</v>
      </c>
      <c r="E681" t="s">
        <v>2363</v>
      </c>
      <c r="G681" t="s">
        <v>2364</v>
      </c>
      <c r="H681" t="s">
        <v>578</v>
      </c>
      <c r="I681" t="s">
        <v>1195</v>
      </c>
      <c r="J681">
        <v>2024</v>
      </c>
      <c r="K681" t="s">
        <v>2307</v>
      </c>
      <c r="L681">
        <v>45427</v>
      </c>
      <c r="N681" t="s">
        <v>243</v>
      </c>
      <c r="P681" t="s">
        <v>2365</v>
      </c>
    </row>
    <row r="682" spans="1:16" x14ac:dyDescent="0.15">
      <c r="A682" t="s">
        <v>3088</v>
      </c>
      <c r="B682" t="s">
        <v>2366</v>
      </c>
      <c r="C682" t="s">
        <v>325</v>
      </c>
      <c r="D682" t="s">
        <v>570</v>
      </c>
      <c r="E682" t="s">
        <v>811</v>
      </c>
      <c r="G682" t="s">
        <v>2078</v>
      </c>
      <c r="H682" t="s">
        <v>341</v>
      </c>
      <c r="I682" t="s">
        <v>1195</v>
      </c>
      <c r="J682">
        <v>2024</v>
      </c>
      <c r="K682" t="s">
        <v>521</v>
      </c>
      <c r="L682">
        <v>45419</v>
      </c>
      <c r="N682" t="s">
        <v>243</v>
      </c>
      <c r="P682" t="s">
        <v>2367</v>
      </c>
    </row>
    <row r="683" spans="1:16" x14ac:dyDescent="0.15">
      <c r="A683" t="s">
        <v>3089</v>
      </c>
      <c r="B683" t="s">
        <v>2368</v>
      </c>
      <c r="C683" t="s">
        <v>325</v>
      </c>
      <c r="D683" t="s">
        <v>593</v>
      </c>
      <c r="E683" t="s">
        <v>1886</v>
      </c>
      <c r="F683" t="s">
        <v>1886</v>
      </c>
      <c r="G683" t="s">
        <v>2369</v>
      </c>
      <c r="H683" t="s">
        <v>374</v>
      </c>
      <c r="I683" t="s">
        <v>2306</v>
      </c>
      <c r="J683">
        <v>2024</v>
      </c>
      <c r="K683" t="s">
        <v>458</v>
      </c>
      <c r="L683">
        <v>45443</v>
      </c>
      <c r="N683" t="s">
        <v>243</v>
      </c>
      <c r="P683" t="s">
        <v>2370</v>
      </c>
    </row>
    <row r="684" spans="1:16" x14ac:dyDescent="0.15">
      <c r="A684" t="s">
        <v>3090</v>
      </c>
      <c r="B684" t="s">
        <v>2371</v>
      </c>
      <c r="C684" t="s">
        <v>325</v>
      </c>
      <c r="D684" t="s">
        <v>1328</v>
      </c>
      <c r="E684" t="s">
        <v>641</v>
      </c>
      <c r="F684" t="s">
        <v>2372</v>
      </c>
      <c r="G684" t="s">
        <v>900</v>
      </c>
      <c r="H684" t="s">
        <v>499</v>
      </c>
      <c r="I684" t="s">
        <v>1195</v>
      </c>
      <c r="J684">
        <v>2024</v>
      </c>
      <c r="K684" t="s">
        <v>521</v>
      </c>
      <c r="L684">
        <v>45550</v>
      </c>
      <c r="N684" t="s">
        <v>243</v>
      </c>
      <c r="P684" t="s">
        <v>2373</v>
      </c>
    </row>
    <row r="685" spans="1:16" x14ac:dyDescent="0.15">
      <c r="A685" t="s">
        <v>3091</v>
      </c>
      <c r="B685" t="s">
        <v>2374</v>
      </c>
      <c r="C685" t="s">
        <v>325</v>
      </c>
      <c r="D685" t="s">
        <v>372</v>
      </c>
      <c r="E685" t="s">
        <v>372</v>
      </c>
      <c r="F685" t="s">
        <v>2375</v>
      </c>
      <c r="G685" t="s">
        <v>2376</v>
      </c>
      <c r="H685" t="s">
        <v>374</v>
      </c>
      <c r="I685" t="s">
        <v>1195</v>
      </c>
      <c r="J685">
        <v>2024</v>
      </c>
      <c r="K685" t="s">
        <v>330</v>
      </c>
      <c r="N685" t="s">
        <v>243</v>
      </c>
      <c r="P685" t="s">
        <v>2377</v>
      </c>
    </row>
    <row r="686" spans="1:16" x14ac:dyDescent="0.15">
      <c r="A686" t="s">
        <v>3092</v>
      </c>
      <c r="B686" t="s">
        <v>2378</v>
      </c>
      <c r="C686" t="s">
        <v>325</v>
      </c>
      <c r="D686" t="s">
        <v>326</v>
      </c>
      <c r="E686" t="s">
        <v>326</v>
      </c>
      <c r="F686" t="s">
        <v>2379</v>
      </c>
      <c r="H686" t="s">
        <v>400</v>
      </c>
      <c r="I686" t="s">
        <v>1195</v>
      </c>
      <c r="J686">
        <v>2025</v>
      </c>
      <c r="K686" t="s">
        <v>2119</v>
      </c>
      <c r="L686">
        <v>45789</v>
      </c>
      <c r="N686" t="s">
        <v>243</v>
      </c>
      <c r="P686" t="s">
        <v>2380</v>
      </c>
    </row>
    <row r="687" spans="1:16" x14ac:dyDescent="0.15">
      <c r="A687" t="s">
        <v>3093</v>
      </c>
      <c r="B687" t="s">
        <v>2381</v>
      </c>
      <c r="C687" t="s">
        <v>325</v>
      </c>
      <c r="D687" t="s">
        <v>326</v>
      </c>
      <c r="F687" t="s">
        <v>2052</v>
      </c>
      <c r="H687" t="s">
        <v>2053</v>
      </c>
      <c r="I687" t="s">
        <v>1195</v>
      </c>
      <c r="J687">
        <v>2024</v>
      </c>
      <c r="K687" t="s">
        <v>458</v>
      </c>
      <c r="L687">
        <v>45442</v>
      </c>
      <c r="N687" t="s">
        <v>243</v>
      </c>
      <c r="P687" t="s">
        <v>2382</v>
      </c>
    </row>
    <row r="688" spans="1:16" x14ac:dyDescent="0.15">
      <c r="A688" t="s">
        <v>3094</v>
      </c>
      <c r="B688" t="s">
        <v>2385</v>
      </c>
      <c r="C688" t="s">
        <v>325</v>
      </c>
      <c r="D688" t="s">
        <v>415</v>
      </c>
      <c r="E688" t="s">
        <v>2383</v>
      </c>
      <c r="F688" t="s">
        <v>1194</v>
      </c>
      <c r="H688" t="s">
        <v>436</v>
      </c>
      <c r="I688" t="s">
        <v>1195</v>
      </c>
      <c r="J688">
        <v>2024</v>
      </c>
      <c r="K688" t="s">
        <v>458</v>
      </c>
      <c r="L688">
        <v>45432</v>
      </c>
      <c r="N688" t="s">
        <v>243</v>
      </c>
      <c r="P688" t="s">
        <v>2384</v>
      </c>
    </row>
    <row r="689" spans="1:16" x14ac:dyDescent="0.15">
      <c r="A689" t="s">
        <v>3095</v>
      </c>
      <c r="C689" t="s">
        <v>325</v>
      </c>
      <c r="D689" t="s">
        <v>2386</v>
      </c>
      <c r="E689" t="s">
        <v>2386</v>
      </c>
      <c r="F689" t="s">
        <v>2387</v>
      </c>
      <c r="G689" t="s">
        <v>2388</v>
      </c>
      <c r="H689" t="s">
        <v>485</v>
      </c>
      <c r="I689" t="s">
        <v>1195</v>
      </c>
      <c r="J689">
        <v>2024</v>
      </c>
      <c r="K689" t="s">
        <v>458</v>
      </c>
      <c r="L689">
        <v>45442</v>
      </c>
      <c r="N689" t="s">
        <v>243</v>
      </c>
      <c r="P689" t="s">
        <v>2389</v>
      </c>
    </row>
    <row r="690" spans="1:16" x14ac:dyDescent="0.15">
      <c r="A690" t="s">
        <v>3096</v>
      </c>
      <c r="B690" t="s">
        <v>2390</v>
      </c>
      <c r="C690" t="s">
        <v>325</v>
      </c>
      <c r="D690" t="s">
        <v>326</v>
      </c>
      <c r="F690" t="s">
        <v>2391</v>
      </c>
      <c r="H690" t="s">
        <v>1512</v>
      </c>
      <c r="I690" t="s">
        <v>1195</v>
      </c>
      <c r="J690">
        <v>2024</v>
      </c>
      <c r="K690" t="s">
        <v>458</v>
      </c>
      <c r="L690">
        <v>45449</v>
      </c>
      <c r="N690" t="s">
        <v>243</v>
      </c>
      <c r="P690" t="s">
        <v>2392</v>
      </c>
    </row>
    <row r="691" spans="1:16" x14ac:dyDescent="0.15">
      <c r="A691" t="s">
        <v>3097</v>
      </c>
      <c r="B691" t="s">
        <v>2393</v>
      </c>
      <c r="C691" t="s">
        <v>325</v>
      </c>
      <c r="D691" t="s">
        <v>483</v>
      </c>
      <c r="E691" t="s">
        <v>483</v>
      </c>
      <c r="F691" t="s">
        <v>1033</v>
      </c>
      <c r="G691" t="s">
        <v>2394</v>
      </c>
      <c r="H691" t="s">
        <v>431</v>
      </c>
      <c r="I691" t="s">
        <v>1195</v>
      </c>
      <c r="J691">
        <v>2024</v>
      </c>
      <c r="K691" t="s">
        <v>2119</v>
      </c>
      <c r="L691">
        <v>45376</v>
      </c>
      <c r="N691" t="s">
        <v>336</v>
      </c>
      <c r="P691" t="s">
        <v>2395</v>
      </c>
    </row>
    <row r="692" spans="1:16" x14ac:dyDescent="0.15">
      <c r="A692" t="s">
        <v>3098</v>
      </c>
      <c r="B692" t="s">
        <v>2396</v>
      </c>
      <c r="C692" t="s">
        <v>325</v>
      </c>
      <c r="D692" t="s">
        <v>1314</v>
      </c>
      <c r="E692" t="s">
        <v>1314</v>
      </c>
      <c r="F692" t="s">
        <v>1834</v>
      </c>
      <c r="G692" t="s">
        <v>2397</v>
      </c>
      <c r="H692" t="s">
        <v>388</v>
      </c>
      <c r="I692" t="s">
        <v>1195</v>
      </c>
      <c r="J692">
        <v>2024</v>
      </c>
      <c r="K692" t="s">
        <v>2119</v>
      </c>
      <c r="L692">
        <v>45565</v>
      </c>
      <c r="N692" t="s">
        <v>243</v>
      </c>
      <c r="P692" t="s">
        <v>2398</v>
      </c>
    </row>
    <row r="693" spans="1:16" x14ac:dyDescent="0.15">
      <c r="A693" t="s">
        <v>3099</v>
      </c>
      <c r="B693" t="s">
        <v>2399</v>
      </c>
      <c r="C693" t="s">
        <v>325</v>
      </c>
      <c r="D693" t="s">
        <v>593</v>
      </c>
      <c r="E693" t="s">
        <v>2091</v>
      </c>
      <c r="F693" t="s">
        <v>2400</v>
      </c>
      <c r="G693" t="s">
        <v>900</v>
      </c>
      <c r="H693" t="s">
        <v>624</v>
      </c>
      <c r="I693" t="s">
        <v>2306</v>
      </c>
      <c r="J693">
        <v>2024</v>
      </c>
      <c r="K693" t="s">
        <v>666</v>
      </c>
      <c r="L693" t="s">
        <v>2</v>
      </c>
      <c r="N693" t="s">
        <v>243</v>
      </c>
      <c r="P693" t="s">
        <v>2401</v>
      </c>
    </row>
    <row r="694" spans="1:16" x14ac:dyDescent="0.15">
      <c r="A694" t="s">
        <v>3100</v>
      </c>
      <c r="B694" t="s">
        <v>2402</v>
      </c>
      <c r="C694" t="s">
        <v>325</v>
      </c>
      <c r="D694" t="s">
        <v>528</v>
      </c>
      <c r="E694" t="s">
        <v>524</v>
      </c>
      <c r="F694" t="s">
        <v>543</v>
      </c>
      <c r="G694" t="s">
        <v>2403</v>
      </c>
      <c r="H694" t="s">
        <v>374</v>
      </c>
      <c r="I694" t="s">
        <v>1195</v>
      </c>
      <c r="J694">
        <v>2024</v>
      </c>
      <c r="K694" t="s">
        <v>330</v>
      </c>
      <c r="L694">
        <v>45583</v>
      </c>
      <c r="N694" t="s">
        <v>243</v>
      </c>
      <c r="P694" t="s">
        <v>2404</v>
      </c>
    </row>
    <row r="695" spans="1:16" x14ac:dyDescent="0.15">
      <c r="A695" t="s">
        <v>3100</v>
      </c>
      <c r="B695" t="s">
        <v>2405</v>
      </c>
      <c r="C695" t="s">
        <v>325</v>
      </c>
      <c r="D695" t="s">
        <v>528</v>
      </c>
      <c r="E695" t="s">
        <v>524</v>
      </c>
      <c r="F695" t="s">
        <v>543</v>
      </c>
      <c r="G695" t="s">
        <v>2403</v>
      </c>
      <c r="H695" t="s">
        <v>374</v>
      </c>
      <c r="I695" t="s">
        <v>1195</v>
      </c>
      <c r="J695">
        <v>2024</v>
      </c>
      <c r="K695" t="s">
        <v>330</v>
      </c>
      <c r="L695">
        <v>45583</v>
      </c>
      <c r="N695" t="s">
        <v>243</v>
      </c>
      <c r="P695" t="s">
        <v>2404</v>
      </c>
    </row>
    <row r="696" spans="1:16" x14ac:dyDescent="0.15">
      <c r="A696" t="s">
        <v>3101</v>
      </c>
      <c r="B696" t="s">
        <v>2406</v>
      </c>
      <c r="C696" t="s">
        <v>325</v>
      </c>
      <c r="D696" t="s">
        <v>593</v>
      </c>
      <c r="E696" t="s">
        <v>2407</v>
      </c>
      <c r="H696" t="s">
        <v>485</v>
      </c>
      <c r="I696" t="s">
        <v>2306</v>
      </c>
      <c r="J696">
        <v>2024</v>
      </c>
      <c r="K696" t="s">
        <v>2</v>
      </c>
      <c r="L696">
        <v>45478</v>
      </c>
      <c r="N696" t="s">
        <v>597</v>
      </c>
      <c r="P696" t="s">
        <v>2408</v>
      </c>
    </row>
    <row r="697" spans="1:16" x14ac:dyDescent="0.15">
      <c r="A697" t="s">
        <v>3102</v>
      </c>
      <c r="B697" t="s">
        <v>2409</v>
      </c>
      <c r="C697" t="s">
        <v>325</v>
      </c>
      <c r="D697" t="s">
        <v>1328</v>
      </c>
      <c r="E697" t="s">
        <v>497</v>
      </c>
      <c r="F697" t="s">
        <v>612</v>
      </c>
      <c r="H697" t="s">
        <v>499</v>
      </c>
      <c r="I697" t="s">
        <v>1195</v>
      </c>
      <c r="J697">
        <v>2024</v>
      </c>
      <c r="K697" t="s">
        <v>330</v>
      </c>
      <c r="L697">
        <v>45548</v>
      </c>
      <c r="N697" t="s">
        <v>243</v>
      </c>
      <c r="P697" t="s">
        <v>2410</v>
      </c>
    </row>
    <row r="698" spans="1:16" x14ac:dyDescent="0.15">
      <c r="A698" t="s">
        <v>3103</v>
      </c>
      <c r="B698" t="s">
        <v>2411</v>
      </c>
      <c r="C698" t="s">
        <v>325</v>
      </c>
      <c r="D698" t="s">
        <v>593</v>
      </c>
      <c r="F698" t="s">
        <v>2412</v>
      </c>
      <c r="H698" t="s">
        <v>485</v>
      </c>
      <c r="I698" t="s">
        <v>2306</v>
      </c>
      <c r="J698">
        <v>2024</v>
      </c>
      <c r="K698" t="s">
        <v>2307</v>
      </c>
      <c r="L698">
        <v>45463</v>
      </c>
      <c r="N698" t="s">
        <v>243</v>
      </c>
      <c r="P698" t="s">
        <v>2413</v>
      </c>
    </row>
    <row r="699" spans="1:16" x14ac:dyDescent="0.15">
      <c r="A699" t="s">
        <v>3104</v>
      </c>
      <c r="B699" t="s">
        <v>2414</v>
      </c>
      <c r="C699" t="s">
        <v>325</v>
      </c>
      <c r="D699" t="s">
        <v>593</v>
      </c>
      <c r="F699" t="s">
        <v>2415</v>
      </c>
      <c r="H699" t="s">
        <v>347</v>
      </c>
      <c r="I699" t="s">
        <v>2306</v>
      </c>
      <c r="J699">
        <v>2024</v>
      </c>
      <c r="K699" t="s">
        <v>2307</v>
      </c>
      <c r="L699">
        <v>45460</v>
      </c>
      <c r="N699" t="s">
        <v>243</v>
      </c>
      <c r="P699" t="s">
        <v>2416</v>
      </c>
    </row>
    <row r="700" spans="1:16" x14ac:dyDescent="0.15">
      <c r="A700" t="s">
        <v>3105</v>
      </c>
      <c r="B700" t="s">
        <v>2417</v>
      </c>
      <c r="C700" t="s">
        <v>325</v>
      </c>
      <c r="D700" t="s">
        <v>2418</v>
      </c>
      <c r="F700" t="s">
        <v>2419</v>
      </c>
      <c r="H700" t="s">
        <v>341</v>
      </c>
      <c r="I700" t="s">
        <v>1195</v>
      </c>
      <c r="J700">
        <v>2024</v>
      </c>
      <c r="K700" t="s">
        <v>443</v>
      </c>
      <c r="L700">
        <v>45611</v>
      </c>
      <c r="N700" t="s">
        <v>243</v>
      </c>
      <c r="O700" t="s">
        <v>331</v>
      </c>
      <c r="P700" t="s">
        <v>2420</v>
      </c>
    </row>
    <row r="701" spans="1:16" x14ac:dyDescent="0.15">
      <c r="A701" t="s">
        <v>3106</v>
      </c>
      <c r="B701" t="s">
        <v>2421</v>
      </c>
      <c r="C701" t="s">
        <v>325</v>
      </c>
      <c r="D701" t="s">
        <v>471</v>
      </c>
      <c r="F701" t="s">
        <v>2422</v>
      </c>
      <c r="H701" t="s">
        <v>341</v>
      </c>
      <c r="I701" t="s">
        <v>1195</v>
      </c>
      <c r="J701">
        <v>2024</v>
      </c>
      <c r="K701" t="s">
        <v>458</v>
      </c>
      <c r="L701">
        <v>45513</v>
      </c>
      <c r="N701" t="s">
        <v>243</v>
      </c>
      <c r="P701" t="s">
        <v>2423</v>
      </c>
    </row>
    <row r="702" spans="1:16" x14ac:dyDescent="0.15">
      <c r="A702" t="s">
        <v>3107</v>
      </c>
      <c r="B702" t="s">
        <v>2424</v>
      </c>
      <c r="C702" t="s">
        <v>325</v>
      </c>
      <c r="D702" t="s">
        <v>593</v>
      </c>
      <c r="F702" t="s">
        <v>2425</v>
      </c>
      <c r="G702" t="s">
        <v>2426</v>
      </c>
      <c r="H702" t="s">
        <v>374</v>
      </c>
      <c r="I702" t="s">
        <v>2306</v>
      </c>
      <c r="J702">
        <v>2024</v>
      </c>
      <c r="K702" t="s">
        <v>2</v>
      </c>
      <c r="L702">
        <v>45483</v>
      </c>
      <c r="N702" t="s">
        <v>243</v>
      </c>
      <c r="P702" t="s">
        <v>2427</v>
      </c>
    </row>
    <row r="703" spans="1:16" x14ac:dyDescent="0.15">
      <c r="A703" t="s">
        <v>3108</v>
      </c>
      <c r="B703" t="s">
        <v>2428</v>
      </c>
      <c r="C703" t="s">
        <v>325</v>
      </c>
      <c r="D703" t="s">
        <v>2429</v>
      </c>
      <c r="F703" t="s">
        <v>2262</v>
      </c>
      <c r="G703" t="s">
        <v>2430</v>
      </c>
      <c r="H703" t="s">
        <v>578</v>
      </c>
      <c r="I703" t="s">
        <v>1195</v>
      </c>
      <c r="J703">
        <v>2024</v>
      </c>
      <c r="K703" t="s">
        <v>443</v>
      </c>
      <c r="L703">
        <v>45544</v>
      </c>
      <c r="N703" t="s">
        <v>243</v>
      </c>
      <c r="O703" t="s">
        <v>331</v>
      </c>
      <c r="P703" t="s">
        <v>2431</v>
      </c>
    </row>
    <row r="704" spans="1:16" x14ac:dyDescent="0.15">
      <c r="A704" t="s">
        <v>3109</v>
      </c>
      <c r="B704" t="s">
        <v>2432</v>
      </c>
      <c r="C704" t="s">
        <v>325</v>
      </c>
      <c r="D704" t="s">
        <v>2294</v>
      </c>
      <c r="F704" t="s">
        <v>2433</v>
      </c>
      <c r="G704" t="s">
        <v>2341</v>
      </c>
      <c r="H704" t="s">
        <v>384</v>
      </c>
      <c r="I704" t="s">
        <v>384</v>
      </c>
      <c r="J704">
        <v>2024</v>
      </c>
      <c r="K704" t="s">
        <v>666</v>
      </c>
      <c r="L704" t="s">
        <v>2342</v>
      </c>
      <c r="M704" t="s">
        <v>3172</v>
      </c>
      <c r="N704" t="s">
        <v>597</v>
      </c>
      <c r="O704" t="s">
        <v>3171</v>
      </c>
      <c r="P704" t="s">
        <v>2434</v>
      </c>
    </row>
    <row r="705" spans="1:16" x14ac:dyDescent="0.15">
      <c r="A705" t="s">
        <v>3110</v>
      </c>
      <c r="B705" t="s">
        <v>2435</v>
      </c>
      <c r="C705" t="s">
        <v>325</v>
      </c>
      <c r="D705" t="s">
        <v>2436</v>
      </c>
      <c r="E705" t="s">
        <v>2437</v>
      </c>
      <c r="F705" t="s">
        <v>2438</v>
      </c>
      <c r="H705" t="s">
        <v>407</v>
      </c>
      <c r="I705" t="s">
        <v>2306</v>
      </c>
      <c r="J705">
        <v>2024</v>
      </c>
      <c r="K705" t="s">
        <v>2119</v>
      </c>
      <c r="N705" t="s">
        <v>243</v>
      </c>
      <c r="P705" t="s">
        <v>2439</v>
      </c>
    </row>
    <row r="706" spans="1:16" x14ac:dyDescent="0.15">
      <c r="A706" t="s">
        <v>3111</v>
      </c>
      <c r="B706" t="s">
        <v>2440</v>
      </c>
      <c r="C706" t="s">
        <v>325</v>
      </c>
      <c r="D706" t="s">
        <v>593</v>
      </c>
      <c r="E706" t="s">
        <v>1901</v>
      </c>
      <c r="F706" t="s">
        <v>2441</v>
      </c>
      <c r="H706" t="s">
        <v>1902</v>
      </c>
      <c r="I706" t="s">
        <v>2306</v>
      </c>
      <c r="J706">
        <v>2024</v>
      </c>
      <c r="K706" t="s">
        <v>2307</v>
      </c>
      <c r="L706">
        <v>45597</v>
      </c>
      <c r="N706" t="s">
        <v>597</v>
      </c>
      <c r="P706" t="s">
        <v>2442</v>
      </c>
    </row>
    <row r="707" spans="1:16" x14ac:dyDescent="0.15">
      <c r="A707" t="s">
        <v>3112</v>
      </c>
      <c r="B707" t="s">
        <v>2443</v>
      </c>
      <c r="C707" t="s">
        <v>325</v>
      </c>
      <c r="D707" t="s">
        <v>593</v>
      </c>
      <c r="F707" t="s">
        <v>2444</v>
      </c>
      <c r="G707" t="s">
        <v>2445</v>
      </c>
      <c r="H707" t="s">
        <v>2446</v>
      </c>
      <c r="I707" t="s">
        <v>1195</v>
      </c>
      <c r="J707">
        <v>2024</v>
      </c>
      <c r="K707" t="s">
        <v>458</v>
      </c>
      <c r="L707">
        <v>45485</v>
      </c>
      <c r="N707" t="s">
        <v>243</v>
      </c>
      <c r="P707" t="s">
        <v>2447</v>
      </c>
    </row>
    <row r="708" spans="1:16" x14ac:dyDescent="0.15">
      <c r="A708" t="s">
        <v>3113</v>
      </c>
      <c r="B708" t="s">
        <v>2448</v>
      </c>
      <c r="C708" t="s">
        <v>325</v>
      </c>
      <c r="D708" t="s">
        <v>2449</v>
      </c>
      <c r="E708" t="s">
        <v>2450</v>
      </c>
      <c r="H708" t="s">
        <v>384</v>
      </c>
      <c r="I708" t="s">
        <v>384</v>
      </c>
      <c r="J708">
        <v>2024</v>
      </c>
      <c r="K708" t="s">
        <v>666</v>
      </c>
      <c r="L708" t="s">
        <v>2342</v>
      </c>
      <c r="N708" t="s">
        <v>243</v>
      </c>
      <c r="O708" t="s">
        <v>3171</v>
      </c>
      <c r="P708" t="s">
        <v>2451</v>
      </c>
    </row>
    <row r="709" spans="1:16" x14ac:dyDescent="0.15">
      <c r="A709" t="s">
        <v>3114</v>
      </c>
      <c r="B709" t="s">
        <v>2452</v>
      </c>
      <c r="C709" t="s">
        <v>325</v>
      </c>
      <c r="D709" t="s">
        <v>2453</v>
      </c>
      <c r="F709" t="s">
        <v>2454</v>
      </c>
      <c r="H709" t="s">
        <v>2455</v>
      </c>
      <c r="I709" t="s">
        <v>2306</v>
      </c>
      <c r="J709">
        <v>2024</v>
      </c>
      <c r="K709" t="s">
        <v>443</v>
      </c>
      <c r="L709">
        <v>45717</v>
      </c>
      <c r="N709" t="s">
        <v>10</v>
      </c>
      <c r="O709" t="s">
        <v>1336</v>
      </c>
      <c r="P709" t="s">
        <v>2456</v>
      </c>
    </row>
    <row r="710" spans="1:16" x14ac:dyDescent="0.15">
      <c r="A710" t="s">
        <v>3115</v>
      </c>
      <c r="B710" t="s">
        <v>2457</v>
      </c>
      <c r="C710" t="s">
        <v>325</v>
      </c>
      <c r="D710" t="s">
        <v>524</v>
      </c>
      <c r="F710" t="s">
        <v>533</v>
      </c>
      <c r="G710" t="s">
        <v>900</v>
      </c>
      <c r="H710" t="s">
        <v>374</v>
      </c>
      <c r="I710" t="s">
        <v>1195</v>
      </c>
      <c r="J710">
        <v>2024</v>
      </c>
      <c r="K710" t="s">
        <v>443</v>
      </c>
      <c r="L710" t="s">
        <v>2458</v>
      </c>
      <c r="N710" t="s">
        <v>243</v>
      </c>
      <c r="O710" t="s">
        <v>331</v>
      </c>
      <c r="P710" t="s">
        <v>2459</v>
      </c>
    </row>
    <row r="711" spans="1:16" x14ac:dyDescent="0.15">
      <c r="A711" t="s">
        <v>3116</v>
      </c>
      <c r="B711" t="s">
        <v>2460</v>
      </c>
      <c r="C711" t="s">
        <v>325</v>
      </c>
      <c r="D711" t="s">
        <v>528</v>
      </c>
      <c r="F711" t="s">
        <v>543</v>
      </c>
      <c r="H711" t="s">
        <v>374</v>
      </c>
      <c r="I711" t="s">
        <v>1195</v>
      </c>
      <c r="J711">
        <v>2024</v>
      </c>
      <c r="K711" t="s">
        <v>666</v>
      </c>
      <c r="L711">
        <v>45595</v>
      </c>
      <c r="N711" t="s">
        <v>243</v>
      </c>
      <c r="P711" t="s">
        <v>2461</v>
      </c>
    </row>
    <row r="712" spans="1:16" x14ac:dyDescent="0.15">
      <c r="A712" t="s">
        <v>3117</v>
      </c>
      <c r="B712" t="s">
        <v>2462</v>
      </c>
      <c r="C712" t="s">
        <v>325</v>
      </c>
      <c r="D712" t="s">
        <v>2463</v>
      </c>
      <c r="E712" t="s">
        <v>2463</v>
      </c>
      <c r="H712" t="s">
        <v>384</v>
      </c>
      <c r="I712" t="s">
        <v>384</v>
      </c>
      <c r="J712">
        <v>2024</v>
      </c>
      <c r="K712" t="s">
        <v>666</v>
      </c>
      <c r="L712">
        <v>45606</v>
      </c>
      <c r="N712" t="s">
        <v>243</v>
      </c>
      <c r="O712" t="s">
        <v>3171</v>
      </c>
      <c r="P712" t="s">
        <v>2464</v>
      </c>
    </row>
    <row r="713" spans="1:16" x14ac:dyDescent="0.15">
      <c r="A713" t="s">
        <v>3118</v>
      </c>
      <c r="B713" t="s">
        <v>2465</v>
      </c>
      <c r="C713" t="s">
        <v>325</v>
      </c>
      <c r="D713" t="s">
        <v>593</v>
      </c>
      <c r="F713" t="s">
        <v>2466</v>
      </c>
      <c r="G713" t="s">
        <v>2467</v>
      </c>
      <c r="H713" t="s">
        <v>374</v>
      </c>
      <c r="I713" t="s">
        <v>2306</v>
      </c>
      <c r="J713">
        <v>2024</v>
      </c>
      <c r="K713" t="s">
        <v>2307</v>
      </c>
      <c r="M713" t="s">
        <v>2468</v>
      </c>
      <c r="N713" t="s">
        <v>243</v>
      </c>
      <c r="P713" t="s">
        <v>2469</v>
      </c>
    </row>
    <row r="714" spans="1:16" x14ac:dyDescent="0.15">
      <c r="A714" t="s">
        <v>3119</v>
      </c>
      <c r="B714" t="s">
        <v>2470</v>
      </c>
      <c r="C714" t="s">
        <v>325</v>
      </c>
      <c r="D714" t="s">
        <v>415</v>
      </c>
      <c r="F714" t="s">
        <v>2471</v>
      </c>
      <c r="H714" t="s">
        <v>1278</v>
      </c>
      <c r="I714" t="s">
        <v>1195</v>
      </c>
      <c r="J714">
        <v>2024</v>
      </c>
      <c r="K714" t="s">
        <v>443</v>
      </c>
      <c r="L714">
        <v>45636</v>
      </c>
      <c r="N714" t="s">
        <v>336</v>
      </c>
      <c r="O714" t="s">
        <v>1336</v>
      </c>
      <c r="P714" t="s">
        <v>2472</v>
      </c>
    </row>
    <row r="715" spans="1:16" x14ac:dyDescent="0.15">
      <c r="A715" t="s">
        <v>3120</v>
      </c>
      <c r="B715" t="s">
        <v>2473</v>
      </c>
      <c r="C715" t="s">
        <v>325</v>
      </c>
      <c r="D715" t="s">
        <v>2474</v>
      </c>
      <c r="F715" t="s">
        <v>2475</v>
      </c>
      <c r="G715" t="s">
        <v>2476</v>
      </c>
      <c r="H715" t="s">
        <v>341</v>
      </c>
      <c r="I715" t="s">
        <v>1195</v>
      </c>
      <c r="J715">
        <v>2024</v>
      </c>
      <c r="K715" t="s">
        <v>521</v>
      </c>
      <c r="L715">
        <v>45611</v>
      </c>
      <c r="N715" t="s">
        <v>243</v>
      </c>
      <c r="P715" t="s">
        <v>2477</v>
      </c>
    </row>
    <row r="716" spans="1:16" x14ac:dyDescent="0.15">
      <c r="A716" t="s">
        <v>3121</v>
      </c>
      <c r="B716" t="s">
        <v>2478</v>
      </c>
      <c r="C716" t="s">
        <v>325</v>
      </c>
      <c r="D716" t="s">
        <v>483</v>
      </c>
      <c r="F716" t="s">
        <v>2479</v>
      </c>
      <c r="H716" t="s">
        <v>578</v>
      </c>
      <c r="I716" t="s">
        <v>1195</v>
      </c>
      <c r="J716">
        <v>2024</v>
      </c>
      <c r="K716" t="s">
        <v>666</v>
      </c>
      <c r="N716" t="s">
        <v>243</v>
      </c>
      <c r="P716" t="s">
        <v>2480</v>
      </c>
    </row>
    <row r="717" spans="1:16" x14ac:dyDescent="0.15">
      <c r="A717" t="s">
        <v>3122</v>
      </c>
      <c r="B717" t="s">
        <v>2481</v>
      </c>
      <c r="C717" t="s">
        <v>325</v>
      </c>
      <c r="D717" t="s">
        <v>2482</v>
      </c>
      <c r="E717" t="s">
        <v>2483</v>
      </c>
      <c r="F717" t="s">
        <v>2484</v>
      </c>
      <c r="G717" t="s">
        <v>2485</v>
      </c>
      <c r="H717" t="s">
        <v>384</v>
      </c>
      <c r="I717" t="s">
        <v>384</v>
      </c>
      <c r="J717">
        <v>2024</v>
      </c>
      <c r="K717" t="s">
        <v>666</v>
      </c>
      <c r="L717" t="s">
        <v>2342</v>
      </c>
      <c r="N717" t="s">
        <v>243</v>
      </c>
      <c r="O717" t="s">
        <v>3171</v>
      </c>
      <c r="P717" t="s">
        <v>2486</v>
      </c>
    </row>
    <row r="718" spans="1:16" x14ac:dyDescent="0.15">
      <c r="A718" t="s">
        <v>3123</v>
      </c>
      <c r="B718" t="s">
        <v>2487</v>
      </c>
      <c r="C718" t="s">
        <v>325</v>
      </c>
      <c r="D718" t="s">
        <v>483</v>
      </c>
      <c r="F718" t="s">
        <v>1518</v>
      </c>
      <c r="H718" t="s">
        <v>436</v>
      </c>
      <c r="I718" t="s">
        <v>1195</v>
      </c>
      <c r="J718">
        <v>2024</v>
      </c>
      <c r="K718" t="s">
        <v>458</v>
      </c>
      <c r="L718">
        <v>45604</v>
      </c>
      <c r="N718" t="s">
        <v>243</v>
      </c>
      <c r="P718" t="s">
        <v>2488</v>
      </c>
    </row>
    <row r="719" spans="1:16" x14ac:dyDescent="0.15">
      <c r="A719" t="s">
        <v>3124</v>
      </c>
      <c r="B719" t="s">
        <v>2489</v>
      </c>
      <c r="C719" t="s">
        <v>325</v>
      </c>
      <c r="D719" t="s">
        <v>483</v>
      </c>
      <c r="F719" t="s">
        <v>1759</v>
      </c>
      <c r="H719" t="s">
        <v>329</v>
      </c>
      <c r="I719" t="s">
        <v>1195</v>
      </c>
      <c r="J719">
        <v>2024</v>
      </c>
      <c r="K719" t="s">
        <v>458</v>
      </c>
      <c r="L719">
        <v>45604</v>
      </c>
      <c r="N719" t="s">
        <v>243</v>
      </c>
      <c r="P719" t="s">
        <v>2490</v>
      </c>
    </row>
    <row r="720" spans="1:16" x14ac:dyDescent="0.15">
      <c r="A720" t="s">
        <v>3125</v>
      </c>
      <c r="B720" t="s">
        <v>2491</v>
      </c>
      <c r="C720" t="s">
        <v>325</v>
      </c>
      <c r="D720" t="s">
        <v>326</v>
      </c>
      <c r="F720" t="s">
        <v>2492</v>
      </c>
      <c r="H720" t="s">
        <v>993</v>
      </c>
      <c r="I720" t="s">
        <v>1195</v>
      </c>
      <c r="J720">
        <v>2024</v>
      </c>
      <c r="K720" t="s">
        <v>458</v>
      </c>
      <c r="L720">
        <v>45629</v>
      </c>
      <c r="N720" t="s">
        <v>243</v>
      </c>
      <c r="P720" t="s">
        <v>2493</v>
      </c>
    </row>
    <row r="721" spans="1:16" x14ac:dyDescent="0.15">
      <c r="A721" t="s">
        <v>3126</v>
      </c>
      <c r="B721" t="s">
        <v>2494</v>
      </c>
      <c r="C721" t="s">
        <v>325</v>
      </c>
      <c r="D721" t="s">
        <v>415</v>
      </c>
      <c r="F721" t="s">
        <v>548</v>
      </c>
      <c r="G721" t="s">
        <v>2495</v>
      </c>
      <c r="H721" t="s">
        <v>485</v>
      </c>
      <c r="I721" t="s">
        <v>1195</v>
      </c>
      <c r="J721">
        <v>2024</v>
      </c>
      <c r="K721" t="s">
        <v>330</v>
      </c>
      <c r="N721" t="s">
        <v>2</v>
      </c>
      <c r="P721" t="s">
        <v>2496</v>
      </c>
    </row>
    <row r="722" spans="1:16" x14ac:dyDescent="0.15">
      <c r="A722" t="s">
        <v>3127</v>
      </c>
      <c r="B722" t="s">
        <v>2497</v>
      </c>
      <c r="C722" t="s">
        <v>325</v>
      </c>
      <c r="D722" t="s">
        <v>415</v>
      </c>
      <c r="E722" t="s">
        <v>1375</v>
      </c>
      <c r="F722" t="s">
        <v>2498</v>
      </c>
      <c r="G722" t="s">
        <v>2499</v>
      </c>
      <c r="H722" t="s">
        <v>341</v>
      </c>
      <c r="I722" t="s">
        <v>1195</v>
      </c>
      <c r="J722">
        <v>2024</v>
      </c>
      <c r="K722" t="s">
        <v>330</v>
      </c>
      <c r="N722" t="s">
        <v>2</v>
      </c>
      <c r="P722" t="s">
        <v>2500</v>
      </c>
    </row>
    <row r="723" spans="1:16" x14ac:dyDescent="0.15">
      <c r="A723" t="s">
        <v>3128</v>
      </c>
      <c r="B723" t="s">
        <v>2501</v>
      </c>
      <c r="C723" t="s">
        <v>325</v>
      </c>
      <c r="D723" t="s">
        <v>2474</v>
      </c>
      <c r="F723" t="s">
        <v>2502</v>
      </c>
      <c r="G723" t="s">
        <v>2503</v>
      </c>
      <c r="H723" t="s">
        <v>341</v>
      </c>
      <c r="I723" t="s">
        <v>1195</v>
      </c>
      <c r="J723">
        <v>2024</v>
      </c>
      <c r="K723" t="s">
        <v>666</v>
      </c>
      <c r="L723">
        <v>45611</v>
      </c>
      <c r="N723" t="s">
        <v>243</v>
      </c>
      <c r="P723" t="s">
        <v>2504</v>
      </c>
    </row>
    <row r="724" spans="1:16" x14ac:dyDescent="0.15">
      <c r="A724" t="s">
        <v>3129</v>
      </c>
      <c r="B724" t="s">
        <v>2505</v>
      </c>
      <c r="C724" t="s">
        <v>325</v>
      </c>
      <c r="D724" t="s">
        <v>415</v>
      </c>
      <c r="E724" t="s">
        <v>399</v>
      </c>
      <c r="F724" t="s">
        <v>2506</v>
      </c>
      <c r="G724" t="s">
        <v>2507</v>
      </c>
      <c r="H724" t="s">
        <v>400</v>
      </c>
      <c r="I724" t="s">
        <v>1195</v>
      </c>
      <c r="J724">
        <v>2024</v>
      </c>
      <c r="K724" t="s">
        <v>330</v>
      </c>
      <c r="N724" t="s">
        <v>243</v>
      </c>
      <c r="P724" t="s">
        <v>2508</v>
      </c>
    </row>
    <row r="725" spans="1:16" x14ac:dyDescent="0.15">
      <c r="A725" t="s">
        <v>3129</v>
      </c>
      <c r="B725" t="s">
        <v>2509</v>
      </c>
      <c r="C725" t="s">
        <v>325</v>
      </c>
      <c r="D725" t="s">
        <v>415</v>
      </c>
      <c r="E725" t="s">
        <v>399</v>
      </c>
      <c r="F725" t="s">
        <v>2506</v>
      </c>
      <c r="G725" t="s">
        <v>2510</v>
      </c>
      <c r="H725" t="s">
        <v>400</v>
      </c>
      <c r="I725" t="s">
        <v>1195</v>
      </c>
      <c r="J725">
        <v>2024</v>
      </c>
      <c r="K725" t="s">
        <v>330</v>
      </c>
      <c r="N725" t="s">
        <v>243</v>
      </c>
      <c r="P725" t="s">
        <v>2508</v>
      </c>
    </row>
    <row r="726" spans="1:16" x14ac:dyDescent="0.15">
      <c r="A726" t="s">
        <v>3130</v>
      </c>
      <c r="B726" t="s">
        <v>2511</v>
      </c>
      <c r="C726" t="s">
        <v>325</v>
      </c>
      <c r="D726" t="s">
        <v>415</v>
      </c>
      <c r="E726" t="s">
        <v>2512</v>
      </c>
      <c r="F726" t="s">
        <v>612</v>
      </c>
      <c r="H726" t="s">
        <v>612</v>
      </c>
      <c r="I726" t="s">
        <v>1195</v>
      </c>
      <c r="J726">
        <v>2024</v>
      </c>
      <c r="K726" t="s">
        <v>2119</v>
      </c>
      <c r="N726" t="s">
        <v>243</v>
      </c>
      <c r="P726" t="s">
        <v>2513</v>
      </c>
    </row>
    <row r="727" spans="1:16" x14ac:dyDescent="0.15">
      <c r="A727" t="s">
        <v>3131</v>
      </c>
      <c r="B727" t="s">
        <v>2514</v>
      </c>
      <c r="C727" t="s">
        <v>325</v>
      </c>
      <c r="D727" t="s">
        <v>372</v>
      </c>
      <c r="F727" t="s">
        <v>2140</v>
      </c>
      <c r="G727" t="s">
        <v>2515</v>
      </c>
      <c r="H727" t="s">
        <v>374</v>
      </c>
      <c r="I727" t="s">
        <v>1195</v>
      </c>
      <c r="J727">
        <v>2024</v>
      </c>
      <c r="K727" t="s">
        <v>458</v>
      </c>
      <c r="L727">
        <v>45604</v>
      </c>
      <c r="N727" t="s">
        <v>943</v>
      </c>
      <c r="P727" t="s">
        <v>2516</v>
      </c>
    </row>
    <row r="728" spans="1:16" x14ac:dyDescent="0.15">
      <c r="A728" t="s">
        <v>3132</v>
      </c>
      <c r="B728" t="s">
        <v>2517</v>
      </c>
      <c r="C728" t="s">
        <v>325</v>
      </c>
      <c r="D728" t="s">
        <v>377</v>
      </c>
      <c r="E728" t="s">
        <v>372</v>
      </c>
      <c r="F728" t="s">
        <v>1607</v>
      </c>
      <c r="H728" t="s">
        <v>485</v>
      </c>
      <c r="I728" t="s">
        <v>1195</v>
      </c>
      <c r="J728">
        <v>2024</v>
      </c>
      <c r="K728" t="s">
        <v>2119</v>
      </c>
      <c r="L728">
        <v>45589</v>
      </c>
      <c r="N728" t="s">
        <v>243</v>
      </c>
      <c r="P728" t="s">
        <v>2518</v>
      </c>
    </row>
    <row r="729" spans="1:16" x14ac:dyDescent="0.15">
      <c r="A729" t="s">
        <v>3133</v>
      </c>
      <c r="B729" t="s">
        <v>2519</v>
      </c>
      <c r="C729" t="s">
        <v>325</v>
      </c>
      <c r="D729" t="s">
        <v>2449</v>
      </c>
      <c r="E729" t="s">
        <v>2520</v>
      </c>
      <c r="F729" t="s">
        <v>2521</v>
      </c>
      <c r="G729" t="s">
        <v>2295</v>
      </c>
      <c r="H729" t="s">
        <v>384</v>
      </c>
      <c r="I729" t="s">
        <v>384</v>
      </c>
      <c r="J729">
        <v>2024</v>
      </c>
      <c r="K729" t="s">
        <v>666</v>
      </c>
      <c r="L729">
        <v>45746</v>
      </c>
      <c r="N729" t="s">
        <v>243</v>
      </c>
      <c r="O729" t="s">
        <v>3171</v>
      </c>
      <c r="P729" t="s">
        <v>2522</v>
      </c>
    </row>
    <row r="730" spans="1:16" x14ac:dyDescent="0.15">
      <c r="A730" t="s">
        <v>3133</v>
      </c>
      <c r="B730">
        <v>80055002251</v>
      </c>
      <c r="C730" t="s">
        <v>325</v>
      </c>
      <c r="D730" t="s">
        <v>2449</v>
      </c>
      <c r="E730" t="s">
        <v>2520</v>
      </c>
      <c r="F730" t="s">
        <v>2521</v>
      </c>
      <c r="G730" t="s">
        <v>2523</v>
      </c>
      <c r="H730" t="s">
        <v>384</v>
      </c>
      <c r="I730" t="s">
        <v>384</v>
      </c>
      <c r="J730">
        <v>2024</v>
      </c>
      <c r="K730" t="s">
        <v>2307</v>
      </c>
      <c r="N730" t="s">
        <v>243</v>
      </c>
      <c r="O730" t="s">
        <v>3171</v>
      </c>
      <c r="P730" t="s">
        <v>2522</v>
      </c>
    </row>
    <row r="731" spans="1:16" x14ac:dyDescent="0.15">
      <c r="A731" t="s">
        <v>3134</v>
      </c>
      <c r="B731" t="s">
        <v>2524</v>
      </c>
      <c r="C731" t="s">
        <v>325</v>
      </c>
      <c r="D731" t="s">
        <v>593</v>
      </c>
      <c r="E731" t="s">
        <v>405</v>
      </c>
      <c r="F731" t="s">
        <v>2525</v>
      </c>
      <c r="G731" t="s">
        <v>2526</v>
      </c>
      <c r="H731" t="s">
        <v>407</v>
      </c>
      <c r="I731" t="s">
        <v>2306</v>
      </c>
      <c r="J731">
        <v>2024</v>
      </c>
      <c r="K731" t="s">
        <v>2307</v>
      </c>
      <c r="N731" t="s">
        <v>243</v>
      </c>
      <c r="P731" t="s">
        <v>2527</v>
      </c>
    </row>
    <row r="732" spans="1:16" x14ac:dyDescent="0.15">
      <c r="A732" t="s">
        <v>3135</v>
      </c>
      <c r="C732" t="s">
        <v>325</v>
      </c>
      <c r="D732" t="s">
        <v>2449</v>
      </c>
      <c r="F732" t="s">
        <v>2528</v>
      </c>
      <c r="H732" t="s">
        <v>384</v>
      </c>
      <c r="I732" t="s">
        <v>384</v>
      </c>
      <c r="J732">
        <v>2024</v>
      </c>
      <c r="K732" t="s">
        <v>2307</v>
      </c>
      <c r="L732">
        <v>45293</v>
      </c>
      <c r="N732" t="s">
        <v>10</v>
      </c>
      <c r="O732" t="s">
        <v>3173</v>
      </c>
      <c r="P732" t="s">
        <v>2529</v>
      </c>
    </row>
    <row r="733" spans="1:16" x14ac:dyDescent="0.15">
      <c r="A733" t="s">
        <v>3136</v>
      </c>
      <c r="C733" t="s">
        <v>325</v>
      </c>
      <c r="D733" t="s">
        <v>2530</v>
      </c>
      <c r="F733" t="s">
        <v>2531</v>
      </c>
      <c r="H733" t="s">
        <v>384</v>
      </c>
      <c r="I733" t="s">
        <v>384</v>
      </c>
      <c r="J733">
        <v>2024</v>
      </c>
      <c r="K733" t="s">
        <v>2307</v>
      </c>
      <c r="L733">
        <v>45446</v>
      </c>
      <c r="N733" t="s">
        <v>10</v>
      </c>
      <c r="O733" t="s">
        <v>3173</v>
      </c>
      <c r="P733" t="s">
        <v>2532</v>
      </c>
    </row>
    <row r="734" spans="1:16" x14ac:dyDescent="0.15">
      <c r="A734" t="s">
        <v>3137</v>
      </c>
      <c r="C734" t="s">
        <v>325</v>
      </c>
      <c r="D734" t="s">
        <v>2530</v>
      </c>
      <c r="F734" t="s">
        <v>2533</v>
      </c>
      <c r="H734" t="s">
        <v>384</v>
      </c>
      <c r="I734" t="s">
        <v>384</v>
      </c>
      <c r="J734">
        <v>2024</v>
      </c>
      <c r="K734" t="s">
        <v>2307</v>
      </c>
      <c r="L734">
        <v>45369</v>
      </c>
      <c r="N734" t="s">
        <v>10</v>
      </c>
      <c r="O734" t="s">
        <v>3173</v>
      </c>
      <c r="P734" t="s">
        <v>2534</v>
      </c>
    </row>
    <row r="735" spans="1:16" x14ac:dyDescent="0.15">
      <c r="A735" t="s">
        <v>3138</v>
      </c>
      <c r="C735" t="s">
        <v>325</v>
      </c>
      <c r="D735" t="s">
        <v>2530</v>
      </c>
      <c r="F735" t="s">
        <v>2535</v>
      </c>
      <c r="H735" t="s">
        <v>384</v>
      </c>
      <c r="I735" t="s">
        <v>384</v>
      </c>
      <c r="J735">
        <v>2024</v>
      </c>
      <c r="K735" t="s">
        <v>2307</v>
      </c>
      <c r="L735">
        <v>45355</v>
      </c>
      <c r="N735" t="s">
        <v>10</v>
      </c>
      <c r="O735" t="s">
        <v>3173</v>
      </c>
      <c r="P735" t="s">
        <v>2536</v>
      </c>
    </row>
    <row r="736" spans="1:16" x14ac:dyDescent="0.15">
      <c r="A736" t="s">
        <v>3139</v>
      </c>
      <c r="C736" t="s">
        <v>325</v>
      </c>
      <c r="D736" t="s">
        <v>2530</v>
      </c>
      <c r="F736" t="s">
        <v>2537</v>
      </c>
      <c r="H736" t="s">
        <v>384</v>
      </c>
      <c r="I736" t="s">
        <v>384</v>
      </c>
      <c r="J736">
        <v>2024</v>
      </c>
      <c r="K736" t="s">
        <v>2307</v>
      </c>
      <c r="L736">
        <v>45392</v>
      </c>
      <c r="N736" t="s">
        <v>10</v>
      </c>
      <c r="O736" t="s">
        <v>3173</v>
      </c>
      <c r="P736" t="s">
        <v>2538</v>
      </c>
    </row>
    <row r="737" spans="1:16" x14ac:dyDescent="0.15">
      <c r="A737" t="s">
        <v>3140</v>
      </c>
      <c r="B737" t="s">
        <v>2539</v>
      </c>
      <c r="C737" t="s">
        <v>325</v>
      </c>
      <c r="D737" t="s">
        <v>326</v>
      </c>
      <c r="F737" t="s">
        <v>2540</v>
      </c>
      <c r="H737" t="s">
        <v>485</v>
      </c>
      <c r="I737" t="s">
        <v>1195</v>
      </c>
      <c r="J737">
        <v>2024</v>
      </c>
      <c r="K737" t="s">
        <v>443</v>
      </c>
      <c r="L737">
        <v>45744</v>
      </c>
      <c r="N737" t="s">
        <v>243</v>
      </c>
      <c r="O737" t="s">
        <v>331</v>
      </c>
      <c r="P737" t="s">
        <v>2541</v>
      </c>
    </row>
    <row r="738" spans="1:16" x14ac:dyDescent="0.15">
      <c r="A738" t="s">
        <v>3141</v>
      </c>
      <c r="B738" t="s">
        <v>3154</v>
      </c>
      <c r="C738" t="s">
        <v>325</v>
      </c>
      <c r="D738" t="s">
        <v>593</v>
      </c>
      <c r="F738" t="s">
        <v>2542</v>
      </c>
      <c r="G738" t="s">
        <v>2543</v>
      </c>
      <c r="H738" t="s">
        <v>485</v>
      </c>
      <c r="I738" t="s">
        <v>2306</v>
      </c>
      <c r="J738">
        <v>2024</v>
      </c>
      <c r="K738" t="s">
        <v>2307</v>
      </c>
      <c r="N738" t="s">
        <v>243</v>
      </c>
      <c r="P738" t="s">
        <v>2544</v>
      </c>
    </row>
    <row r="739" spans="1:16" x14ac:dyDescent="0.15">
      <c r="A739" t="s">
        <v>3142</v>
      </c>
      <c r="B739" t="s">
        <v>2545</v>
      </c>
      <c r="C739" t="s">
        <v>325</v>
      </c>
      <c r="D739" t="s">
        <v>415</v>
      </c>
      <c r="E739" t="s">
        <v>483</v>
      </c>
      <c r="F739" t="s">
        <v>2027</v>
      </c>
      <c r="H739" t="s">
        <v>578</v>
      </c>
      <c r="I739" t="s">
        <v>1195</v>
      </c>
      <c r="J739">
        <v>2024</v>
      </c>
      <c r="K739" t="s">
        <v>458</v>
      </c>
      <c r="L739">
        <v>45677</v>
      </c>
      <c r="N739" t="s">
        <v>243</v>
      </c>
      <c r="P739" t="s">
        <v>2546</v>
      </c>
    </row>
    <row r="740" spans="1:16" x14ac:dyDescent="0.15">
      <c r="A740" t="s">
        <v>3143</v>
      </c>
      <c r="B740" t="s">
        <v>2547</v>
      </c>
      <c r="C740" t="s">
        <v>325</v>
      </c>
      <c r="D740" t="s">
        <v>2548</v>
      </c>
      <c r="F740" t="s">
        <v>2549</v>
      </c>
      <c r="G740" t="s">
        <v>2550</v>
      </c>
      <c r="H740" t="s">
        <v>341</v>
      </c>
      <c r="I740" t="s">
        <v>1195</v>
      </c>
      <c r="J740">
        <v>2024</v>
      </c>
      <c r="K740" t="s">
        <v>458</v>
      </c>
      <c r="L740">
        <v>45583</v>
      </c>
      <c r="N740" t="s">
        <v>336</v>
      </c>
      <c r="P740" t="s">
        <v>2551</v>
      </c>
    </row>
    <row r="741" spans="1:16" x14ac:dyDescent="0.15">
      <c r="A741" t="s">
        <v>3144</v>
      </c>
      <c r="B741" t="s">
        <v>2552</v>
      </c>
      <c r="C741" t="s">
        <v>325</v>
      </c>
      <c r="D741" t="s">
        <v>2553</v>
      </c>
      <c r="E741" t="s">
        <v>2553</v>
      </c>
      <c r="F741" t="s">
        <v>2554</v>
      </c>
      <c r="H741" t="s">
        <v>374</v>
      </c>
      <c r="I741" t="s">
        <v>1195</v>
      </c>
      <c r="J741">
        <v>2024</v>
      </c>
      <c r="K741" t="s">
        <v>2119</v>
      </c>
      <c r="L741">
        <v>45838</v>
      </c>
      <c r="N741" t="s">
        <v>243</v>
      </c>
      <c r="P741" t="s">
        <v>2555</v>
      </c>
    </row>
    <row r="742" spans="1:16" x14ac:dyDescent="0.15">
      <c r="A742" t="s">
        <v>3144</v>
      </c>
      <c r="B742" t="s">
        <v>3211</v>
      </c>
      <c r="C742" t="s">
        <v>325</v>
      </c>
      <c r="D742" t="s">
        <v>2553</v>
      </c>
      <c r="E742" t="s">
        <v>2553</v>
      </c>
      <c r="F742" t="s">
        <v>2554</v>
      </c>
      <c r="G742" t="s">
        <v>3212</v>
      </c>
      <c r="H742" t="s">
        <v>374</v>
      </c>
      <c r="I742" t="s">
        <v>1195</v>
      </c>
      <c r="J742">
        <v>2024</v>
      </c>
      <c r="K742" t="s">
        <v>2119</v>
      </c>
      <c r="L742">
        <v>45712</v>
      </c>
      <c r="N742" t="s">
        <v>336</v>
      </c>
      <c r="P742" t="s">
        <v>2555</v>
      </c>
    </row>
    <row r="743" spans="1:16" x14ac:dyDescent="0.15">
      <c r="A743" t="s">
        <v>2556</v>
      </c>
      <c r="B743" t="s">
        <v>3155</v>
      </c>
      <c r="C743" t="s">
        <v>325</v>
      </c>
      <c r="D743" t="s">
        <v>953</v>
      </c>
      <c r="F743" t="s">
        <v>2557</v>
      </c>
      <c r="H743" t="s">
        <v>2558</v>
      </c>
      <c r="I743" t="s">
        <v>1195</v>
      </c>
      <c r="J743">
        <v>2024</v>
      </c>
      <c r="K743" t="s">
        <v>443</v>
      </c>
      <c r="L743">
        <v>45664</v>
      </c>
      <c r="N743" t="s">
        <v>10</v>
      </c>
      <c r="O743" t="s">
        <v>3213</v>
      </c>
      <c r="P743" t="s">
        <v>2559</v>
      </c>
    </row>
    <row r="744" spans="1:16" x14ac:dyDescent="0.15">
      <c r="A744" t="s">
        <v>3145</v>
      </c>
      <c r="B744" t="s">
        <v>2560</v>
      </c>
      <c r="C744" t="s">
        <v>325</v>
      </c>
      <c r="D744" t="s">
        <v>2254</v>
      </c>
      <c r="F744" t="s">
        <v>2561</v>
      </c>
      <c r="G744" t="s">
        <v>2562</v>
      </c>
      <c r="H744" t="s">
        <v>1148</v>
      </c>
      <c r="I744" t="s">
        <v>1195</v>
      </c>
      <c r="J744">
        <v>2024</v>
      </c>
      <c r="K744" t="s">
        <v>666</v>
      </c>
      <c r="L744">
        <v>45747</v>
      </c>
      <c r="N744" t="s">
        <v>243</v>
      </c>
      <c r="P744" t="s">
        <v>2563</v>
      </c>
    </row>
    <row r="745" spans="1:16" x14ac:dyDescent="0.15">
      <c r="A745" t="s">
        <v>3146</v>
      </c>
      <c r="B745" t="s">
        <v>2564</v>
      </c>
      <c r="C745" t="s">
        <v>325</v>
      </c>
      <c r="D745" t="s">
        <v>2565</v>
      </c>
      <c r="E745" t="s">
        <v>3156</v>
      </c>
      <c r="F745" t="s">
        <v>2566</v>
      </c>
      <c r="G745" t="s">
        <v>2295</v>
      </c>
      <c r="H745" t="s">
        <v>384</v>
      </c>
      <c r="I745" t="s">
        <v>384</v>
      </c>
      <c r="J745">
        <v>2024</v>
      </c>
      <c r="K745" t="s">
        <v>666</v>
      </c>
      <c r="L745">
        <v>45777</v>
      </c>
      <c r="N745" t="s">
        <v>243</v>
      </c>
      <c r="O745" t="s">
        <v>3171</v>
      </c>
      <c r="P745" t="s">
        <v>3157</v>
      </c>
    </row>
    <row r="746" spans="1:16" x14ac:dyDescent="0.15">
      <c r="A746" t="s">
        <v>3147</v>
      </c>
      <c r="B746" t="s">
        <v>3158</v>
      </c>
      <c r="C746" t="s">
        <v>2</v>
      </c>
      <c r="D746" t="s">
        <v>593</v>
      </c>
      <c r="F746" t="s">
        <v>2567</v>
      </c>
      <c r="H746" t="s">
        <v>411</v>
      </c>
      <c r="I746" t="s">
        <v>2306</v>
      </c>
      <c r="J746">
        <v>2024</v>
      </c>
      <c r="K746" t="s">
        <v>2307</v>
      </c>
      <c r="N746" t="s">
        <v>243</v>
      </c>
      <c r="P746" t="s">
        <v>2568</v>
      </c>
    </row>
    <row r="747" spans="1:16" x14ac:dyDescent="0.15">
      <c r="A747" t="s">
        <v>3148</v>
      </c>
      <c r="B747" t="s">
        <v>3159</v>
      </c>
      <c r="C747" t="s">
        <v>2</v>
      </c>
      <c r="D747" t="s">
        <v>2569</v>
      </c>
      <c r="G747" t="s">
        <v>2570</v>
      </c>
      <c r="H747" t="s">
        <v>1512</v>
      </c>
      <c r="I747" t="s">
        <v>2306</v>
      </c>
      <c r="J747">
        <v>2024</v>
      </c>
      <c r="K747" t="s">
        <v>2307</v>
      </c>
      <c r="N747" t="s">
        <v>243</v>
      </c>
      <c r="P747" t="s">
        <v>2571</v>
      </c>
    </row>
    <row r="748" spans="1:16" x14ac:dyDescent="0.15">
      <c r="A748" t="s">
        <v>3149</v>
      </c>
      <c r="B748" t="s">
        <v>2572</v>
      </c>
      <c r="C748" t="s">
        <v>325</v>
      </c>
      <c r="D748" t="s">
        <v>2573</v>
      </c>
      <c r="F748" t="s">
        <v>2574</v>
      </c>
      <c r="G748" t="s">
        <v>2575</v>
      </c>
      <c r="H748" t="s">
        <v>341</v>
      </c>
      <c r="I748" t="s">
        <v>1195</v>
      </c>
      <c r="J748">
        <v>2024</v>
      </c>
      <c r="K748" t="s">
        <v>458</v>
      </c>
      <c r="N748" t="s">
        <v>243</v>
      </c>
      <c r="P748" t="s">
        <v>2576</v>
      </c>
    </row>
    <row r="749" spans="1:16" x14ac:dyDescent="0.15">
      <c r="A749" t="s">
        <v>3150</v>
      </c>
      <c r="B749" t="s">
        <v>3214</v>
      </c>
      <c r="C749" t="s">
        <v>2</v>
      </c>
      <c r="D749" t="s">
        <v>1657</v>
      </c>
      <c r="F749" t="s">
        <v>2577</v>
      </c>
      <c r="H749" t="s">
        <v>411</v>
      </c>
      <c r="I749" t="s">
        <v>2306</v>
      </c>
      <c r="J749">
        <v>2024</v>
      </c>
      <c r="K749" t="s">
        <v>330</v>
      </c>
      <c r="N749" t="s">
        <v>243</v>
      </c>
      <c r="P749" t="s">
        <v>2578</v>
      </c>
    </row>
    <row r="750" spans="1:16" x14ac:dyDescent="0.15">
      <c r="A750" t="s">
        <v>3151</v>
      </c>
      <c r="B750" t="s">
        <v>3160</v>
      </c>
      <c r="C750" t="s">
        <v>325</v>
      </c>
      <c r="D750" t="s">
        <v>593</v>
      </c>
      <c r="F750" t="s">
        <v>2579</v>
      </c>
      <c r="G750" t="s">
        <v>3181</v>
      </c>
      <c r="H750" t="s">
        <v>1278</v>
      </c>
      <c r="I750" t="s">
        <v>2306</v>
      </c>
      <c r="J750">
        <v>2024</v>
      </c>
      <c r="K750" t="s">
        <v>2307</v>
      </c>
      <c r="N750" t="s">
        <v>243</v>
      </c>
      <c r="P750" t="s">
        <v>2580</v>
      </c>
    </row>
    <row r="751" spans="1:16" x14ac:dyDescent="0.15">
      <c r="A751" t="s">
        <v>3151</v>
      </c>
      <c r="B751" t="s">
        <v>3182</v>
      </c>
      <c r="C751" t="s">
        <v>325</v>
      </c>
      <c r="D751" t="s">
        <v>593</v>
      </c>
      <c r="F751" t="s">
        <v>2579</v>
      </c>
      <c r="G751" t="s">
        <v>2400</v>
      </c>
      <c r="H751" t="s">
        <v>1278</v>
      </c>
      <c r="I751" t="s">
        <v>2306</v>
      </c>
      <c r="J751">
        <v>2024</v>
      </c>
      <c r="K751" t="s">
        <v>2307</v>
      </c>
      <c r="N751" t="s">
        <v>243</v>
      </c>
      <c r="P751" t="s">
        <v>2580</v>
      </c>
    </row>
    <row r="752" spans="1:16" x14ac:dyDescent="0.15">
      <c r="A752" t="s">
        <v>3161</v>
      </c>
      <c r="B752" t="s">
        <v>3162</v>
      </c>
      <c r="C752" t="s">
        <v>2</v>
      </c>
      <c r="D752" t="s">
        <v>483</v>
      </c>
      <c r="F752" t="s">
        <v>2479</v>
      </c>
      <c r="H752" t="s">
        <v>578</v>
      </c>
      <c r="I752" t="s">
        <v>1195</v>
      </c>
      <c r="J752">
        <v>2024</v>
      </c>
      <c r="K752" t="s">
        <v>458</v>
      </c>
      <c r="L752">
        <v>45716</v>
      </c>
      <c r="N752" t="s">
        <v>243</v>
      </c>
      <c r="P752" t="s">
        <v>3215</v>
      </c>
    </row>
    <row r="753" spans="1:16" x14ac:dyDescent="0.15">
      <c r="A753" t="s">
        <v>3161</v>
      </c>
      <c r="B753" t="s">
        <v>3216</v>
      </c>
      <c r="C753" t="s">
        <v>325</v>
      </c>
      <c r="D753" t="s">
        <v>483</v>
      </c>
      <c r="F753" t="s">
        <v>2479</v>
      </c>
      <c r="H753" t="s">
        <v>578</v>
      </c>
      <c r="I753" t="s">
        <v>1195</v>
      </c>
      <c r="J753">
        <v>2025</v>
      </c>
      <c r="K753" t="s">
        <v>458</v>
      </c>
      <c r="L753">
        <v>45777</v>
      </c>
      <c r="N753" t="s">
        <v>243</v>
      </c>
      <c r="P753" t="s">
        <v>3217</v>
      </c>
    </row>
    <row r="754" spans="1:16" x14ac:dyDescent="0.15">
      <c r="A754" t="s">
        <v>3178</v>
      </c>
      <c r="B754" t="s">
        <v>3163</v>
      </c>
      <c r="C754" t="s">
        <v>325</v>
      </c>
      <c r="D754" t="s">
        <v>3164</v>
      </c>
      <c r="E754" t="s">
        <v>3164</v>
      </c>
      <c r="F754" t="s">
        <v>3165</v>
      </c>
      <c r="G754" t="s">
        <v>1756</v>
      </c>
      <c r="H754" t="s">
        <v>341</v>
      </c>
      <c r="I754" t="s">
        <v>1195</v>
      </c>
      <c r="J754">
        <v>2025</v>
      </c>
      <c r="K754" t="s">
        <v>2119</v>
      </c>
      <c r="N754" t="s">
        <v>336</v>
      </c>
      <c r="P754" t="s">
        <v>3218</v>
      </c>
    </row>
    <row r="755" spans="1:16" x14ac:dyDescent="0.15">
      <c r="A755" t="s">
        <v>3178</v>
      </c>
      <c r="B755" t="s">
        <v>3183</v>
      </c>
      <c r="C755" t="s">
        <v>325</v>
      </c>
      <c r="D755" t="s">
        <v>3164</v>
      </c>
      <c r="E755" t="s">
        <v>3164</v>
      </c>
      <c r="F755" t="s">
        <v>3165</v>
      </c>
      <c r="H755" t="s">
        <v>341</v>
      </c>
      <c r="I755" t="s">
        <v>1195</v>
      </c>
      <c r="J755">
        <v>2025</v>
      </c>
      <c r="K755" t="s">
        <v>2119</v>
      </c>
      <c r="N755" t="s">
        <v>243</v>
      </c>
      <c r="P755" t="s">
        <v>3218</v>
      </c>
    </row>
    <row r="756" spans="1:16" x14ac:dyDescent="0.15">
      <c r="A756" t="s">
        <v>3178</v>
      </c>
      <c r="B756" t="s">
        <v>3184</v>
      </c>
      <c r="C756" t="s">
        <v>325</v>
      </c>
      <c r="D756" t="s">
        <v>3164</v>
      </c>
      <c r="E756" t="s">
        <v>3164</v>
      </c>
      <c r="F756" t="s">
        <v>3165</v>
      </c>
      <c r="H756" t="s">
        <v>341</v>
      </c>
      <c r="I756" t="s">
        <v>1195</v>
      </c>
      <c r="J756">
        <v>2025</v>
      </c>
      <c r="K756" t="s">
        <v>2119</v>
      </c>
      <c r="N756" t="s">
        <v>243</v>
      </c>
      <c r="P756" t="s">
        <v>3218</v>
      </c>
    </row>
    <row r="757" spans="1:16" x14ac:dyDescent="0.15">
      <c r="A757" t="s">
        <v>3166</v>
      </c>
      <c r="B757" t="s">
        <v>3167</v>
      </c>
      <c r="C757" t="s">
        <v>325</v>
      </c>
      <c r="D757" t="s">
        <v>326</v>
      </c>
      <c r="E757" t="s">
        <v>483</v>
      </c>
      <c r="F757" t="s">
        <v>2479</v>
      </c>
      <c r="H757" t="s">
        <v>578</v>
      </c>
      <c r="I757" t="s">
        <v>1195</v>
      </c>
      <c r="J757">
        <v>2024</v>
      </c>
      <c r="K757" t="s">
        <v>443</v>
      </c>
      <c r="L757">
        <v>45716</v>
      </c>
      <c r="N757" t="s">
        <v>243</v>
      </c>
      <c r="O757" t="s">
        <v>331</v>
      </c>
      <c r="P757" t="s">
        <v>3219</v>
      </c>
    </row>
    <row r="758" spans="1:16" x14ac:dyDescent="0.15">
      <c r="A758" t="s">
        <v>3168</v>
      </c>
      <c r="B758" t="s">
        <v>3174</v>
      </c>
      <c r="C758" t="s">
        <v>325</v>
      </c>
      <c r="D758" t="s">
        <v>3185</v>
      </c>
      <c r="E758" t="s">
        <v>405</v>
      </c>
      <c r="F758" t="s">
        <v>3169</v>
      </c>
      <c r="H758" t="s">
        <v>407</v>
      </c>
      <c r="I758" t="s">
        <v>2306</v>
      </c>
      <c r="J758">
        <v>2025</v>
      </c>
      <c r="K758" t="s">
        <v>443</v>
      </c>
      <c r="L758">
        <v>45749</v>
      </c>
      <c r="N758" t="s">
        <v>243</v>
      </c>
      <c r="O758" t="s">
        <v>331</v>
      </c>
      <c r="P758" t="s">
        <v>3220</v>
      </c>
    </row>
    <row r="759" spans="1:16" x14ac:dyDescent="0.15">
      <c r="A759" t="s">
        <v>3175</v>
      </c>
      <c r="B759" t="s">
        <v>3186</v>
      </c>
      <c r="C759" t="s">
        <v>325</v>
      </c>
      <c r="D759" t="s">
        <v>3176</v>
      </c>
      <c r="F759" t="s">
        <v>3177</v>
      </c>
      <c r="G759" t="s">
        <v>2295</v>
      </c>
      <c r="H759" t="s">
        <v>384</v>
      </c>
      <c r="I759" t="s">
        <v>384</v>
      </c>
      <c r="J759">
        <v>2025</v>
      </c>
      <c r="K759" t="s">
        <v>666</v>
      </c>
      <c r="L759">
        <v>45823</v>
      </c>
      <c r="N759" t="s">
        <v>243</v>
      </c>
      <c r="O759" t="s">
        <v>3171</v>
      </c>
      <c r="P759" t="s">
        <v>3221</v>
      </c>
    </row>
    <row r="760" spans="1:16" x14ac:dyDescent="0.15">
      <c r="A760" t="s">
        <v>3179</v>
      </c>
      <c r="B760" t="s">
        <v>3538</v>
      </c>
      <c r="C760" t="s">
        <v>325</v>
      </c>
      <c r="D760" t="s">
        <v>483</v>
      </c>
      <c r="E760" t="s">
        <v>483</v>
      </c>
      <c r="F760" t="s">
        <v>1951</v>
      </c>
      <c r="H760" t="s">
        <v>485</v>
      </c>
      <c r="I760" t="s">
        <v>1195</v>
      </c>
      <c r="J760">
        <v>2025</v>
      </c>
      <c r="K760" t="s">
        <v>2119</v>
      </c>
      <c r="L760" t="s">
        <v>2</v>
      </c>
      <c r="N760" t="s">
        <v>10</v>
      </c>
      <c r="P760" t="s">
        <v>3222</v>
      </c>
    </row>
    <row r="761" spans="1:16" x14ac:dyDescent="0.15">
      <c r="A761" t="s">
        <v>3187</v>
      </c>
      <c r="B761" t="s">
        <v>3188</v>
      </c>
      <c r="C761" t="s">
        <v>325</v>
      </c>
      <c r="D761" t="s">
        <v>548</v>
      </c>
      <c r="F761" t="s">
        <v>548</v>
      </c>
      <c r="H761" t="s">
        <v>485</v>
      </c>
      <c r="I761" t="s">
        <v>1195</v>
      </c>
      <c r="J761">
        <v>2025</v>
      </c>
      <c r="K761" t="s">
        <v>443</v>
      </c>
      <c r="L761">
        <v>45733</v>
      </c>
      <c r="N761" t="s">
        <v>243</v>
      </c>
      <c r="O761" t="s">
        <v>331</v>
      </c>
      <c r="P761" t="s">
        <v>3223</v>
      </c>
    </row>
    <row r="762" spans="1:16" x14ac:dyDescent="0.15">
      <c r="A762" t="s">
        <v>3189</v>
      </c>
      <c r="B762" t="s">
        <v>3190</v>
      </c>
      <c r="C762" t="s">
        <v>325</v>
      </c>
      <c r="D762" t="s">
        <v>593</v>
      </c>
      <c r="E762" t="s">
        <v>3191</v>
      </c>
      <c r="F762" t="s">
        <v>3191</v>
      </c>
      <c r="I762" t="s">
        <v>2306</v>
      </c>
      <c r="J762">
        <v>2025</v>
      </c>
      <c r="K762" t="s">
        <v>2</v>
      </c>
      <c r="N762" t="s">
        <v>243</v>
      </c>
      <c r="P762" t="s">
        <v>3224</v>
      </c>
    </row>
    <row r="763" spans="1:16" x14ac:dyDescent="0.15">
      <c r="A763" t="s">
        <v>3192</v>
      </c>
      <c r="B763" t="s">
        <v>3539</v>
      </c>
      <c r="C763" t="s">
        <v>325</v>
      </c>
      <c r="D763" t="s">
        <v>953</v>
      </c>
      <c r="F763" t="s">
        <v>3193</v>
      </c>
      <c r="H763" t="s">
        <v>485</v>
      </c>
      <c r="I763" t="s">
        <v>1195</v>
      </c>
      <c r="J763">
        <v>2025</v>
      </c>
      <c r="K763" t="s">
        <v>443</v>
      </c>
      <c r="L763">
        <v>45838</v>
      </c>
      <c r="N763" t="s">
        <v>10</v>
      </c>
      <c r="P763" t="s">
        <v>3225</v>
      </c>
    </row>
    <row r="764" spans="1:16" x14ac:dyDescent="0.15">
      <c r="A764" t="s">
        <v>3194</v>
      </c>
      <c r="C764" t="s">
        <v>2</v>
      </c>
      <c r="D764" t="s">
        <v>970</v>
      </c>
      <c r="F764" t="s">
        <v>970</v>
      </c>
      <c r="G764" t="s">
        <v>3195</v>
      </c>
      <c r="H764" t="s">
        <v>3196</v>
      </c>
      <c r="J764">
        <v>2025</v>
      </c>
      <c r="K764" t="s">
        <v>330</v>
      </c>
      <c r="N764" t="s">
        <v>2</v>
      </c>
      <c r="P764" t="s">
        <v>3226</v>
      </c>
    </row>
    <row r="765" spans="1:16" x14ac:dyDescent="0.15">
      <c r="A765" t="s">
        <v>3197</v>
      </c>
      <c r="B765" t="s">
        <v>3198</v>
      </c>
      <c r="C765" t="s">
        <v>325</v>
      </c>
      <c r="D765" t="s">
        <v>3199</v>
      </c>
      <c r="F765" t="s">
        <v>3200</v>
      </c>
      <c r="G765" t="s">
        <v>1450</v>
      </c>
      <c r="H765" t="s">
        <v>411</v>
      </c>
      <c r="I765" t="s">
        <v>2306</v>
      </c>
      <c r="J765">
        <v>2025</v>
      </c>
      <c r="K765" t="s">
        <v>666</v>
      </c>
      <c r="L765">
        <v>45853</v>
      </c>
      <c r="N765" t="s">
        <v>10</v>
      </c>
      <c r="P765" t="s">
        <v>3227</v>
      </c>
    </row>
    <row r="766" spans="1:16" x14ac:dyDescent="0.15">
      <c r="A766" t="s">
        <v>3201</v>
      </c>
      <c r="B766" t="s">
        <v>3202</v>
      </c>
      <c r="C766" t="s">
        <v>2</v>
      </c>
      <c r="D766" t="s">
        <v>326</v>
      </c>
      <c r="F766" t="s">
        <v>2379</v>
      </c>
      <c r="H766" t="s">
        <v>400</v>
      </c>
      <c r="I766" t="s">
        <v>1195</v>
      </c>
      <c r="J766">
        <v>2025</v>
      </c>
      <c r="K766" t="s">
        <v>2119</v>
      </c>
      <c r="L766">
        <v>45800</v>
      </c>
      <c r="N766" t="s">
        <v>243</v>
      </c>
      <c r="P766" t="s">
        <v>3228</v>
      </c>
    </row>
    <row r="767" spans="1:16" x14ac:dyDescent="0.15">
      <c r="A767" t="s">
        <v>3203</v>
      </c>
      <c r="B767" t="s">
        <v>3204</v>
      </c>
      <c r="C767" t="s">
        <v>325</v>
      </c>
      <c r="D767" t="s">
        <v>372</v>
      </c>
      <c r="F767" t="s">
        <v>509</v>
      </c>
      <c r="G767" t="s">
        <v>3205</v>
      </c>
      <c r="H767" t="s">
        <v>374</v>
      </c>
      <c r="I767" t="s">
        <v>1195</v>
      </c>
      <c r="J767">
        <v>2025</v>
      </c>
      <c r="K767" t="s">
        <v>458</v>
      </c>
      <c r="L767">
        <v>45777</v>
      </c>
      <c r="N767" t="s">
        <v>243</v>
      </c>
      <c r="P767" t="s">
        <v>3229</v>
      </c>
    </row>
    <row r="768" spans="1:16" x14ac:dyDescent="0.15">
      <c r="A768" t="s">
        <v>3230</v>
      </c>
      <c r="B768" t="s">
        <v>3231</v>
      </c>
      <c r="C768" t="s">
        <v>325</v>
      </c>
      <c r="D768" t="s">
        <v>415</v>
      </c>
      <c r="F768" t="s">
        <v>3232</v>
      </c>
      <c r="H768" t="s">
        <v>341</v>
      </c>
      <c r="I768" t="s">
        <v>1195</v>
      </c>
      <c r="J768">
        <v>2025</v>
      </c>
      <c r="K768" t="s">
        <v>443</v>
      </c>
      <c r="L768">
        <v>45793</v>
      </c>
      <c r="N768" t="s">
        <v>243</v>
      </c>
      <c r="O768" t="s">
        <v>331</v>
      </c>
      <c r="P768" t="s">
        <v>3233</v>
      </c>
    </row>
    <row r="769" spans="1:16" x14ac:dyDescent="0.15">
      <c r="A769" t="s">
        <v>3234</v>
      </c>
      <c r="B769" t="s">
        <v>3235</v>
      </c>
      <c r="C769" t="s">
        <v>325</v>
      </c>
      <c r="D769" t="s">
        <v>483</v>
      </c>
      <c r="F769" t="s">
        <v>1518</v>
      </c>
      <c r="H769" t="s">
        <v>436</v>
      </c>
      <c r="I769" t="s">
        <v>1195</v>
      </c>
      <c r="J769">
        <v>2025</v>
      </c>
      <c r="K769" t="s">
        <v>458</v>
      </c>
      <c r="L769">
        <v>45779</v>
      </c>
      <c r="N769" t="s">
        <v>243</v>
      </c>
      <c r="P769" t="s">
        <v>3236</v>
      </c>
    </row>
    <row r="770" spans="1:16" x14ac:dyDescent="0.15">
      <c r="A770" t="s">
        <v>3237</v>
      </c>
      <c r="B770" t="s">
        <v>3238</v>
      </c>
      <c r="C770" t="s">
        <v>325</v>
      </c>
      <c r="D770" t="s">
        <v>593</v>
      </c>
      <c r="F770" t="s">
        <v>3239</v>
      </c>
      <c r="H770" t="s">
        <v>374</v>
      </c>
      <c r="I770" t="s">
        <v>2306</v>
      </c>
      <c r="J770">
        <v>2025</v>
      </c>
      <c r="K770" t="s">
        <v>2</v>
      </c>
      <c r="L770">
        <v>45762</v>
      </c>
      <c r="N770" t="s">
        <v>243</v>
      </c>
      <c r="P770" t="s">
        <v>3240</v>
      </c>
    </row>
    <row r="771" spans="1:16" x14ac:dyDescent="0.15">
      <c r="A771" t="s">
        <v>3241</v>
      </c>
      <c r="B771" t="s">
        <v>3242</v>
      </c>
      <c r="C771" t="s">
        <v>325</v>
      </c>
      <c r="D771" t="s">
        <v>3243</v>
      </c>
      <c r="F771" t="s">
        <v>3244</v>
      </c>
      <c r="H771" t="s">
        <v>2455</v>
      </c>
      <c r="I771" t="s">
        <v>2306</v>
      </c>
      <c r="J771">
        <v>2025</v>
      </c>
      <c r="K771" t="s">
        <v>3350</v>
      </c>
      <c r="L771">
        <v>45931</v>
      </c>
      <c r="N771" t="s">
        <v>243</v>
      </c>
      <c r="P771" t="s">
        <v>3245</v>
      </c>
    </row>
    <row r="772" spans="1:16" x14ac:dyDescent="0.15">
      <c r="A772" t="s">
        <v>3246</v>
      </c>
      <c r="B772" t="s">
        <v>3247</v>
      </c>
      <c r="C772" t="s">
        <v>325</v>
      </c>
      <c r="D772" t="s">
        <v>3243</v>
      </c>
      <c r="F772" t="s">
        <v>3248</v>
      </c>
      <c r="H772" t="s">
        <v>388</v>
      </c>
      <c r="I772" t="s">
        <v>2306</v>
      </c>
      <c r="J772">
        <v>2025</v>
      </c>
      <c r="K772" t="s">
        <v>3249</v>
      </c>
      <c r="L772">
        <v>45811</v>
      </c>
      <c r="N772" t="s">
        <v>243</v>
      </c>
      <c r="P772" t="s">
        <v>3250</v>
      </c>
    </row>
    <row r="773" spans="1:16" x14ac:dyDescent="0.15">
      <c r="A773" t="s">
        <v>3251</v>
      </c>
      <c r="B773" t="s">
        <v>3252</v>
      </c>
      <c r="C773" t="s">
        <v>325</v>
      </c>
      <c r="D773" t="s">
        <v>593</v>
      </c>
      <c r="F773" t="s">
        <v>3253</v>
      </c>
      <c r="H773" t="s">
        <v>485</v>
      </c>
      <c r="I773" t="s">
        <v>2306</v>
      </c>
      <c r="J773">
        <v>2025</v>
      </c>
      <c r="K773" t="s">
        <v>2</v>
      </c>
      <c r="L773">
        <v>45792</v>
      </c>
      <c r="N773" t="s">
        <v>243</v>
      </c>
      <c r="P773" t="s">
        <v>3254</v>
      </c>
    </row>
    <row r="774" spans="1:16" x14ac:dyDescent="0.15">
      <c r="A774" t="s">
        <v>3246</v>
      </c>
      <c r="B774" t="s">
        <v>3255</v>
      </c>
      <c r="C774" t="s">
        <v>325</v>
      </c>
      <c r="D774" t="s">
        <v>3243</v>
      </c>
      <c r="F774" t="s">
        <v>3248</v>
      </c>
      <c r="H774" t="s">
        <v>388</v>
      </c>
      <c r="I774" t="s">
        <v>1195</v>
      </c>
      <c r="J774">
        <v>2025</v>
      </c>
      <c r="K774" t="s">
        <v>2119</v>
      </c>
      <c r="L774">
        <v>45957</v>
      </c>
      <c r="N774" t="s">
        <v>10</v>
      </c>
      <c r="P774" t="s">
        <v>3250</v>
      </c>
    </row>
    <row r="775" spans="1:16" x14ac:dyDescent="0.15">
      <c r="A775" t="s">
        <v>3246</v>
      </c>
      <c r="B775" t="s">
        <v>3540</v>
      </c>
      <c r="C775" t="s">
        <v>325</v>
      </c>
      <c r="D775" t="s">
        <v>3243</v>
      </c>
      <c r="F775" t="s">
        <v>3248</v>
      </c>
      <c r="H775" t="s">
        <v>388</v>
      </c>
      <c r="I775" t="s">
        <v>1195</v>
      </c>
      <c r="J775">
        <v>2025</v>
      </c>
      <c r="K775" t="s">
        <v>2119</v>
      </c>
      <c r="L775">
        <v>45957</v>
      </c>
      <c r="N775" t="s">
        <v>10</v>
      </c>
      <c r="P775" t="s">
        <v>3250</v>
      </c>
    </row>
    <row r="776" spans="1:16" x14ac:dyDescent="0.15">
      <c r="A776" t="s">
        <v>3256</v>
      </c>
      <c r="B776" t="s">
        <v>3257</v>
      </c>
      <c r="C776" t="s">
        <v>325</v>
      </c>
      <c r="D776" t="s">
        <v>593</v>
      </c>
      <c r="F776" t="s">
        <v>3258</v>
      </c>
      <c r="H776" t="s">
        <v>485</v>
      </c>
      <c r="I776" t="s">
        <v>2306</v>
      </c>
      <c r="J776">
        <v>2025</v>
      </c>
      <c r="K776" t="s">
        <v>2</v>
      </c>
      <c r="L776">
        <v>45750</v>
      </c>
      <c r="N776" t="s">
        <v>243</v>
      </c>
      <c r="P776" t="s">
        <v>3259</v>
      </c>
    </row>
    <row r="777" spans="1:16" x14ac:dyDescent="0.15">
      <c r="A777" t="s">
        <v>3260</v>
      </c>
      <c r="B777" t="s">
        <v>3386</v>
      </c>
      <c r="C777" t="s">
        <v>325</v>
      </c>
      <c r="D777" t="s">
        <v>415</v>
      </c>
      <c r="F777" t="s">
        <v>3261</v>
      </c>
      <c r="H777" t="s">
        <v>1148</v>
      </c>
      <c r="I777" t="s">
        <v>1195</v>
      </c>
      <c r="J777">
        <v>2025</v>
      </c>
      <c r="K777" t="s">
        <v>443</v>
      </c>
      <c r="N777" t="s">
        <v>10</v>
      </c>
      <c r="O777" t="s">
        <v>3262</v>
      </c>
      <c r="P777" t="s">
        <v>3263</v>
      </c>
    </row>
    <row r="778" spans="1:16" x14ac:dyDescent="0.15">
      <c r="A778" t="s">
        <v>3541</v>
      </c>
      <c r="B778" t="s">
        <v>3646</v>
      </c>
      <c r="C778" t="s">
        <v>325</v>
      </c>
      <c r="D778" t="s">
        <v>3264</v>
      </c>
      <c r="F778" t="s">
        <v>357</v>
      </c>
      <c r="G778" t="s">
        <v>3265</v>
      </c>
      <c r="H778" t="s">
        <v>347</v>
      </c>
      <c r="I778" t="s">
        <v>1195</v>
      </c>
      <c r="J778">
        <v>2025</v>
      </c>
      <c r="K778" t="s">
        <v>666</v>
      </c>
      <c r="N778" t="s">
        <v>10</v>
      </c>
      <c r="P778" t="s">
        <v>3542</v>
      </c>
    </row>
    <row r="779" spans="1:16" x14ac:dyDescent="0.15">
      <c r="A779" t="s">
        <v>3266</v>
      </c>
      <c r="C779" t="s">
        <v>325</v>
      </c>
      <c r="D779" t="s">
        <v>3267</v>
      </c>
      <c r="F779" t="s">
        <v>3268</v>
      </c>
      <c r="G779" t="s">
        <v>3269</v>
      </c>
      <c r="H779" t="s">
        <v>341</v>
      </c>
      <c r="I779" t="s">
        <v>1195</v>
      </c>
      <c r="J779">
        <v>2025</v>
      </c>
      <c r="K779" t="s">
        <v>2</v>
      </c>
      <c r="N779" t="s">
        <v>10</v>
      </c>
      <c r="P779" t="s">
        <v>3270</v>
      </c>
    </row>
    <row r="780" spans="1:16" x14ac:dyDescent="0.15">
      <c r="A780" t="s">
        <v>3251</v>
      </c>
      <c r="B780" t="s">
        <v>3271</v>
      </c>
      <c r="C780" t="s">
        <v>325</v>
      </c>
      <c r="D780" t="s">
        <v>593</v>
      </c>
      <c r="F780" t="s">
        <v>3387</v>
      </c>
      <c r="G780" t="s">
        <v>3272</v>
      </c>
      <c r="H780" t="s">
        <v>485</v>
      </c>
      <c r="I780" t="s">
        <v>1195</v>
      </c>
      <c r="J780">
        <v>2025</v>
      </c>
      <c r="K780" t="s">
        <v>443</v>
      </c>
      <c r="L780">
        <v>46248</v>
      </c>
      <c r="N780" t="s">
        <v>10</v>
      </c>
      <c r="P780" t="s">
        <v>3388</v>
      </c>
    </row>
    <row r="781" spans="1:16" x14ac:dyDescent="0.15">
      <c r="A781" t="s">
        <v>3273</v>
      </c>
      <c r="C781" t="s">
        <v>325</v>
      </c>
      <c r="D781" t="s">
        <v>3267</v>
      </c>
      <c r="F781" t="s">
        <v>3274</v>
      </c>
      <c r="G781" t="s">
        <v>3275</v>
      </c>
      <c r="H781" t="s">
        <v>341</v>
      </c>
      <c r="I781" t="s">
        <v>1195</v>
      </c>
      <c r="J781">
        <v>2025</v>
      </c>
      <c r="K781" t="s">
        <v>2</v>
      </c>
      <c r="N781" t="s">
        <v>10</v>
      </c>
      <c r="P781" t="s">
        <v>3276</v>
      </c>
    </row>
    <row r="782" spans="1:16" x14ac:dyDescent="0.15">
      <c r="A782" t="s">
        <v>3277</v>
      </c>
      <c r="C782" t="s">
        <v>2</v>
      </c>
      <c r="D782" t="s">
        <v>415</v>
      </c>
      <c r="F782" t="s">
        <v>3278</v>
      </c>
      <c r="J782">
        <v>2025</v>
      </c>
      <c r="K782" t="s">
        <v>2</v>
      </c>
      <c r="N782" t="s">
        <v>2</v>
      </c>
      <c r="P782" t="s">
        <v>3279</v>
      </c>
    </row>
    <row r="783" spans="1:16" x14ac:dyDescent="0.15">
      <c r="A783" t="s">
        <v>3280</v>
      </c>
      <c r="B783" t="s">
        <v>3281</v>
      </c>
      <c r="C783" t="s">
        <v>325</v>
      </c>
      <c r="D783" t="s">
        <v>2453</v>
      </c>
      <c r="F783" t="s">
        <v>3282</v>
      </c>
      <c r="G783" t="s">
        <v>3283</v>
      </c>
      <c r="H783" t="s">
        <v>2455</v>
      </c>
      <c r="I783" t="s">
        <v>2306</v>
      </c>
      <c r="J783">
        <v>2025</v>
      </c>
      <c r="K783" t="s">
        <v>443</v>
      </c>
      <c r="N783" t="s">
        <v>10</v>
      </c>
      <c r="P783" t="s">
        <v>3284</v>
      </c>
    </row>
    <row r="784" spans="1:16" x14ac:dyDescent="0.15">
      <c r="A784" t="s">
        <v>3280</v>
      </c>
      <c r="B784" t="s">
        <v>3285</v>
      </c>
      <c r="C784" t="s">
        <v>325</v>
      </c>
      <c r="D784" t="s">
        <v>2453</v>
      </c>
      <c r="F784" t="s">
        <v>3282</v>
      </c>
      <c r="G784" t="s">
        <v>3286</v>
      </c>
      <c r="H784" t="s">
        <v>2455</v>
      </c>
      <c r="I784" t="s">
        <v>2306</v>
      </c>
      <c r="J784">
        <v>2025</v>
      </c>
      <c r="K784" t="s">
        <v>2</v>
      </c>
      <c r="N784" t="s">
        <v>10</v>
      </c>
      <c r="P784" t="s">
        <v>3284</v>
      </c>
    </row>
    <row r="785" spans="1:16" x14ac:dyDescent="0.15">
      <c r="A785" t="s">
        <v>3287</v>
      </c>
      <c r="B785" t="s">
        <v>3288</v>
      </c>
      <c r="C785" t="s">
        <v>325</v>
      </c>
      <c r="D785" t="s">
        <v>3289</v>
      </c>
      <c r="E785" t="s">
        <v>3290</v>
      </c>
      <c r="F785" t="s">
        <v>1951</v>
      </c>
      <c r="G785" t="s">
        <v>3291</v>
      </c>
      <c r="H785" t="s">
        <v>485</v>
      </c>
      <c r="I785" t="s">
        <v>1195</v>
      </c>
      <c r="J785">
        <v>2025</v>
      </c>
      <c r="K785" t="s">
        <v>666</v>
      </c>
      <c r="L785">
        <v>45859</v>
      </c>
      <c r="N785" t="s">
        <v>10</v>
      </c>
      <c r="P785" t="s">
        <v>3389</v>
      </c>
    </row>
    <row r="786" spans="1:16" x14ac:dyDescent="0.15">
      <c r="A786" t="s">
        <v>3292</v>
      </c>
      <c r="B786" t="s">
        <v>3293</v>
      </c>
      <c r="C786" t="s">
        <v>325</v>
      </c>
      <c r="D786" t="s">
        <v>2449</v>
      </c>
      <c r="E786" t="s">
        <v>3294</v>
      </c>
      <c r="F786" t="s">
        <v>3295</v>
      </c>
      <c r="G786" t="s">
        <v>2485</v>
      </c>
      <c r="H786" t="s">
        <v>384</v>
      </c>
      <c r="I786" t="s">
        <v>384</v>
      </c>
      <c r="J786">
        <v>2025</v>
      </c>
      <c r="K786" t="s">
        <v>666</v>
      </c>
      <c r="L786" t="s">
        <v>3296</v>
      </c>
      <c r="M786" t="s">
        <v>3584</v>
      </c>
      <c r="N786" t="s">
        <v>10</v>
      </c>
      <c r="O786" t="s">
        <v>3585</v>
      </c>
      <c r="P786" t="s">
        <v>3297</v>
      </c>
    </row>
    <row r="787" spans="1:16" x14ac:dyDescent="0.15">
      <c r="A787" t="s">
        <v>3298</v>
      </c>
      <c r="B787" t="s">
        <v>3299</v>
      </c>
      <c r="C787" t="s">
        <v>325</v>
      </c>
      <c r="D787" t="s">
        <v>953</v>
      </c>
      <c r="F787" t="s">
        <v>1379</v>
      </c>
      <c r="H787" t="s">
        <v>485</v>
      </c>
      <c r="I787" t="s">
        <v>1195</v>
      </c>
      <c r="K787" t="s">
        <v>443</v>
      </c>
      <c r="N787" t="s">
        <v>2</v>
      </c>
      <c r="P787" t="s">
        <v>3300</v>
      </c>
    </row>
    <row r="788" spans="1:16" x14ac:dyDescent="0.15">
      <c r="A788" t="s">
        <v>3301</v>
      </c>
      <c r="B788" t="s">
        <v>3302</v>
      </c>
      <c r="C788" t="s">
        <v>325</v>
      </c>
      <c r="D788" t="s">
        <v>2332</v>
      </c>
      <c r="F788" t="s">
        <v>3303</v>
      </c>
      <c r="G788" t="s">
        <v>3304</v>
      </c>
      <c r="H788" t="s">
        <v>411</v>
      </c>
      <c r="I788" t="s">
        <v>2306</v>
      </c>
      <c r="J788">
        <v>2025</v>
      </c>
      <c r="K788" t="s">
        <v>3305</v>
      </c>
      <c r="L788">
        <v>45838</v>
      </c>
      <c r="N788" t="s">
        <v>243</v>
      </c>
      <c r="P788" t="s">
        <v>3306</v>
      </c>
    </row>
    <row r="789" spans="1:16" x14ac:dyDescent="0.15">
      <c r="A789" t="s">
        <v>3307</v>
      </c>
      <c r="B789" t="s">
        <v>3308</v>
      </c>
      <c r="C789" t="s">
        <v>2</v>
      </c>
      <c r="D789" t="s">
        <v>3309</v>
      </c>
      <c r="E789" t="s">
        <v>3310</v>
      </c>
      <c r="F789" t="s">
        <v>3311</v>
      </c>
      <c r="G789" t="s">
        <v>3390</v>
      </c>
      <c r="H789" t="s">
        <v>3391</v>
      </c>
      <c r="I789" t="s">
        <v>3392</v>
      </c>
      <c r="J789">
        <v>2025</v>
      </c>
      <c r="K789" t="s">
        <v>3393</v>
      </c>
      <c r="N789" t="s">
        <v>2</v>
      </c>
      <c r="P789" t="s">
        <v>3312</v>
      </c>
    </row>
    <row r="790" spans="1:16" x14ac:dyDescent="0.15">
      <c r="A790" t="s">
        <v>3313</v>
      </c>
      <c r="B790" t="s">
        <v>3314</v>
      </c>
      <c r="C790" t="s">
        <v>325</v>
      </c>
      <c r="D790" t="s">
        <v>3243</v>
      </c>
      <c r="F790" t="s">
        <v>3315</v>
      </c>
      <c r="G790" t="s">
        <v>3316</v>
      </c>
      <c r="H790" t="s">
        <v>620</v>
      </c>
      <c r="I790" t="s">
        <v>2306</v>
      </c>
      <c r="J790">
        <v>2025</v>
      </c>
      <c r="K790" t="s">
        <v>3305</v>
      </c>
      <c r="L790">
        <v>45808</v>
      </c>
      <c r="N790" t="s">
        <v>243</v>
      </c>
      <c r="P790" t="s">
        <v>3317</v>
      </c>
    </row>
    <row r="791" spans="1:16" x14ac:dyDescent="0.15">
      <c r="A791" t="s">
        <v>3318</v>
      </c>
      <c r="C791" t="s">
        <v>2</v>
      </c>
      <c r="D791" t="s">
        <v>3243</v>
      </c>
      <c r="F791" t="s">
        <v>3319</v>
      </c>
      <c r="I791" t="s">
        <v>2306</v>
      </c>
      <c r="J791">
        <v>2025</v>
      </c>
      <c r="K791" t="s">
        <v>2</v>
      </c>
      <c r="N791" t="s">
        <v>2</v>
      </c>
      <c r="P791" t="s">
        <v>3320</v>
      </c>
    </row>
    <row r="792" spans="1:16" x14ac:dyDescent="0.15">
      <c r="A792" t="s">
        <v>3321</v>
      </c>
      <c r="B792" t="s">
        <v>3322</v>
      </c>
      <c r="C792" t="s">
        <v>325</v>
      </c>
      <c r="D792" t="s">
        <v>2332</v>
      </c>
      <c r="F792" t="s">
        <v>3323</v>
      </c>
      <c r="H792" t="s">
        <v>411</v>
      </c>
      <c r="I792" t="s">
        <v>2306</v>
      </c>
      <c r="J792">
        <v>2025</v>
      </c>
      <c r="K792" t="s">
        <v>3305</v>
      </c>
      <c r="N792" t="s">
        <v>10</v>
      </c>
      <c r="P792" t="s">
        <v>3324</v>
      </c>
    </row>
    <row r="793" spans="1:16" x14ac:dyDescent="0.15">
      <c r="A793" t="s">
        <v>3325</v>
      </c>
      <c r="B793" t="s">
        <v>3326</v>
      </c>
      <c r="C793" t="s">
        <v>325</v>
      </c>
      <c r="D793" t="s">
        <v>345</v>
      </c>
      <c r="E793" t="s">
        <v>1788</v>
      </c>
      <c r="F793" t="s">
        <v>1789</v>
      </c>
      <c r="G793" t="s">
        <v>3327</v>
      </c>
      <c r="H793" t="s">
        <v>341</v>
      </c>
      <c r="I793" t="s">
        <v>1195</v>
      </c>
      <c r="J793">
        <v>2025</v>
      </c>
      <c r="K793" t="s">
        <v>458</v>
      </c>
      <c r="L793">
        <v>45764</v>
      </c>
      <c r="N793" t="s">
        <v>243</v>
      </c>
      <c r="P793" t="s">
        <v>3328</v>
      </c>
    </row>
    <row r="794" spans="1:16" x14ac:dyDescent="0.15">
      <c r="A794" t="s">
        <v>3329</v>
      </c>
      <c r="C794" t="s">
        <v>325</v>
      </c>
      <c r="D794" t="s">
        <v>3243</v>
      </c>
      <c r="F794" t="s">
        <v>3330</v>
      </c>
      <c r="G794" t="s">
        <v>3316</v>
      </c>
      <c r="H794" t="s">
        <v>440</v>
      </c>
      <c r="I794" t="s">
        <v>2306</v>
      </c>
      <c r="J794">
        <v>2025</v>
      </c>
      <c r="K794" t="s">
        <v>3305</v>
      </c>
      <c r="L794">
        <v>46006</v>
      </c>
      <c r="N794" t="s">
        <v>10</v>
      </c>
      <c r="P794" t="s">
        <v>3331</v>
      </c>
    </row>
    <row r="795" spans="1:16" x14ac:dyDescent="0.15">
      <c r="A795" t="s">
        <v>3332</v>
      </c>
      <c r="C795" t="s">
        <v>2</v>
      </c>
      <c r="D795" t="s">
        <v>3333</v>
      </c>
      <c r="F795" t="s">
        <v>3334</v>
      </c>
      <c r="G795" t="s">
        <v>3335</v>
      </c>
      <c r="H795" t="s">
        <v>411</v>
      </c>
      <c r="I795" t="s">
        <v>2306</v>
      </c>
      <c r="J795">
        <v>2025</v>
      </c>
      <c r="K795" t="s">
        <v>666</v>
      </c>
      <c r="L795" t="s">
        <v>2</v>
      </c>
      <c r="N795" t="s">
        <v>10</v>
      </c>
      <c r="P795" t="s">
        <v>3336</v>
      </c>
    </row>
    <row r="796" spans="1:16" x14ac:dyDescent="0.15">
      <c r="A796" t="s">
        <v>3337</v>
      </c>
      <c r="B796" t="s">
        <v>3338</v>
      </c>
      <c r="C796" t="s">
        <v>325</v>
      </c>
      <c r="D796" t="s">
        <v>483</v>
      </c>
      <c r="F796" t="s">
        <v>3339</v>
      </c>
      <c r="G796" t="s">
        <v>3340</v>
      </c>
      <c r="H796" t="s">
        <v>993</v>
      </c>
      <c r="I796" t="s">
        <v>1195</v>
      </c>
      <c r="J796">
        <v>2025</v>
      </c>
      <c r="K796" t="s">
        <v>458</v>
      </c>
      <c r="L796">
        <v>45814</v>
      </c>
      <c r="N796" t="s">
        <v>243</v>
      </c>
      <c r="P796" t="s">
        <v>3341</v>
      </c>
    </row>
    <row r="797" spans="1:16" x14ac:dyDescent="0.15">
      <c r="A797" t="s">
        <v>3342</v>
      </c>
      <c r="B797" t="s">
        <v>3343</v>
      </c>
      <c r="C797" t="s">
        <v>325</v>
      </c>
      <c r="D797" t="s">
        <v>3344</v>
      </c>
      <c r="F797" t="s">
        <v>3345</v>
      </c>
      <c r="H797" t="s">
        <v>388</v>
      </c>
      <c r="I797" t="s">
        <v>1195</v>
      </c>
      <c r="J797">
        <v>2025</v>
      </c>
      <c r="K797" t="s">
        <v>458</v>
      </c>
      <c r="L797">
        <v>45835</v>
      </c>
      <c r="N797" t="s">
        <v>243</v>
      </c>
      <c r="P797" t="s">
        <v>3346</v>
      </c>
    </row>
    <row r="798" spans="1:16" x14ac:dyDescent="0.15">
      <c r="A798" t="s">
        <v>3347</v>
      </c>
      <c r="B798" t="s">
        <v>3348</v>
      </c>
      <c r="C798" t="s">
        <v>325</v>
      </c>
      <c r="D798" t="s">
        <v>3243</v>
      </c>
      <c r="F798" t="s">
        <v>3349</v>
      </c>
      <c r="G798" t="s">
        <v>3181</v>
      </c>
      <c r="I798" t="s">
        <v>2306</v>
      </c>
      <c r="J798">
        <v>2025</v>
      </c>
      <c r="K798" t="s">
        <v>3350</v>
      </c>
      <c r="N798" t="s">
        <v>243</v>
      </c>
      <c r="P798" t="s">
        <v>3351</v>
      </c>
    </row>
    <row r="799" spans="1:16" x14ac:dyDescent="0.15">
      <c r="A799" t="s">
        <v>3352</v>
      </c>
      <c r="B799" t="s">
        <v>3353</v>
      </c>
      <c r="C799" t="s">
        <v>325</v>
      </c>
      <c r="D799" t="s">
        <v>738</v>
      </c>
      <c r="H799" t="s">
        <v>374</v>
      </c>
      <c r="I799" t="s">
        <v>1195</v>
      </c>
      <c r="J799">
        <v>2025</v>
      </c>
      <c r="K799" t="s">
        <v>458</v>
      </c>
      <c r="L799">
        <v>45869</v>
      </c>
      <c r="N799" t="s">
        <v>243</v>
      </c>
      <c r="P799" t="s">
        <v>3354</v>
      </c>
    </row>
    <row r="800" spans="1:16" x14ac:dyDescent="0.15">
      <c r="A800" t="s">
        <v>3355</v>
      </c>
      <c r="B800" t="s">
        <v>3356</v>
      </c>
      <c r="C800" t="s">
        <v>325</v>
      </c>
      <c r="D800" t="s">
        <v>483</v>
      </c>
      <c r="F800" t="s">
        <v>484</v>
      </c>
      <c r="G800" t="s">
        <v>3357</v>
      </c>
      <c r="H800" t="s">
        <v>485</v>
      </c>
      <c r="I800" t="s">
        <v>1195</v>
      </c>
      <c r="J800">
        <v>2025</v>
      </c>
      <c r="K800" t="s">
        <v>458</v>
      </c>
      <c r="L800">
        <v>45856</v>
      </c>
      <c r="N800" t="s">
        <v>243</v>
      </c>
      <c r="P800" t="s">
        <v>3358</v>
      </c>
    </row>
    <row r="801" spans="1:16" x14ac:dyDescent="0.15">
      <c r="A801" t="s">
        <v>3586</v>
      </c>
      <c r="B801" t="s">
        <v>3359</v>
      </c>
      <c r="C801" t="s">
        <v>325</v>
      </c>
      <c r="D801" t="s">
        <v>3243</v>
      </c>
      <c r="F801" t="s">
        <v>3360</v>
      </c>
      <c r="G801" t="s">
        <v>3361</v>
      </c>
      <c r="H801" t="s">
        <v>411</v>
      </c>
      <c r="I801" t="s">
        <v>2306</v>
      </c>
      <c r="J801">
        <v>2025</v>
      </c>
      <c r="K801" t="s">
        <v>3305</v>
      </c>
      <c r="L801">
        <v>45863</v>
      </c>
      <c r="N801" t="s">
        <v>243</v>
      </c>
      <c r="P801" t="s">
        <v>3587</v>
      </c>
    </row>
    <row r="802" spans="1:16" x14ac:dyDescent="0.15">
      <c r="A802" t="s">
        <v>3362</v>
      </c>
      <c r="B802" t="s">
        <v>3363</v>
      </c>
      <c r="C802" t="s">
        <v>325</v>
      </c>
      <c r="D802" t="s">
        <v>811</v>
      </c>
      <c r="F802" t="s">
        <v>811</v>
      </c>
      <c r="H802" t="s">
        <v>341</v>
      </c>
      <c r="I802" t="s">
        <v>1195</v>
      </c>
      <c r="J802">
        <v>2025</v>
      </c>
      <c r="K802" t="s">
        <v>458</v>
      </c>
      <c r="L802">
        <v>45855</v>
      </c>
      <c r="N802" t="s">
        <v>243</v>
      </c>
      <c r="P802" t="s">
        <v>3364</v>
      </c>
    </row>
    <row r="803" spans="1:16" x14ac:dyDescent="0.15">
      <c r="A803" t="s">
        <v>3365</v>
      </c>
      <c r="B803" t="s">
        <v>3366</v>
      </c>
      <c r="C803" t="s">
        <v>325</v>
      </c>
      <c r="D803" t="s">
        <v>372</v>
      </c>
      <c r="F803" t="s">
        <v>2140</v>
      </c>
      <c r="G803" t="s">
        <v>3367</v>
      </c>
      <c r="H803" t="s">
        <v>374</v>
      </c>
      <c r="I803" t="s">
        <v>1195</v>
      </c>
      <c r="J803">
        <v>2025</v>
      </c>
      <c r="K803" t="s">
        <v>458</v>
      </c>
      <c r="L803">
        <v>45790</v>
      </c>
      <c r="N803" t="s">
        <v>243</v>
      </c>
      <c r="P803" t="s">
        <v>3368</v>
      </c>
    </row>
    <row r="804" spans="1:16" x14ac:dyDescent="0.15">
      <c r="A804" t="s">
        <v>3365</v>
      </c>
      <c r="B804" t="s">
        <v>3369</v>
      </c>
      <c r="C804" t="s">
        <v>325</v>
      </c>
      <c r="D804" t="s">
        <v>372</v>
      </c>
      <c r="F804" t="s">
        <v>2140</v>
      </c>
      <c r="G804" t="s">
        <v>3394</v>
      </c>
      <c r="H804" t="s">
        <v>374</v>
      </c>
      <c r="I804" t="s">
        <v>1195</v>
      </c>
      <c r="J804">
        <v>2025</v>
      </c>
      <c r="K804" t="s">
        <v>458</v>
      </c>
      <c r="L804">
        <v>45818</v>
      </c>
      <c r="N804" t="s">
        <v>243</v>
      </c>
      <c r="P804" t="s">
        <v>3368</v>
      </c>
    </row>
    <row r="805" spans="1:16" x14ac:dyDescent="0.15">
      <c r="A805" t="s">
        <v>3370</v>
      </c>
      <c r="B805" t="s">
        <v>3371</v>
      </c>
      <c r="C805" t="s">
        <v>325</v>
      </c>
      <c r="D805" t="s">
        <v>2345</v>
      </c>
      <c r="F805" t="s">
        <v>679</v>
      </c>
      <c r="G805" t="s">
        <v>3372</v>
      </c>
      <c r="H805" t="s">
        <v>680</v>
      </c>
      <c r="I805" t="s">
        <v>1195</v>
      </c>
      <c r="J805">
        <v>2025</v>
      </c>
      <c r="K805" t="s">
        <v>458</v>
      </c>
      <c r="L805">
        <v>45957</v>
      </c>
      <c r="N805" t="s">
        <v>2</v>
      </c>
      <c r="P805" t="s">
        <v>3373</v>
      </c>
    </row>
    <row r="806" spans="1:16" x14ac:dyDescent="0.15">
      <c r="A806" t="s">
        <v>3374</v>
      </c>
      <c r="B806" t="s">
        <v>3375</v>
      </c>
      <c r="C806" t="s">
        <v>325</v>
      </c>
      <c r="D806" t="s">
        <v>3243</v>
      </c>
      <c r="F806" t="s">
        <v>3376</v>
      </c>
      <c r="G806" t="s">
        <v>3377</v>
      </c>
      <c r="H806" t="s">
        <v>1201</v>
      </c>
      <c r="I806" t="s">
        <v>2306</v>
      </c>
      <c r="J806">
        <v>2025</v>
      </c>
      <c r="K806" t="s">
        <v>3350</v>
      </c>
      <c r="L806">
        <v>45915</v>
      </c>
      <c r="N806" t="s">
        <v>243</v>
      </c>
      <c r="P806" t="s">
        <v>3378</v>
      </c>
    </row>
    <row r="807" spans="1:16" x14ac:dyDescent="0.15">
      <c r="A807" t="s">
        <v>3379</v>
      </c>
      <c r="B807" t="s">
        <v>3380</v>
      </c>
      <c r="C807" t="s">
        <v>325</v>
      </c>
      <c r="D807" t="s">
        <v>3381</v>
      </c>
      <c r="F807" t="s">
        <v>3382</v>
      </c>
      <c r="G807" t="s">
        <v>3383</v>
      </c>
      <c r="H807" t="s">
        <v>407</v>
      </c>
      <c r="I807" t="s">
        <v>1195</v>
      </c>
      <c r="J807">
        <v>2025</v>
      </c>
      <c r="K807" t="s">
        <v>3579</v>
      </c>
      <c r="L807">
        <v>45897</v>
      </c>
      <c r="N807" t="s">
        <v>10</v>
      </c>
      <c r="P807" t="s">
        <v>3384</v>
      </c>
    </row>
    <row r="808" spans="1:16" x14ac:dyDescent="0.15">
      <c r="A808" t="s">
        <v>3395</v>
      </c>
      <c r="B808" t="s">
        <v>3396</v>
      </c>
      <c r="C808" t="s">
        <v>325</v>
      </c>
      <c r="D808" t="s">
        <v>326</v>
      </c>
      <c r="F808" t="s">
        <v>3397</v>
      </c>
      <c r="G808" t="s">
        <v>3398</v>
      </c>
      <c r="H808" t="s">
        <v>329</v>
      </c>
      <c r="I808" t="s">
        <v>1195</v>
      </c>
      <c r="J808">
        <v>2025</v>
      </c>
      <c r="K808" t="s">
        <v>330</v>
      </c>
      <c r="L808">
        <v>45939</v>
      </c>
      <c r="N808" t="s">
        <v>243</v>
      </c>
      <c r="P808" t="s">
        <v>3399</v>
      </c>
    </row>
    <row r="809" spans="1:16" x14ac:dyDescent="0.15">
      <c r="A809" t="s">
        <v>3400</v>
      </c>
      <c r="B809" t="s">
        <v>3401</v>
      </c>
      <c r="C809" t="s">
        <v>325</v>
      </c>
      <c r="D809" t="s">
        <v>415</v>
      </c>
      <c r="E809" t="s">
        <v>738</v>
      </c>
      <c r="F809" t="s">
        <v>2144</v>
      </c>
      <c r="G809" t="s">
        <v>3402</v>
      </c>
      <c r="H809" t="s">
        <v>374</v>
      </c>
      <c r="I809" t="s">
        <v>1195</v>
      </c>
      <c r="J809">
        <v>2025</v>
      </c>
      <c r="K809" t="s">
        <v>458</v>
      </c>
      <c r="L809">
        <v>45869</v>
      </c>
      <c r="N809" t="s">
        <v>243</v>
      </c>
      <c r="P809" t="s">
        <v>3403</v>
      </c>
    </row>
    <row r="810" spans="1:16" x14ac:dyDescent="0.15">
      <c r="A810" t="s">
        <v>3404</v>
      </c>
      <c r="C810" t="s">
        <v>2</v>
      </c>
      <c r="D810" t="s">
        <v>3309</v>
      </c>
      <c r="E810" t="s">
        <v>3405</v>
      </c>
      <c r="G810" t="s">
        <v>3406</v>
      </c>
      <c r="I810" t="s">
        <v>3392</v>
      </c>
      <c r="J810">
        <v>2025</v>
      </c>
      <c r="K810" t="s">
        <v>3393</v>
      </c>
      <c r="N810" t="s">
        <v>2</v>
      </c>
      <c r="P810" t="s">
        <v>3407</v>
      </c>
    </row>
    <row r="811" spans="1:16" x14ac:dyDescent="0.15">
      <c r="A811" t="s">
        <v>3408</v>
      </c>
      <c r="C811" t="s">
        <v>2</v>
      </c>
      <c r="D811" t="s">
        <v>3309</v>
      </c>
      <c r="E811" t="s">
        <v>3409</v>
      </c>
      <c r="G811" t="s">
        <v>3410</v>
      </c>
      <c r="I811" t="s">
        <v>3392</v>
      </c>
      <c r="J811">
        <v>2025</v>
      </c>
      <c r="K811" t="s">
        <v>3393</v>
      </c>
      <c r="N811" t="s">
        <v>2</v>
      </c>
      <c r="P811" t="s">
        <v>3411</v>
      </c>
    </row>
    <row r="812" spans="1:16" x14ac:dyDescent="0.15">
      <c r="A812" t="s">
        <v>3412</v>
      </c>
      <c r="C812" t="s">
        <v>325</v>
      </c>
      <c r="D812" t="s">
        <v>3243</v>
      </c>
      <c r="F812" t="s">
        <v>3413</v>
      </c>
      <c r="G812" t="s">
        <v>3361</v>
      </c>
      <c r="H812" t="s">
        <v>3414</v>
      </c>
      <c r="I812" t="s">
        <v>2306</v>
      </c>
      <c r="J812">
        <v>2025</v>
      </c>
      <c r="K812" t="s">
        <v>3305</v>
      </c>
      <c r="L812">
        <v>46006</v>
      </c>
      <c r="N812" t="s">
        <v>10</v>
      </c>
      <c r="P812" t="s">
        <v>3415</v>
      </c>
    </row>
    <row r="813" spans="1:16" x14ac:dyDescent="0.15">
      <c r="A813" t="s">
        <v>3416</v>
      </c>
      <c r="B813" t="s">
        <v>3417</v>
      </c>
      <c r="C813" t="s">
        <v>325</v>
      </c>
      <c r="D813" t="s">
        <v>483</v>
      </c>
      <c r="F813" t="s">
        <v>1518</v>
      </c>
      <c r="G813" t="s">
        <v>3418</v>
      </c>
      <c r="H813" t="s">
        <v>436</v>
      </c>
      <c r="I813" t="s">
        <v>1195</v>
      </c>
      <c r="J813">
        <v>2025</v>
      </c>
      <c r="K813" t="s">
        <v>458</v>
      </c>
      <c r="L813">
        <v>45882</v>
      </c>
      <c r="M813" t="s">
        <v>3543</v>
      </c>
      <c r="N813" t="s">
        <v>243</v>
      </c>
      <c r="O813" t="s">
        <v>3544</v>
      </c>
      <c r="P813" t="s">
        <v>3419</v>
      </c>
    </row>
    <row r="814" spans="1:16" x14ac:dyDescent="0.15">
      <c r="A814" t="s">
        <v>3420</v>
      </c>
      <c r="B814" t="s">
        <v>3421</v>
      </c>
      <c r="C814" t="s">
        <v>325</v>
      </c>
      <c r="D814" t="s">
        <v>3243</v>
      </c>
      <c r="F814" t="s">
        <v>3422</v>
      </c>
      <c r="G814" t="s">
        <v>3423</v>
      </c>
      <c r="H814" t="s">
        <v>3424</v>
      </c>
      <c r="I814" t="s">
        <v>2306</v>
      </c>
      <c r="J814">
        <v>2025</v>
      </c>
      <c r="K814" t="s">
        <v>3305</v>
      </c>
      <c r="L814">
        <v>45836</v>
      </c>
      <c r="N814" t="s">
        <v>243</v>
      </c>
      <c r="P814" t="s">
        <v>3425</v>
      </c>
    </row>
    <row r="815" spans="1:16" x14ac:dyDescent="0.15">
      <c r="A815" t="s">
        <v>3426</v>
      </c>
      <c r="C815" t="s">
        <v>325</v>
      </c>
      <c r="D815" t="s">
        <v>326</v>
      </c>
      <c r="F815" t="s">
        <v>3427</v>
      </c>
      <c r="H815" t="s">
        <v>1148</v>
      </c>
      <c r="I815" t="s">
        <v>1195</v>
      </c>
      <c r="J815">
        <v>2025</v>
      </c>
      <c r="K815" t="s">
        <v>2119</v>
      </c>
      <c r="N815" t="s">
        <v>10</v>
      </c>
      <c r="P815" t="s">
        <v>3428</v>
      </c>
    </row>
    <row r="816" spans="1:16" x14ac:dyDescent="0.15">
      <c r="A816" t="s">
        <v>3429</v>
      </c>
      <c r="B816" t="s">
        <v>3430</v>
      </c>
      <c r="C816" t="s">
        <v>325</v>
      </c>
      <c r="D816" t="s">
        <v>3243</v>
      </c>
      <c r="F816" t="s">
        <v>3431</v>
      </c>
      <c r="G816" t="s">
        <v>3361</v>
      </c>
      <c r="H816" t="s">
        <v>993</v>
      </c>
      <c r="I816" t="s">
        <v>2306</v>
      </c>
      <c r="J816">
        <v>2025</v>
      </c>
      <c r="K816" t="s">
        <v>3305</v>
      </c>
      <c r="L816">
        <v>45915</v>
      </c>
      <c r="N816" t="s">
        <v>10</v>
      </c>
      <c r="P816" t="s">
        <v>3432</v>
      </c>
    </row>
    <row r="817" spans="1:19" x14ac:dyDescent="0.15">
      <c r="A817" t="s">
        <v>3433</v>
      </c>
      <c r="B817" t="s">
        <v>3434</v>
      </c>
      <c r="C817" t="s">
        <v>325</v>
      </c>
      <c r="D817" t="s">
        <v>3243</v>
      </c>
      <c r="F817" t="s">
        <v>3435</v>
      </c>
      <c r="G817" t="s">
        <v>3361</v>
      </c>
      <c r="H817" t="s">
        <v>440</v>
      </c>
      <c r="I817" t="s">
        <v>2306</v>
      </c>
      <c r="J817">
        <v>2025</v>
      </c>
      <c r="K817" t="s">
        <v>3350</v>
      </c>
      <c r="L817">
        <v>45870</v>
      </c>
      <c r="N817" t="s">
        <v>10</v>
      </c>
      <c r="P817" t="s">
        <v>3436</v>
      </c>
      <c r="Q817" t="s">
        <v>3436</v>
      </c>
      <c r="R817" t="s">
        <v>3436</v>
      </c>
      <c r="S817" t="s">
        <v>3436</v>
      </c>
    </row>
    <row r="818" spans="1:19" x14ac:dyDescent="0.15">
      <c r="A818" t="s">
        <v>3437</v>
      </c>
      <c r="B818" t="s">
        <v>3438</v>
      </c>
      <c r="C818" t="s">
        <v>325</v>
      </c>
      <c r="D818" t="s">
        <v>3439</v>
      </c>
      <c r="F818" t="s">
        <v>841</v>
      </c>
      <c r="G818" t="s">
        <v>3440</v>
      </c>
      <c r="H818" t="s">
        <v>388</v>
      </c>
      <c r="I818" t="s">
        <v>1195</v>
      </c>
      <c r="J818">
        <v>2025</v>
      </c>
      <c r="K818" t="s">
        <v>458</v>
      </c>
      <c r="L818">
        <v>45868</v>
      </c>
      <c r="N818" t="s">
        <v>243</v>
      </c>
      <c r="P818" t="s">
        <v>3441</v>
      </c>
    </row>
    <row r="819" spans="1:19" x14ac:dyDescent="0.15">
      <c r="A819" t="s">
        <v>3442</v>
      </c>
      <c r="B819" t="s">
        <v>3443</v>
      </c>
      <c r="C819" t="s">
        <v>325</v>
      </c>
      <c r="D819" t="s">
        <v>3444</v>
      </c>
      <c r="F819" t="s">
        <v>3445</v>
      </c>
      <c r="H819" t="s">
        <v>407</v>
      </c>
      <c r="I819" t="s">
        <v>1195</v>
      </c>
      <c r="J819">
        <v>2025</v>
      </c>
      <c r="K819" t="s">
        <v>458</v>
      </c>
      <c r="L819">
        <v>45931</v>
      </c>
      <c r="M819" t="s">
        <v>3446</v>
      </c>
      <c r="N819" t="s">
        <v>243</v>
      </c>
      <c r="P819" t="s">
        <v>3447</v>
      </c>
    </row>
    <row r="820" spans="1:19" x14ac:dyDescent="0.15">
      <c r="A820" t="s">
        <v>3448</v>
      </c>
      <c r="B820" t="s">
        <v>3449</v>
      </c>
      <c r="C820" t="s">
        <v>325</v>
      </c>
      <c r="D820" t="s">
        <v>372</v>
      </c>
      <c r="F820" t="s">
        <v>509</v>
      </c>
      <c r="G820" t="s">
        <v>3450</v>
      </c>
      <c r="H820" t="s">
        <v>374</v>
      </c>
      <c r="I820" t="s">
        <v>1195</v>
      </c>
      <c r="J820">
        <v>2025</v>
      </c>
      <c r="K820" t="s">
        <v>458</v>
      </c>
      <c r="L820">
        <v>45877</v>
      </c>
      <c r="M820" t="s">
        <v>3446</v>
      </c>
      <c r="N820" t="s">
        <v>243</v>
      </c>
      <c r="P820" t="s">
        <v>3451</v>
      </c>
    </row>
    <row r="821" spans="1:19" x14ac:dyDescent="0.15">
      <c r="A821" t="s">
        <v>3452</v>
      </c>
      <c r="B821" t="s">
        <v>3453</v>
      </c>
      <c r="C821" t="s">
        <v>325</v>
      </c>
      <c r="D821" t="s">
        <v>372</v>
      </c>
      <c r="F821" t="s">
        <v>2140</v>
      </c>
      <c r="G821" t="s">
        <v>3454</v>
      </c>
      <c r="H821" t="s">
        <v>374</v>
      </c>
      <c r="I821" t="s">
        <v>1195</v>
      </c>
      <c r="J821">
        <v>2025</v>
      </c>
      <c r="K821" t="s">
        <v>458</v>
      </c>
      <c r="L821">
        <v>45838</v>
      </c>
      <c r="M821" t="s">
        <v>3446</v>
      </c>
      <c r="N821" t="s">
        <v>243</v>
      </c>
      <c r="P821" t="s">
        <v>3455</v>
      </c>
    </row>
    <row r="822" spans="1:19" x14ac:dyDescent="0.15">
      <c r="A822" t="s">
        <v>3456</v>
      </c>
      <c r="B822" t="s">
        <v>3457</v>
      </c>
      <c r="C822" t="s">
        <v>325</v>
      </c>
      <c r="D822" t="s">
        <v>3458</v>
      </c>
      <c r="F822" t="s">
        <v>3459</v>
      </c>
      <c r="G822" t="s">
        <v>3460</v>
      </c>
      <c r="H822" t="s">
        <v>485</v>
      </c>
      <c r="I822" t="s">
        <v>1195</v>
      </c>
      <c r="J822">
        <v>2025</v>
      </c>
      <c r="K822" t="s">
        <v>443</v>
      </c>
      <c r="L822">
        <v>45931</v>
      </c>
      <c r="N822" t="s">
        <v>10</v>
      </c>
      <c r="P822" t="s">
        <v>3461</v>
      </c>
    </row>
    <row r="823" spans="1:19" x14ac:dyDescent="0.15">
      <c r="A823" t="s">
        <v>3462</v>
      </c>
      <c r="C823" t="s">
        <v>325</v>
      </c>
      <c r="D823" t="s">
        <v>377</v>
      </c>
      <c r="F823" t="s">
        <v>1817</v>
      </c>
      <c r="G823" t="s">
        <v>3463</v>
      </c>
      <c r="H823" t="s">
        <v>374</v>
      </c>
      <c r="I823" t="s">
        <v>1195</v>
      </c>
      <c r="J823">
        <v>2025</v>
      </c>
      <c r="K823" t="s">
        <v>330</v>
      </c>
      <c r="N823" t="s">
        <v>10</v>
      </c>
      <c r="P823" t="s">
        <v>3464</v>
      </c>
    </row>
    <row r="824" spans="1:19" x14ac:dyDescent="0.15">
      <c r="A824" t="s">
        <v>3465</v>
      </c>
      <c r="B824" t="s">
        <v>3466</v>
      </c>
      <c r="C824" t="s">
        <v>325</v>
      </c>
      <c r="D824" t="s">
        <v>372</v>
      </c>
      <c r="F824" t="s">
        <v>2140</v>
      </c>
      <c r="G824" t="s">
        <v>3467</v>
      </c>
      <c r="H824" t="s">
        <v>374</v>
      </c>
      <c r="I824" t="s">
        <v>1195</v>
      </c>
      <c r="J824">
        <v>2025</v>
      </c>
      <c r="K824" t="s">
        <v>458</v>
      </c>
      <c r="L824">
        <v>45883</v>
      </c>
      <c r="M824" t="s">
        <v>3545</v>
      </c>
      <c r="N824" t="s">
        <v>10</v>
      </c>
      <c r="O824" t="s">
        <v>3544</v>
      </c>
      <c r="P824" t="s">
        <v>3468</v>
      </c>
    </row>
    <row r="825" spans="1:19" x14ac:dyDescent="0.15">
      <c r="A825" t="s">
        <v>3469</v>
      </c>
      <c r="B825" t="s">
        <v>3470</v>
      </c>
      <c r="C825" t="s">
        <v>325</v>
      </c>
      <c r="D825" t="s">
        <v>326</v>
      </c>
      <c r="F825" t="s">
        <v>3248</v>
      </c>
      <c r="H825" t="s">
        <v>388</v>
      </c>
      <c r="I825" t="s">
        <v>1195</v>
      </c>
      <c r="J825">
        <v>2025</v>
      </c>
      <c r="K825" t="s">
        <v>330</v>
      </c>
      <c r="L825">
        <v>46105</v>
      </c>
      <c r="N825" t="s">
        <v>10</v>
      </c>
      <c r="P825" t="s">
        <v>3471</v>
      </c>
    </row>
    <row r="826" spans="1:19" x14ac:dyDescent="0.15">
      <c r="A826" t="s">
        <v>3472</v>
      </c>
      <c r="B826" t="s">
        <v>3473</v>
      </c>
      <c r="C826" t="s">
        <v>325</v>
      </c>
      <c r="D826" t="s">
        <v>372</v>
      </c>
      <c r="F826" t="s">
        <v>2140</v>
      </c>
      <c r="G826" t="s">
        <v>3474</v>
      </c>
      <c r="H826" t="s">
        <v>374</v>
      </c>
      <c r="I826" t="s">
        <v>1195</v>
      </c>
      <c r="J826">
        <v>2025</v>
      </c>
      <c r="K826" t="s">
        <v>458</v>
      </c>
      <c r="L826">
        <v>45930</v>
      </c>
      <c r="M826" t="s">
        <v>3543</v>
      </c>
      <c r="N826" t="s">
        <v>243</v>
      </c>
      <c r="O826" t="s">
        <v>3544</v>
      </c>
      <c r="P826" t="s">
        <v>3475</v>
      </c>
    </row>
    <row r="827" spans="1:19" x14ac:dyDescent="0.15">
      <c r="A827" t="s">
        <v>3476</v>
      </c>
      <c r="B827" t="s">
        <v>3477</v>
      </c>
      <c r="C827" t="s">
        <v>325</v>
      </c>
      <c r="D827" t="s">
        <v>3478</v>
      </c>
      <c r="F827" t="s">
        <v>3479</v>
      </c>
      <c r="G827" t="s">
        <v>2485</v>
      </c>
      <c r="H827" t="s">
        <v>384</v>
      </c>
      <c r="I827" t="s">
        <v>384</v>
      </c>
      <c r="J827">
        <v>2025</v>
      </c>
      <c r="K827" t="s">
        <v>666</v>
      </c>
      <c r="L827">
        <v>45976</v>
      </c>
      <c r="M827" t="s">
        <v>3588</v>
      </c>
      <c r="N827" t="s">
        <v>10</v>
      </c>
      <c r="O827" t="s">
        <v>3589</v>
      </c>
      <c r="P827" t="s">
        <v>3480</v>
      </c>
    </row>
    <row r="828" spans="1:19" x14ac:dyDescent="0.15">
      <c r="A828" t="s">
        <v>3481</v>
      </c>
      <c r="B828" t="s">
        <v>3482</v>
      </c>
      <c r="C828" t="s">
        <v>325</v>
      </c>
      <c r="D828" t="s">
        <v>3483</v>
      </c>
      <c r="F828" t="s">
        <v>3484</v>
      </c>
      <c r="G828" t="s">
        <v>2485</v>
      </c>
      <c r="H828" t="s">
        <v>384</v>
      </c>
      <c r="I828" t="s">
        <v>384</v>
      </c>
      <c r="J828">
        <v>2025</v>
      </c>
      <c r="K828" t="s">
        <v>666</v>
      </c>
      <c r="L828">
        <v>46006</v>
      </c>
      <c r="M828" t="s">
        <v>3590</v>
      </c>
      <c r="N828" t="s">
        <v>10</v>
      </c>
      <c r="O828" t="s">
        <v>3591</v>
      </c>
      <c r="P828" t="s">
        <v>3485</v>
      </c>
    </row>
    <row r="829" spans="1:19" x14ac:dyDescent="0.15">
      <c r="A829" t="s">
        <v>3486</v>
      </c>
      <c r="B829" t="s">
        <v>3487</v>
      </c>
      <c r="C829" t="s">
        <v>325</v>
      </c>
      <c r="D829" t="s">
        <v>326</v>
      </c>
      <c r="E829" t="s">
        <v>326</v>
      </c>
      <c r="F829" t="s">
        <v>3488</v>
      </c>
      <c r="G829" t="s">
        <v>3489</v>
      </c>
      <c r="H829" t="s">
        <v>2306</v>
      </c>
      <c r="I829" t="s">
        <v>2306</v>
      </c>
      <c r="J829">
        <v>2025</v>
      </c>
      <c r="K829" t="s">
        <v>330</v>
      </c>
      <c r="L829">
        <v>45884</v>
      </c>
      <c r="N829" t="s">
        <v>243</v>
      </c>
      <c r="P829" t="s">
        <v>3490</v>
      </c>
    </row>
    <row r="830" spans="1:19" x14ac:dyDescent="0.15">
      <c r="A830" t="s">
        <v>3491</v>
      </c>
      <c r="B830" t="s">
        <v>3546</v>
      </c>
      <c r="C830" t="s">
        <v>325</v>
      </c>
      <c r="D830" t="s">
        <v>3492</v>
      </c>
      <c r="F830" t="s">
        <v>3493</v>
      </c>
      <c r="G830" t="s">
        <v>2485</v>
      </c>
      <c r="H830" t="s">
        <v>384</v>
      </c>
      <c r="I830" t="s">
        <v>384</v>
      </c>
      <c r="J830">
        <v>2025</v>
      </c>
      <c r="K830" t="s">
        <v>666</v>
      </c>
      <c r="L830">
        <v>46006</v>
      </c>
      <c r="M830" t="s">
        <v>3592</v>
      </c>
      <c r="N830" t="s">
        <v>10</v>
      </c>
      <c r="O830" t="s">
        <v>3593</v>
      </c>
      <c r="P830" t="s">
        <v>3494</v>
      </c>
    </row>
    <row r="831" spans="1:19" x14ac:dyDescent="0.15">
      <c r="A831" t="s">
        <v>3495</v>
      </c>
      <c r="B831" t="s">
        <v>3496</v>
      </c>
      <c r="C831" t="s">
        <v>325</v>
      </c>
      <c r="D831" t="s">
        <v>471</v>
      </c>
      <c r="F831" t="s">
        <v>1257</v>
      </c>
      <c r="G831" t="s">
        <v>3402</v>
      </c>
      <c r="H831" t="s">
        <v>341</v>
      </c>
      <c r="I831" t="s">
        <v>1195</v>
      </c>
      <c r="J831">
        <v>2025</v>
      </c>
      <c r="K831" t="s">
        <v>458</v>
      </c>
      <c r="L831">
        <v>45880</v>
      </c>
      <c r="N831" t="s">
        <v>243</v>
      </c>
      <c r="O831" t="s">
        <v>3544</v>
      </c>
      <c r="P831" t="s">
        <v>3497</v>
      </c>
    </row>
    <row r="832" spans="1:19" x14ac:dyDescent="0.15">
      <c r="A832" t="s">
        <v>3498</v>
      </c>
      <c r="B832" t="s">
        <v>3547</v>
      </c>
      <c r="C832" t="s">
        <v>325</v>
      </c>
      <c r="D832" t="s">
        <v>345</v>
      </c>
      <c r="F832" t="s">
        <v>3499</v>
      </c>
      <c r="G832" t="s">
        <v>3500</v>
      </c>
      <c r="H832" t="s">
        <v>374</v>
      </c>
      <c r="I832" t="s">
        <v>1195</v>
      </c>
      <c r="J832">
        <v>2025</v>
      </c>
      <c r="K832" t="s">
        <v>2</v>
      </c>
      <c r="N832" t="s">
        <v>10</v>
      </c>
      <c r="P832" t="s">
        <v>3501</v>
      </c>
    </row>
    <row r="833" spans="1:16" x14ac:dyDescent="0.15">
      <c r="A833" t="s">
        <v>3502</v>
      </c>
      <c r="B833" t="s">
        <v>3503</v>
      </c>
      <c r="C833" t="s">
        <v>325</v>
      </c>
      <c r="D833" t="s">
        <v>483</v>
      </c>
      <c r="F833" t="s">
        <v>2479</v>
      </c>
      <c r="G833" t="s">
        <v>3504</v>
      </c>
      <c r="H833" t="s">
        <v>578</v>
      </c>
      <c r="I833" t="s">
        <v>1195</v>
      </c>
      <c r="J833">
        <v>2025</v>
      </c>
      <c r="K833" t="s">
        <v>458</v>
      </c>
      <c r="L833">
        <v>45870</v>
      </c>
      <c r="N833" t="s">
        <v>243</v>
      </c>
      <c r="O833" t="s">
        <v>3544</v>
      </c>
      <c r="P833" t="s">
        <v>3505</v>
      </c>
    </row>
    <row r="834" spans="1:16" x14ac:dyDescent="0.15">
      <c r="A834" t="s">
        <v>3506</v>
      </c>
      <c r="B834" t="s">
        <v>3507</v>
      </c>
      <c r="C834" t="s">
        <v>325</v>
      </c>
      <c r="D834" t="s">
        <v>415</v>
      </c>
      <c r="F834" t="s">
        <v>3508</v>
      </c>
      <c r="G834" t="s">
        <v>3509</v>
      </c>
      <c r="H834" t="s">
        <v>341</v>
      </c>
      <c r="I834" t="s">
        <v>1195</v>
      </c>
      <c r="J834">
        <v>2025</v>
      </c>
      <c r="K834" t="s">
        <v>458</v>
      </c>
      <c r="L834">
        <v>45846</v>
      </c>
      <c r="M834" t="s">
        <v>3549</v>
      </c>
      <c r="N834" t="s">
        <v>243</v>
      </c>
      <c r="O834" t="s">
        <v>3544</v>
      </c>
      <c r="P834" t="s">
        <v>3510</v>
      </c>
    </row>
    <row r="835" spans="1:16" x14ac:dyDescent="0.15">
      <c r="A835" t="s">
        <v>3511</v>
      </c>
      <c r="B835" t="s">
        <v>3550</v>
      </c>
      <c r="C835" t="s">
        <v>325</v>
      </c>
      <c r="D835" t="s">
        <v>471</v>
      </c>
      <c r="F835" t="s">
        <v>1257</v>
      </c>
      <c r="G835" t="s">
        <v>3512</v>
      </c>
      <c r="H835" t="s">
        <v>341</v>
      </c>
      <c r="I835" t="s">
        <v>1195</v>
      </c>
      <c r="J835">
        <v>2025</v>
      </c>
      <c r="K835" t="s">
        <v>458</v>
      </c>
      <c r="L835">
        <v>45869</v>
      </c>
      <c r="M835" t="s">
        <v>3548</v>
      </c>
      <c r="N835" t="s">
        <v>243</v>
      </c>
      <c r="O835" t="s">
        <v>3544</v>
      </c>
      <c r="P835" t="s">
        <v>3513</v>
      </c>
    </row>
    <row r="836" spans="1:16" x14ac:dyDescent="0.15">
      <c r="A836" t="s">
        <v>3514</v>
      </c>
      <c r="B836" t="s">
        <v>3515</v>
      </c>
      <c r="C836" t="s">
        <v>325</v>
      </c>
      <c r="D836" t="s">
        <v>326</v>
      </c>
      <c r="E836" t="s">
        <v>327</v>
      </c>
      <c r="F836" t="s">
        <v>3516</v>
      </c>
      <c r="G836" t="s">
        <v>3517</v>
      </c>
      <c r="H836" t="s">
        <v>3518</v>
      </c>
      <c r="I836" t="s">
        <v>2306</v>
      </c>
      <c r="J836">
        <v>2025</v>
      </c>
      <c r="K836" t="s">
        <v>330</v>
      </c>
      <c r="L836">
        <v>45901</v>
      </c>
      <c r="N836" t="s">
        <v>243</v>
      </c>
      <c r="P836" t="s">
        <v>3519</v>
      </c>
    </row>
    <row r="837" spans="1:16" x14ac:dyDescent="0.15">
      <c r="A837" t="s">
        <v>3520</v>
      </c>
      <c r="C837" t="s">
        <v>325</v>
      </c>
      <c r="D837" t="s">
        <v>3521</v>
      </c>
      <c r="E837" t="s">
        <v>3522</v>
      </c>
      <c r="F837" t="s">
        <v>3523</v>
      </c>
      <c r="G837" t="s">
        <v>3524</v>
      </c>
      <c r="H837" t="s">
        <v>341</v>
      </c>
      <c r="I837" t="s">
        <v>1195</v>
      </c>
      <c r="J837">
        <v>2025</v>
      </c>
      <c r="K837" t="s">
        <v>666</v>
      </c>
      <c r="N837" t="s">
        <v>10</v>
      </c>
      <c r="P837" t="s">
        <v>3525</v>
      </c>
    </row>
    <row r="838" spans="1:16" x14ac:dyDescent="0.15">
      <c r="A838" t="s">
        <v>3526</v>
      </c>
      <c r="C838" t="s">
        <v>325</v>
      </c>
      <c r="D838" t="s">
        <v>3458</v>
      </c>
      <c r="E838" t="s">
        <v>3527</v>
      </c>
      <c r="F838" t="s">
        <v>3528</v>
      </c>
      <c r="G838" t="s">
        <v>2503</v>
      </c>
      <c r="H838" t="s">
        <v>485</v>
      </c>
      <c r="I838" t="s">
        <v>1195</v>
      </c>
      <c r="J838">
        <v>2025</v>
      </c>
      <c r="K838" t="s">
        <v>443</v>
      </c>
      <c r="N838" t="s">
        <v>10</v>
      </c>
      <c r="P838" t="s">
        <v>3529</v>
      </c>
    </row>
    <row r="839" spans="1:16" x14ac:dyDescent="0.15">
      <c r="A839" t="s">
        <v>3530</v>
      </c>
      <c r="C839" t="s">
        <v>325</v>
      </c>
      <c r="D839" t="s">
        <v>345</v>
      </c>
      <c r="F839" t="s">
        <v>3531</v>
      </c>
      <c r="I839" t="s">
        <v>1195</v>
      </c>
      <c r="J839">
        <v>2025</v>
      </c>
      <c r="K839" t="s">
        <v>2</v>
      </c>
      <c r="N839" t="s">
        <v>10</v>
      </c>
      <c r="P839" t="s">
        <v>3532</v>
      </c>
    </row>
    <row r="840" spans="1:16" x14ac:dyDescent="0.15">
      <c r="A840" t="s">
        <v>3551</v>
      </c>
      <c r="B840" t="s">
        <v>3552</v>
      </c>
      <c r="C840" t="s">
        <v>325</v>
      </c>
      <c r="D840" t="s">
        <v>471</v>
      </c>
      <c r="F840" t="s">
        <v>1257</v>
      </c>
      <c r="G840" t="s">
        <v>3553</v>
      </c>
      <c r="H840" t="s">
        <v>341</v>
      </c>
      <c r="I840" t="s">
        <v>1195</v>
      </c>
      <c r="J840">
        <v>2025</v>
      </c>
      <c r="K840" t="s">
        <v>458</v>
      </c>
      <c r="L840">
        <v>45960</v>
      </c>
      <c r="N840" t="s">
        <v>10</v>
      </c>
      <c r="P840" t="s">
        <v>3554</v>
      </c>
    </row>
    <row r="841" spans="1:16" x14ac:dyDescent="0.15">
      <c r="A841" t="s">
        <v>3555</v>
      </c>
      <c r="B841" t="s">
        <v>3556</v>
      </c>
      <c r="C841" t="s">
        <v>325</v>
      </c>
      <c r="D841" t="s">
        <v>471</v>
      </c>
      <c r="F841" t="s">
        <v>1257</v>
      </c>
      <c r="G841" t="s">
        <v>3557</v>
      </c>
      <c r="H841" t="s">
        <v>341</v>
      </c>
      <c r="I841" t="s">
        <v>1195</v>
      </c>
      <c r="J841">
        <v>2025</v>
      </c>
      <c r="K841" t="s">
        <v>458</v>
      </c>
      <c r="L841">
        <v>45960</v>
      </c>
      <c r="N841" t="s">
        <v>10</v>
      </c>
      <c r="P841" t="s">
        <v>3558</v>
      </c>
    </row>
    <row r="842" spans="1:16" x14ac:dyDescent="0.15">
      <c r="A842" t="s">
        <v>3559</v>
      </c>
      <c r="D842" t="s">
        <v>3309</v>
      </c>
      <c r="E842" t="s">
        <v>3560</v>
      </c>
      <c r="G842" t="s">
        <v>3561</v>
      </c>
      <c r="I842" t="s">
        <v>3392</v>
      </c>
      <c r="J842">
        <v>2025</v>
      </c>
      <c r="K842" t="s">
        <v>3393</v>
      </c>
      <c r="N842" t="s">
        <v>2</v>
      </c>
      <c r="P842" t="s">
        <v>3562</v>
      </c>
    </row>
    <row r="843" spans="1:16" x14ac:dyDescent="0.15">
      <c r="A843" t="s">
        <v>3563</v>
      </c>
      <c r="B843" t="s">
        <v>3564</v>
      </c>
      <c r="C843" t="s">
        <v>325</v>
      </c>
      <c r="D843" t="s">
        <v>3243</v>
      </c>
      <c r="F843" t="s">
        <v>3565</v>
      </c>
      <c r="H843" t="s">
        <v>2203</v>
      </c>
      <c r="I843" t="s">
        <v>2306</v>
      </c>
      <c r="J843">
        <v>2025</v>
      </c>
      <c r="K843" t="s">
        <v>3350</v>
      </c>
      <c r="N843" t="s">
        <v>10</v>
      </c>
      <c r="P843" t="s">
        <v>3566</v>
      </c>
    </row>
    <row r="844" spans="1:16" x14ac:dyDescent="0.15">
      <c r="A844" t="s">
        <v>3567</v>
      </c>
      <c r="C844" t="s">
        <v>325</v>
      </c>
      <c r="D844" t="s">
        <v>3243</v>
      </c>
      <c r="F844" t="s">
        <v>3568</v>
      </c>
      <c r="G844" t="s">
        <v>2400</v>
      </c>
      <c r="H844" t="s">
        <v>2455</v>
      </c>
      <c r="I844" t="s">
        <v>2306</v>
      </c>
      <c r="J844">
        <v>2025</v>
      </c>
      <c r="K844" t="s">
        <v>3305</v>
      </c>
      <c r="N844" t="s">
        <v>10</v>
      </c>
      <c r="P844" t="s">
        <v>3569</v>
      </c>
    </row>
    <row r="845" spans="1:16" x14ac:dyDescent="0.15">
      <c r="A845" t="s">
        <v>3580</v>
      </c>
      <c r="C845" t="s">
        <v>325</v>
      </c>
      <c r="D845" t="s">
        <v>415</v>
      </c>
      <c r="E845" t="s">
        <v>3581</v>
      </c>
      <c r="F845" t="s">
        <v>3582</v>
      </c>
      <c r="H845" t="s">
        <v>341</v>
      </c>
      <c r="I845" t="s">
        <v>1195</v>
      </c>
      <c r="J845">
        <v>2025</v>
      </c>
      <c r="K845" t="s">
        <v>2119</v>
      </c>
      <c r="N845" t="s">
        <v>2</v>
      </c>
      <c r="P845" t="s">
        <v>3583</v>
      </c>
    </row>
    <row r="846" spans="1:16" x14ac:dyDescent="0.15">
      <c r="A846" t="s">
        <v>3594</v>
      </c>
      <c r="B846" t="s">
        <v>3595</v>
      </c>
      <c r="C846" t="s">
        <v>325</v>
      </c>
      <c r="D846" t="s">
        <v>326</v>
      </c>
      <c r="F846" t="s">
        <v>3397</v>
      </c>
      <c r="G846" t="s">
        <v>3596</v>
      </c>
      <c r="H846" t="s">
        <v>329</v>
      </c>
      <c r="I846" t="s">
        <v>1195</v>
      </c>
      <c r="J846">
        <v>2025</v>
      </c>
      <c r="K846" t="s">
        <v>330</v>
      </c>
      <c r="L846">
        <v>45960</v>
      </c>
      <c r="N846" t="s">
        <v>2</v>
      </c>
      <c r="P846" t="s">
        <v>3597</v>
      </c>
    </row>
    <row r="847" spans="1:16" x14ac:dyDescent="0.15">
      <c r="A847" t="s">
        <v>3598</v>
      </c>
      <c r="C847" t="s">
        <v>325</v>
      </c>
      <c r="D847" t="s">
        <v>1657</v>
      </c>
      <c r="F847" t="s">
        <v>2577</v>
      </c>
      <c r="G847" t="s">
        <v>3377</v>
      </c>
      <c r="H847" t="s">
        <v>411</v>
      </c>
      <c r="I847" t="s">
        <v>2306</v>
      </c>
      <c r="J847">
        <v>2025</v>
      </c>
      <c r="K847" t="s">
        <v>3305</v>
      </c>
      <c r="N847" t="s">
        <v>10</v>
      </c>
      <c r="P847" t="s">
        <v>3599</v>
      </c>
    </row>
    <row r="848" spans="1:16" x14ac:dyDescent="0.15">
      <c r="A848" t="s">
        <v>3600</v>
      </c>
      <c r="C848" t="s">
        <v>325</v>
      </c>
      <c r="D848" t="s">
        <v>3243</v>
      </c>
      <c r="F848" t="s">
        <v>3601</v>
      </c>
      <c r="G848" t="s">
        <v>2400</v>
      </c>
      <c r="H848" t="s">
        <v>485</v>
      </c>
      <c r="I848" t="s">
        <v>2306</v>
      </c>
      <c r="J848">
        <v>2025</v>
      </c>
      <c r="K848" t="s">
        <v>3305</v>
      </c>
      <c r="N848" t="s">
        <v>10</v>
      </c>
      <c r="P848" t="s">
        <v>3602</v>
      </c>
    </row>
    <row r="849" spans="1:16" x14ac:dyDescent="0.15">
      <c r="A849" t="s">
        <v>3318</v>
      </c>
      <c r="C849" t="s">
        <v>325</v>
      </c>
      <c r="D849" t="s">
        <v>3243</v>
      </c>
      <c r="F849" t="s">
        <v>3319</v>
      </c>
      <c r="G849" t="s">
        <v>3603</v>
      </c>
      <c r="H849" t="s">
        <v>485</v>
      </c>
      <c r="I849" t="s">
        <v>2306</v>
      </c>
      <c r="J849">
        <v>2025</v>
      </c>
      <c r="K849" t="s">
        <v>3305</v>
      </c>
      <c r="N849" t="s">
        <v>10</v>
      </c>
      <c r="P849" t="s">
        <v>3604</v>
      </c>
    </row>
    <row r="850" spans="1:16" x14ac:dyDescent="0.15">
      <c r="A850" t="s">
        <v>3605</v>
      </c>
      <c r="C850" t="s">
        <v>325</v>
      </c>
      <c r="D850" t="s">
        <v>1929</v>
      </c>
      <c r="E850" t="s">
        <v>1657</v>
      </c>
      <c r="F850" t="s">
        <v>2577</v>
      </c>
      <c r="G850" t="s">
        <v>3606</v>
      </c>
      <c r="H850" t="s">
        <v>411</v>
      </c>
      <c r="I850" t="s">
        <v>2306</v>
      </c>
      <c r="J850">
        <v>2025</v>
      </c>
      <c r="K850" t="s">
        <v>3305</v>
      </c>
      <c r="N850" t="s">
        <v>10</v>
      </c>
      <c r="P850" t="s">
        <v>3607</v>
      </c>
    </row>
    <row r="851" spans="1:16" x14ac:dyDescent="0.15">
      <c r="A851" t="s">
        <v>3608</v>
      </c>
      <c r="C851" t="s">
        <v>325</v>
      </c>
      <c r="D851" t="s">
        <v>3243</v>
      </c>
      <c r="E851" t="s">
        <v>3609</v>
      </c>
      <c r="G851" t="s">
        <v>3377</v>
      </c>
      <c r="H851" t="s">
        <v>368</v>
      </c>
      <c r="I851" t="s">
        <v>2306</v>
      </c>
      <c r="J851">
        <v>2025</v>
      </c>
      <c r="K851" t="s">
        <v>3305</v>
      </c>
      <c r="N851" t="s">
        <v>10</v>
      </c>
      <c r="P851" t="s">
        <v>3610</v>
      </c>
    </row>
    <row r="852" spans="1:16" x14ac:dyDescent="0.15">
      <c r="A852" t="s">
        <v>3611</v>
      </c>
      <c r="C852" t="s">
        <v>325</v>
      </c>
      <c r="D852" t="s">
        <v>3243</v>
      </c>
      <c r="E852" t="s">
        <v>3612</v>
      </c>
      <c r="H852" t="s">
        <v>485</v>
      </c>
      <c r="I852" t="s">
        <v>2306</v>
      </c>
      <c r="J852">
        <v>2025</v>
      </c>
      <c r="K852" t="s">
        <v>3305</v>
      </c>
      <c r="N852" t="s">
        <v>10</v>
      </c>
      <c r="P852" t="s">
        <v>3613</v>
      </c>
    </row>
    <row r="853" spans="1:16" x14ac:dyDescent="0.15">
      <c r="A853" t="s">
        <v>3614</v>
      </c>
      <c r="B853" t="s">
        <v>3615</v>
      </c>
      <c r="C853" t="s">
        <v>325</v>
      </c>
      <c r="D853" t="s">
        <v>3616</v>
      </c>
      <c r="E853" t="s">
        <v>3617</v>
      </c>
      <c r="F853" t="s">
        <v>3618</v>
      </c>
      <c r="G853" t="s">
        <v>3619</v>
      </c>
      <c r="H853" t="s">
        <v>1383</v>
      </c>
      <c r="I853" t="s">
        <v>1195</v>
      </c>
      <c r="J853">
        <v>2025</v>
      </c>
      <c r="K853" t="s">
        <v>666</v>
      </c>
      <c r="N853" t="s">
        <v>10</v>
      </c>
      <c r="P853" t="s">
        <v>3620</v>
      </c>
    </row>
    <row r="854" spans="1:16" x14ac:dyDescent="0.15">
      <c r="A854" t="s">
        <v>3621</v>
      </c>
      <c r="B854" t="s">
        <v>3622</v>
      </c>
      <c r="C854" t="s">
        <v>325</v>
      </c>
      <c r="D854" t="s">
        <v>3616</v>
      </c>
      <c r="E854" t="s">
        <v>3617</v>
      </c>
      <c r="F854" t="s">
        <v>1671</v>
      </c>
      <c r="G854" t="s">
        <v>3619</v>
      </c>
      <c r="H854" t="s">
        <v>1383</v>
      </c>
      <c r="I854" t="s">
        <v>1195</v>
      </c>
      <c r="J854">
        <v>2025</v>
      </c>
      <c r="K854" t="s">
        <v>666</v>
      </c>
      <c r="N854" t="s">
        <v>10</v>
      </c>
      <c r="P854" t="s">
        <v>3623</v>
      </c>
    </row>
    <row r="855" spans="1:16" x14ac:dyDescent="0.15">
      <c r="A855" t="s">
        <v>3624</v>
      </c>
      <c r="B855" t="s">
        <v>3625</v>
      </c>
      <c r="C855" t="s">
        <v>325</v>
      </c>
      <c r="D855" t="s">
        <v>3243</v>
      </c>
      <c r="E855" t="s">
        <v>1954</v>
      </c>
      <c r="F855" t="s">
        <v>3626</v>
      </c>
      <c r="G855" t="s">
        <v>3627</v>
      </c>
      <c r="H855" t="s">
        <v>388</v>
      </c>
      <c r="I855" t="s">
        <v>2306</v>
      </c>
      <c r="J855">
        <v>2025</v>
      </c>
      <c r="K855" t="s">
        <v>3350</v>
      </c>
      <c r="N855" t="s">
        <v>243</v>
      </c>
      <c r="P855" t="s">
        <v>3628</v>
      </c>
    </row>
    <row r="856" spans="1:16" x14ac:dyDescent="0.15">
      <c r="A856" t="s">
        <v>3629</v>
      </c>
      <c r="C856" t="s">
        <v>325</v>
      </c>
      <c r="D856" t="s">
        <v>3630</v>
      </c>
      <c r="F856" t="s">
        <v>1979</v>
      </c>
      <c r="G856" t="s">
        <v>3631</v>
      </c>
      <c r="H856" t="s">
        <v>411</v>
      </c>
      <c r="I856" t="s">
        <v>2306</v>
      </c>
      <c r="J856">
        <v>2025</v>
      </c>
      <c r="K856" t="s">
        <v>3632</v>
      </c>
      <c r="N856" t="s">
        <v>10</v>
      </c>
      <c r="P856" t="s">
        <v>3633</v>
      </c>
    </row>
    <row r="857" spans="1:16" x14ac:dyDescent="0.15">
      <c r="A857" t="s">
        <v>3634</v>
      </c>
      <c r="B857" t="s">
        <v>3635</v>
      </c>
      <c r="C857" t="s">
        <v>325</v>
      </c>
      <c r="D857" t="s">
        <v>415</v>
      </c>
      <c r="E857" t="s">
        <v>429</v>
      </c>
      <c r="F857" t="s">
        <v>2383</v>
      </c>
      <c r="G857" t="s">
        <v>3636</v>
      </c>
      <c r="H857" t="s">
        <v>436</v>
      </c>
      <c r="I857" t="s">
        <v>1195</v>
      </c>
      <c r="J857">
        <v>2025</v>
      </c>
      <c r="K857" t="s">
        <v>458</v>
      </c>
      <c r="L857">
        <v>45930</v>
      </c>
      <c r="M857" t="s">
        <v>3637</v>
      </c>
      <c r="N857" t="s">
        <v>10</v>
      </c>
      <c r="P857" t="s">
        <v>3638</v>
      </c>
    </row>
    <row r="858" spans="1:16" x14ac:dyDescent="0.15">
      <c r="A858" t="s">
        <v>3647</v>
      </c>
      <c r="C858" t="s">
        <v>325</v>
      </c>
      <c r="D858" t="s">
        <v>3243</v>
      </c>
      <c r="F858" t="s">
        <v>3648</v>
      </c>
      <c r="G858" t="s">
        <v>3361</v>
      </c>
      <c r="H858" t="s">
        <v>578</v>
      </c>
      <c r="I858" t="s">
        <v>2306</v>
      </c>
      <c r="J858">
        <v>2025</v>
      </c>
      <c r="K858" t="s">
        <v>3305</v>
      </c>
      <c r="N858" t="s">
        <v>10</v>
      </c>
      <c r="P858" t="s">
        <v>3649</v>
      </c>
    </row>
    <row r="859" spans="1:16" x14ac:dyDescent="0.15">
      <c r="A859" t="s">
        <v>3650</v>
      </c>
      <c r="C859" t="s">
        <v>325</v>
      </c>
      <c r="D859" t="s">
        <v>3243</v>
      </c>
      <c r="F859" t="s">
        <v>3651</v>
      </c>
      <c r="G859" t="s">
        <v>3361</v>
      </c>
      <c r="H859" t="s">
        <v>485</v>
      </c>
      <c r="I859" t="s">
        <v>2306</v>
      </c>
      <c r="J859">
        <v>2025</v>
      </c>
      <c r="K859" t="s">
        <v>3632</v>
      </c>
      <c r="L859">
        <v>46037</v>
      </c>
      <c r="N859" t="s">
        <v>10</v>
      </c>
      <c r="P859" t="s">
        <v>3652</v>
      </c>
    </row>
    <row r="860" spans="1:16" x14ac:dyDescent="0.15">
      <c r="A860" t="s">
        <v>3650</v>
      </c>
      <c r="C860" t="s">
        <v>2</v>
      </c>
      <c r="D860" t="s">
        <v>2453</v>
      </c>
      <c r="F860" t="s">
        <v>3568</v>
      </c>
      <c r="G860" t="s">
        <v>2400</v>
      </c>
      <c r="H860" t="s">
        <v>2455</v>
      </c>
      <c r="I860" t="s">
        <v>2306</v>
      </c>
      <c r="J860">
        <v>2025</v>
      </c>
      <c r="K860" t="s">
        <v>3305</v>
      </c>
      <c r="N860" t="s">
        <v>10</v>
      </c>
      <c r="P860" t="s">
        <v>3653</v>
      </c>
    </row>
    <row r="861" spans="1:16" x14ac:dyDescent="0.15">
      <c r="A861" t="s">
        <v>3654</v>
      </c>
      <c r="C861" t="s">
        <v>2</v>
      </c>
      <c r="D861" t="s">
        <v>3309</v>
      </c>
      <c r="E861" t="s">
        <v>3655</v>
      </c>
      <c r="F861" t="s">
        <v>3656</v>
      </c>
      <c r="G861" t="s">
        <v>3657</v>
      </c>
      <c r="H861" t="s">
        <v>3658</v>
      </c>
      <c r="I861" t="s">
        <v>3392</v>
      </c>
      <c r="J861">
        <v>2025</v>
      </c>
      <c r="K861" t="s">
        <v>3393</v>
      </c>
    </row>
    <row r="862" spans="1:16" x14ac:dyDescent="0.15">
      <c r="A862" t="s">
        <v>3659</v>
      </c>
      <c r="D862" t="s">
        <v>3309</v>
      </c>
      <c r="E862" t="s">
        <v>2474</v>
      </c>
      <c r="G862" t="s">
        <v>3660</v>
      </c>
      <c r="H862" t="s">
        <v>341</v>
      </c>
      <c r="I862" t="s">
        <v>3392</v>
      </c>
      <c r="J862">
        <v>2025</v>
      </c>
      <c r="K862" t="s">
        <v>3393</v>
      </c>
    </row>
  </sheetData>
  <phoneticPr fontId="7"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55BF2-C671-412F-9207-565F28C8C87E}">
  <sheetPr codeName="Foglio1">
    <pageSetUpPr fitToPage="1"/>
  </sheetPr>
  <dimension ref="A1:U881"/>
  <sheetViews>
    <sheetView tabSelected="1" view="pageBreakPreview" zoomScale="85" zoomScaleNormal="100" zoomScaleSheetLayoutView="85" workbookViewId="0">
      <selection activeCell="C29" sqref="C29:D29"/>
    </sheetView>
  </sheetViews>
  <sheetFormatPr defaultRowHeight="10.5" x14ac:dyDescent="0.15"/>
  <cols>
    <col min="1" max="1" width="18.33203125" style="46" customWidth="1"/>
    <col min="2" max="2" width="12.83203125" style="46" customWidth="1"/>
    <col min="3" max="3" width="56.83203125" style="46" bestFit="1" customWidth="1"/>
    <col min="4" max="4" width="60.33203125" style="46" bestFit="1" customWidth="1"/>
    <col min="5" max="5" width="18.6640625" style="46" bestFit="1" customWidth="1"/>
    <col min="6" max="6" width="15.5" style="46" bestFit="1" customWidth="1"/>
    <col min="7" max="7" width="21.6640625" style="46" bestFit="1" customWidth="1"/>
    <col min="8" max="8" width="5.1640625" style="46" bestFit="1" customWidth="1"/>
    <col min="9" max="9" width="14.1640625" style="46" bestFit="1" customWidth="1"/>
    <col min="10" max="11" width="9.33203125" style="46"/>
    <col min="12" max="12" width="9.33203125" style="46" hidden="1" customWidth="1"/>
    <col min="13" max="16" width="9.33203125" style="46"/>
    <col min="17" max="17" width="9.33203125" style="46" hidden="1" customWidth="1"/>
    <col min="18" max="19" width="9.33203125" style="46"/>
    <col min="20" max="20" width="6" style="46" hidden="1" customWidth="1"/>
    <col min="21" max="21" width="9.6640625" style="46" hidden="1" customWidth="1"/>
    <col min="22" max="16384" width="9.33203125" style="46"/>
  </cols>
  <sheetData>
    <row r="1" spans="1:21" ht="15" customHeight="1" x14ac:dyDescent="0.15">
      <c r="A1" s="172"/>
      <c r="B1" s="172"/>
      <c r="C1" s="172"/>
      <c r="D1" s="173" t="s">
        <v>224</v>
      </c>
      <c r="E1" s="174"/>
      <c r="F1" s="174"/>
      <c r="G1" s="174"/>
      <c r="H1" s="174"/>
      <c r="I1" s="175"/>
      <c r="N1" s="47"/>
      <c r="O1" s="48"/>
      <c r="P1" s="49"/>
      <c r="Q1" s="50"/>
      <c r="R1" s="51"/>
    </row>
    <row r="2" spans="1:21" ht="15" customHeight="1" x14ac:dyDescent="0.15">
      <c r="A2" s="172"/>
      <c r="B2" s="172"/>
      <c r="C2" s="172"/>
      <c r="D2" s="176"/>
      <c r="E2" s="177"/>
      <c r="F2" s="177"/>
      <c r="G2" s="177"/>
      <c r="H2" s="177"/>
      <c r="I2" s="178"/>
      <c r="N2" s="47"/>
      <c r="O2" s="47"/>
      <c r="P2" s="49"/>
      <c r="Q2" s="49"/>
      <c r="R2" s="47"/>
    </row>
    <row r="3" spans="1:21" ht="15" customHeight="1" x14ac:dyDescent="0.15">
      <c r="A3" s="172"/>
      <c r="B3" s="172"/>
      <c r="C3" s="172"/>
      <c r="D3" s="179"/>
      <c r="E3" s="180"/>
      <c r="F3" s="180"/>
      <c r="G3" s="180"/>
      <c r="H3" s="180"/>
      <c r="I3" s="181"/>
      <c r="K3" s="52"/>
      <c r="N3" s="47"/>
      <c r="O3" s="47"/>
      <c r="P3" s="49"/>
      <c r="Q3" s="49"/>
      <c r="R3" s="47"/>
    </row>
    <row r="4" spans="1:21" ht="15" customHeight="1" x14ac:dyDescent="0.15">
      <c r="A4" s="172"/>
      <c r="B4" s="172"/>
      <c r="C4" s="172"/>
      <c r="D4" s="159" t="str">
        <f>CONCATENATE(E12,"-",F12,)</f>
        <v>COC-CP 700 S</v>
      </c>
      <c r="E4" s="160"/>
      <c r="F4" s="160" t="str">
        <f>IF(D12="","",D12)</f>
        <v>C010270</v>
      </c>
      <c r="G4" s="160"/>
      <c r="H4" s="160"/>
      <c r="I4" s="165"/>
      <c r="K4" s="53"/>
      <c r="N4" s="47"/>
      <c r="O4" s="47"/>
      <c r="P4" s="49"/>
      <c r="Q4" s="49"/>
      <c r="R4" s="47"/>
    </row>
    <row r="5" spans="1:21" ht="15" customHeight="1" x14ac:dyDescent="0.15">
      <c r="A5" s="172"/>
      <c r="B5" s="172"/>
      <c r="C5" s="172"/>
      <c r="D5" s="161"/>
      <c r="E5" s="162"/>
      <c r="F5" s="162"/>
      <c r="G5" s="162"/>
      <c r="H5" s="162"/>
      <c r="I5" s="166"/>
      <c r="K5" s="53"/>
      <c r="N5" s="47"/>
      <c r="O5" s="47"/>
      <c r="P5" s="49"/>
      <c r="Q5" s="49"/>
      <c r="R5" s="47"/>
    </row>
    <row r="6" spans="1:21" ht="15" customHeight="1" x14ac:dyDescent="0.15">
      <c r="A6" s="172"/>
      <c r="B6" s="172"/>
      <c r="C6" s="172"/>
      <c r="D6" s="163"/>
      <c r="E6" s="164"/>
      <c r="F6" s="164"/>
      <c r="G6" s="164"/>
      <c r="H6" s="164"/>
      <c r="I6" s="167"/>
      <c r="J6" s="47"/>
      <c r="K6" s="53"/>
      <c r="L6" s="47"/>
      <c r="M6" s="47"/>
      <c r="N6" s="47"/>
      <c r="O6" s="47"/>
      <c r="P6" s="49"/>
      <c r="Q6" s="49"/>
      <c r="R6" s="47"/>
    </row>
    <row r="7" spans="1:21" ht="15" customHeight="1" x14ac:dyDescent="0.15">
      <c r="A7" s="54"/>
      <c r="B7" s="49"/>
      <c r="C7" s="49"/>
      <c r="D7" s="49"/>
      <c r="E7" s="49"/>
      <c r="F7" s="49"/>
      <c r="G7" s="49"/>
      <c r="H7" s="55"/>
      <c r="I7" s="56"/>
      <c r="J7" s="47"/>
      <c r="K7" s="53"/>
      <c r="L7" s="47"/>
      <c r="M7" s="47"/>
      <c r="N7" s="47"/>
      <c r="O7" s="47"/>
      <c r="P7" s="49"/>
      <c r="Q7" s="49"/>
      <c r="R7" s="47"/>
    </row>
    <row r="8" spans="1:21" ht="15" customHeight="1" x14ac:dyDescent="0.15">
      <c r="A8" s="182" t="s">
        <v>204</v>
      </c>
      <c r="B8" s="182"/>
      <c r="C8" s="182"/>
      <c r="D8" s="182"/>
      <c r="E8" s="182"/>
      <c r="F8" s="182"/>
      <c r="G8" s="182"/>
      <c r="H8" s="182"/>
      <c r="I8" s="182"/>
      <c r="J8" s="47"/>
      <c r="K8" s="53"/>
      <c r="L8" s="47"/>
      <c r="M8" s="47"/>
      <c r="N8" s="47"/>
      <c r="O8" s="47"/>
      <c r="P8" s="49"/>
      <c r="Q8" s="47"/>
      <c r="R8" s="47"/>
      <c r="T8" s="46" t="s">
        <v>305</v>
      </c>
      <c r="U8" s="46" t="s">
        <v>306</v>
      </c>
    </row>
    <row r="9" spans="1:21" ht="15" customHeight="1" x14ac:dyDescent="0.15">
      <c r="A9" s="57"/>
      <c r="B9" s="58"/>
      <c r="C9" s="58"/>
      <c r="D9" s="58"/>
      <c r="E9" s="58"/>
      <c r="F9" s="58"/>
      <c r="G9" s="58"/>
      <c r="H9" s="58"/>
      <c r="I9" s="59"/>
      <c r="J9" s="47"/>
      <c r="K9" s="53"/>
      <c r="L9" s="47"/>
      <c r="M9" s="47"/>
      <c r="N9" s="47"/>
      <c r="O9" s="47"/>
      <c r="P9" s="49"/>
      <c r="Q9" s="47"/>
      <c r="R9" s="47"/>
      <c r="T9" s="60" t="s">
        <v>2</v>
      </c>
      <c r="U9" s="60" t="s">
        <v>2</v>
      </c>
    </row>
    <row r="10" spans="1:21" ht="15" customHeight="1" x14ac:dyDescent="0.15">
      <c r="A10" s="184"/>
      <c r="B10" s="185"/>
      <c r="C10" s="186"/>
      <c r="D10" s="152" t="s">
        <v>206</v>
      </c>
      <c r="E10" s="146" t="s">
        <v>208</v>
      </c>
      <c r="F10" s="152" t="s">
        <v>207</v>
      </c>
      <c r="G10" s="151" t="s">
        <v>222</v>
      </c>
      <c r="H10" s="47"/>
      <c r="I10" s="146" t="s">
        <v>209</v>
      </c>
      <c r="J10" s="47"/>
      <c r="K10" s="53"/>
      <c r="L10" s="47"/>
      <c r="M10" s="47"/>
      <c r="N10" s="47"/>
      <c r="O10" s="47"/>
      <c r="P10" s="49"/>
      <c r="Q10" s="47"/>
      <c r="R10" s="47"/>
      <c r="T10" s="46" t="s">
        <v>303</v>
      </c>
      <c r="U10" s="46" t="s">
        <v>307</v>
      </c>
    </row>
    <row r="11" spans="1:21" ht="15" customHeight="1" x14ac:dyDescent="0.15">
      <c r="A11" s="150" t="s">
        <v>3385</v>
      </c>
      <c r="B11" s="150"/>
      <c r="C11" s="62" t="s">
        <v>205</v>
      </c>
      <c r="D11" s="152"/>
      <c r="E11" s="146"/>
      <c r="F11" s="152"/>
      <c r="G11" s="152"/>
      <c r="H11" s="47"/>
      <c r="I11" s="146"/>
      <c r="J11" s="47"/>
      <c r="K11" s="53"/>
      <c r="M11" s="47"/>
      <c r="N11" s="47"/>
      <c r="O11" s="47"/>
      <c r="P11" s="49"/>
      <c r="Q11" s="49"/>
      <c r="R11" s="47"/>
      <c r="T11" s="46" t="s">
        <v>304</v>
      </c>
      <c r="U11" s="46" t="s">
        <v>308</v>
      </c>
    </row>
    <row r="12" spans="1:21" ht="15" customHeight="1" x14ac:dyDescent="0.15">
      <c r="A12" s="168" t="s">
        <v>3661</v>
      </c>
      <c r="B12" s="168"/>
      <c r="C12" s="40"/>
      <c r="D12" s="17" t="s">
        <v>3662</v>
      </c>
      <c r="E12" s="17" t="s">
        <v>3663</v>
      </c>
      <c r="F12" s="17" t="s">
        <v>3664</v>
      </c>
      <c r="G12" s="17" t="s">
        <v>223</v>
      </c>
      <c r="H12" s="38"/>
      <c r="I12" s="138">
        <f ca="1">TODAY()</f>
        <v>45845</v>
      </c>
      <c r="J12" s="47"/>
      <c r="K12" s="53"/>
      <c r="L12" s="46" t="s">
        <v>223</v>
      </c>
      <c r="M12" s="37"/>
      <c r="N12" s="47"/>
      <c r="O12" s="47"/>
      <c r="P12" s="49"/>
      <c r="Q12" s="49"/>
      <c r="R12" s="47"/>
    </row>
    <row r="13" spans="1:21" ht="15" customHeight="1" x14ac:dyDescent="0.15">
      <c r="A13" s="54"/>
      <c r="B13" s="47"/>
      <c r="C13" s="47"/>
      <c r="D13" s="47"/>
      <c r="E13" s="47"/>
      <c r="F13" s="47"/>
      <c r="G13" s="47"/>
      <c r="H13" s="47"/>
      <c r="I13" s="63"/>
      <c r="J13" s="47"/>
      <c r="K13" s="53"/>
      <c r="L13" s="47" t="s">
        <v>229</v>
      </c>
      <c r="M13" s="47"/>
      <c r="N13" s="47"/>
      <c r="O13" s="47"/>
      <c r="P13" s="49"/>
      <c r="Q13" s="49"/>
      <c r="R13" s="47"/>
    </row>
    <row r="14" spans="1:21" ht="15" customHeight="1" x14ac:dyDescent="0.15">
      <c r="A14" s="146" t="s">
        <v>210</v>
      </c>
      <c r="B14" s="146"/>
      <c r="C14" s="61" t="s">
        <v>211</v>
      </c>
      <c r="D14" s="61" t="s">
        <v>240</v>
      </c>
      <c r="E14" s="153" t="s">
        <v>212</v>
      </c>
      <c r="F14" s="154"/>
      <c r="G14" s="61" t="s">
        <v>3578</v>
      </c>
      <c r="H14" s="47"/>
      <c r="I14" s="64" t="s">
        <v>213</v>
      </c>
      <c r="J14" s="47"/>
      <c r="K14" s="53"/>
      <c r="L14" s="47"/>
      <c r="M14" s="47"/>
      <c r="N14" s="47"/>
      <c r="O14" s="47"/>
      <c r="P14" s="49"/>
      <c r="Q14" s="49"/>
      <c r="R14" s="47"/>
    </row>
    <row r="15" spans="1:21" ht="15" customHeight="1" x14ac:dyDescent="0.15">
      <c r="A15" s="169" t="str">
        <f>IFERROR(IF(VLOOKUP(TRIM(G15), Foglio1!$A$2:$I$1088, 4, FALSE) = 0, "/", VLOOKUP(TRIM(G15), Foglio1!$A$2:$I$1088, 4, FALSE)), "-")</f>
        <v>SOBONO ENERGY</v>
      </c>
      <c r="B15" s="169"/>
      <c r="C15" s="101" t="str">
        <f>IFERROR(IF(VLOOKUP(TRIM(G15), Foglio1!$A$2:$I$1088, 6, FALSE) = 0, "/", VLOOKUP(TRIM(G15), Foglio1!$A$2:$I$1088, 6, FALSE)), "-")</f>
        <v>Energy Plant</v>
      </c>
      <c r="D15" s="17" t="s">
        <v>3281</v>
      </c>
      <c r="E15" s="187" t="s">
        <v>3665</v>
      </c>
      <c r="F15" s="188"/>
      <c r="G15" s="101" t="str">
        <f>IFERROR(INDEX(Foglio1!A2:A1088, MATCH(TRIM(D15), Foglio1!B2:B1088, 0)),"-")</f>
        <v>IT0012025TRT00044</v>
      </c>
      <c r="H15" s="38"/>
      <c r="I15" s="64">
        <f ca="1">YEAR(TODAY())</f>
        <v>2025</v>
      </c>
      <c r="J15" s="38"/>
      <c r="K15" s="53"/>
      <c r="L15" s="39"/>
      <c r="M15" s="39"/>
      <c r="N15" s="47"/>
      <c r="O15" s="47"/>
      <c r="P15" s="49"/>
      <c r="Q15" s="49"/>
      <c r="R15" s="47"/>
    </row>
    <row r="16" spans="1:21" ht="15" customHeight="1" x14ac:dyDescent="0.15">
      <c r="A16" s="170"/>
      <c r="B16" s="171"/>
      <c r="C16" s="65"/>
      <c r="D16" s="65"/>
      <c r="E16" s="65"/>
      <c r="F16" s="66"/>
      <c r="G16" s="66"/>
      <c r="H16" s="66"/>
      <c r="I16" s="67"/>
      <c r="J16" s="66"/>
      <c r="K16" s="53"/>
      <c r="L16" s="66"/>
      <c r="M16" s="66"/>
      <c r="N16" s="47"/>
      <c r="O16" s="47"/>
      <c r="P16" s="49"/>
      <c r="Q16" s="49"/>
      <c r="R16" s="47"/>
    </row>
    <row r="17" spans="1:18" ht="15" customHeight="1" x14ac:dyDescent="0.15">
      <c r="A17" s="68"/>
      <c r="B17" s="69"/>
      <c r="C17" s="70" t="s">
        <v>241</v>
      </c>
      <c r="D17" s="103" t="str">
        <f>IF(D15="","",IF(K18="NO",(CONCATENATE(G15,"-",D15,"-ML")),"BY CUSTOMER"))</f>
        <v>IT0012025TRT00044-IT0012025COC00050-ML</v>
      </c>
      <c r="E17" s="71"/>
      <c r="G17" s="147" t="s">
        <v>302</v>
      </c>
      <c r="H17" s="147"/>
      <c r="I17" s="72" t="s">
        <v>309</v>
      </c>
      <c r="J17" s="65"/>
      <c r="K17" s="73" t="s">
        <v>244</v>
      </c>
      <c r="L17" s="65" t="s">
        <v>243</v>
      </c>
      <c r="M17" s="65"/>
      <c r="N17" s="47"/>
      <c r="O17" s="47"/>
      <c r="P17" s="49"/>
      <c r="Q17" s="49"/>
      <c r="R17" s="47"/>
    </row>
    <row r="18" spans="1:18" ht="15" customHeight="1" x14ac:dyDescent="0.15">
      <c r="A18" s="68"/>
      <c r="B18" s="69"/>
      <c r="C18" s="74" t="s">
        <v>242</v>
      </c>
      <c r="D18" s="103" t="str">
        <f>IF(D15="","",IF(K20="NO",(CONCATENATE(G15,"-",D15,"-SL")),"BY CUSTOMER"))</f>
        <v>IT0012025TRT00044-IT0012025COC00050-SL</v>
      </c>
      <c r="E18" s="71"/>
      <c r="G18" s="148" t="s">
        <v>303</v>
      </c>
      <c r="H18" s="149"/>
      <c r="I18" s="102" t="str">
        <f>VLOOKUP(G18,T9:U11,2,FALSE)</f>
        <v>LU1001</v>
      </c>
      <c r="J18" s="55"/>
      <c r="K18" s="75" t="s">
        <v>10</v>
      </c>
      <c r="L18" s="65" t="s">
        <v>10</v>
      </c>
      <c r="M18" s="47"/>
      <c r="N18" s="47"/>
      <c r="O18" s="49"/>
      <c r="P18" s="49"/>
      <c r="Q18" s="47"/>
    </row>
    <row r="19" spans="1:18" ht="15" customHeight="1" x14ac:dyDescent="0.15">
      <c r="A19" s="57"/>
      <c r="B19" s="58"/>
      <c r="C19" s="58"/>
      <c r="D19" s="58"/>
      <c r="E19" s="58"/>
      <c r="F19" s="58"/>
      <c r="G19" s="58"/>
      <c r="H19" s="58"/>
      <c r="I19" s="59"/>
      <c r="J19" s="55"/>
      <c r="K19" s="55" t="s">
        <v>245</v>
      </c>
      <c r="L19" s="65"/>
      <c r="M19" s="47"/>
      <c r="N19" s="47"/>
      <c r="O19" s="49"/>
      <c r="P19" s="49"/>
      <c r="Q19" s="47"/>
    </row>
    <row r="20" spans="1:18" ht="15" customHeight="1" x14ac:dyDescent="0.15">
      <c r="A20" s="182" t="s">
        <v>215</v>
      </c>
      <c r="B20" s="182"/>
      <c r="C20" s="182"/>
      <c r="D20" s="182"/>
      <c r="E20" s="182"/>
      <c r="F20" s="182"/>
      <c r="G20" s="182"/>
      <c r="H20" s="182"/>
      <c r="I20" s="182"/>
      <c r="J20" s="55"/>
      <c r="K20" s="75" t="s">
        <v>10</v>
      </c>
      <c r="L20" s="55"/>
      <c r="M20" s="47"/>
      <c r="N20" s="47"/>
      <c r="O20" s="49"/>
      <c r="P20" s="49"/>
      <c r="Q20" s="47"/>
    </row>
    <row r="21" spans="1:18" ht="15" customHeight="1" x14ac:dyDescent="0.15">
      <c r="A21" s="76"/>
      <c r="G21" s="36"/>
      <c r="H21" s="36"/>
      <c r="I21" s="41"/>
      <c r="J21" s="36"/>
      <c r="K21" s="36"/>
      <c r="L21" s="36"/>
      <c r="M21" s="47"/>
      <c r="N21" s="47"/>
      <c r="O21" s="49"/>
      <c r="P21" s="77"/>
      <c r="Q21" s="49">
        <f t="shared" ref="Q21:Q30" si="0">IF(C23&lt;&gt;"",1,0)</f>
        <v>0</v>
      </c>
    </row>
    <row r="22" spans="1:18" ht="15" customHeight="1" x14ac:dyDescent="0.15">
      <c r="A22" s="76"/>
      <c r="B22" s="55" t="s">
        <v>1</v>
      </c>
      <c r="C22" s="183" t="s">
        <v>220</v>
      </c>
      <c r="D22" s="183"/>
      <c r="E22" s="55" t="s">
        <v>214</v>
      </c>
      <c r="F22" s="55" t="s">
        <v>221</v>
      </c>
      <c r="G22" s="36"/>
      <c r="H22" s="36"/>
      <c r="I22" s="41"/>
      <c r="J22" s="36"/>
      <c r="K22" s="36"/>
      <c r="L22" s="36"/>
      <c r="M22" s="47"/>
      <c r="N22" s="47"/>
      <c r="O22" s="49"/>
      <c r="P22" s="77"/>
      <c r="Q22" s="49">
        <f t="shared" si="0"/>
        <v>0</v>
      </c>
    </row>
    <row r="23" spans="1:18" ht="15" customHeight="1" x14ac:dyDescent="0.15">
      <c r="A23" s="76"/>
      <c r="B23" s="78">
        <v>1</v>
      </c>
      <c r="C23" s="144"/>
      <c r="D23" s="145"/>
      <c r="E23" s="33" t="s">
        <v>2</v>
      </c>
      <c r="F23" s="33"/>
      <c r="G23" s="36"/>
      <c r="H23" s="36"/>
      <c r="I23" s="41"/>
      <c r="J23" s="36"/>
      <c r="K23" s="36"/>
      <c r="L23" s="36"/>
      <c r="M23" s="47"/>
      <c r="N23" s="47"/>
      <c r="O23" s="49"/>
      <c r="P23" s="77"/>
      <c r="Q23" s="49">
        <f t="shared" si="0"/>
        <v>0</v>
      </c>
    </row>
    <row r="24" spans="1:18" ht="15" customHeight="1" x14ac:dyDescent="0.15">
      <c r="A24" s="76"/>
      <c r="B24" s="79">
        <v>2</v>
      </c>
      <c r="C24" s="144"/>
      <c r="D24" s="145"/>
      <c r="E24" s="33" t="s">
        <v>2</v>
      </c>
      <c r="F24" s="33"/>
      <c r="G24" s="36"/>
      <c r="H24" s="36"/>
      <c r="I24" s="41"/>
      <c r="J24" s="36"/>
      <c r="K24" s="36"/>
      <c r="L24" s="36"/>
      <c r="M24" s="47"/>
      <c r="N24" s="47"/>
      <c r="O24" s="49"/>
      <c r="P24" s="77"/>
      <c r="Q24" s="49">
        <f t="shared" si="0"/>
        <v>0</v>
      </c>
    </row>
    <row r="25" spans="1:18" ht="15" customHeight="1" x14ac:dyDescent="0.15">
      <c r="A25" s="76"/>
      <c r="B25" s="80">
        <v>3</v>
      </c>
      <c r="C25" s="144"/>
      <c r="D25" s="145"/>
      <c r="E25" s="33" t="s">
        <v>2</v>
      </c>
      <c r="F25" s="33"/>
      <c r="G25" s="36"/>
      <c r="H25" s="36"/>
      <c r="I25" s="41"/>
      <c r="J25" s="36"/>
      <c r="K25" s="36"/>
      <c r="L25" s="36"/>
      <c r="M25" s="47"/>
      <c r="N25" s="47"/>
      <c r="O25" s="49"/>
      <c r="P25" s="77"/>
      <c r="Q25" s="49">
        <f t="shared" si="0"/>
        <v>0</v>
      </c>
    </row>
    <row r="26" spans="1:18" ht="15" customHeight="1" x14ac:dyDescent="0.15">
      <c r="A26" s="76"/>
      <c r="B26" s="81">
        <v>4</v>
      </c>
      <c r="C26" s="144"/>
      <c r="D26" s="145"/>
      <c r="E26" s="33" t="s">
        <v>2</v>
      </c>
      <c r="F26" s="33"/>
      <c r="G26" s="36"/>
      <c r="H26" s="36"/>
      <c r="I26" s="41"/>
      <c r="J26" s="36"/>
      <c r="K26" s="36"/>
      <c r="L26" s="36"/>
      <c r="M26" s="47"/>
      <c r="N26" s="47"/>
      <c r="O26" s="49"/>
      <c r="P26" s="77"/>
      <c r="Q26" s="49">
        <f t="shared" si="0"/>
        <v>0</v>
      </c>
    </row>
    <row r="27" spans="1:18" ht="15" customHeight="1" x14ac:dyDescent="0.15">
      <c r="A27" s="76"/>
      <c r="B27" s="82">
        <v>5</v>
      </c>
      <c r="C27" s="144"/>
      <c r="D27" s="145"/>
      <c r="E27" s="33" t="s">
        <v>2</v>
      </c>
      <c r="F27" s="33"/>
      <c r="G27" s="36"/>
      <c r="H27" s="36"/>
      <c r="I27" s="41"/>
      <c r="J27" s="36"/>
      <c r="K27" s="36"/>
      <c r="L27" s="36"/>
      <c r="M27" s="47"/>
      <c r="N27" s="47"/>
      <c r="O27" s="49"/>
      <c r="P27" s="77"/>
      <c r="Q27" s="49">
        <f t="shared" si="0"/>
        <v>0</v>
      </c>
    </row>
    <row r="28" spans="1:18" ht="15" customHeight="1" x14ac:dyDescent="0.15">
      <c r="A28" s="76"/>
      <c r="B28" s="83">
        <v>6</v>
      </c>
      <c r="C28" s="144"/>
      <c r="D28" s="145"/>
      <c r="E28" s="33" t="s">
        <v>2</v>
      </c>
      <c r="F28" s="33"/>
      <c r="G28" s="36"/>
      <c r="H28" s="36"/>
      <c r="I28" s="41"/>
      <c r="J28" s="36"/>
      <c r="K28" s="36"/>
      <c r="L28" s="36"/>
      <c r="M28" s="47"/>
      <c r="N28" s="47"/>
      <c r="O28" s="49"/>
      <c r="P28" s="77"/>
      <c r="Q28" s="49">
        <f t="shared" si="0"/>
        <v>0</v>
      </c>
    </row>
    <row r="29" spans="1:18" ht="15" customHeight="1" x14ac:dyDescent="0.15">
      <c r="A29" s="76"/>
      <c r="B29" s="84">
        <v>7</v>
      </c>
      <c r="C29" s="144"/>
      <c r="D29" s="145"/>
      <c r="E29" s="33" t="s">
        <v>2</v>
      </c>
      <c r="F29" s="33"/>
      <c r="G29" s="36"/>
      <c r="H29" s="36"/>
      <c r="I29" s="41"/>
      <c r="J29" s="36"/>
      <c r="K29" s="36"/>
      <c r="L29" s="36"/>
      <c r="M29" s="47"/>
      <c r="N29" s="47"/>
      <c r="O29" s="49"/>
      <c r="P29" s="77"/>
      <c r="Q29" s="49">
        <f t="shared" si="0"/>
        <v>0</v>
      </c>
    </row>
    <row r="30" spans="1:18" ht="15" customHeight="1" x14ac:dyDescent="0.15">
      <c r="A30" s="76"/>
      <c r="B30" s="85">
        <v>8</v>
      </c>
      <c r="C30" s="144"/>
      <c r="D30" s="145"/>
      <c r="E30" s="33" t="s">
        <v>2</v>
      </c>
      <c r="F30" s="33"/>
      <c r="G30" s="36"/>
      <c r="H30" s="36"/>
      <c r="I30" s="41"/>
      <c r="J30" s="36"/>
      <c r="K30" s="36"/>
      <c r="L30" s="36"/>
      <c r="M30" s="47"/>
      <c r="N30" s="47"/>
      <c r="O30" s="49"/>
      <c r="P30" s="77"/>
      <c r="Q30" s="49">
        <f t="shared" si="0"/>
        <v>0</v>
      </c>
    </row>
    <row r="31" spans="1:18" ht="15" customHeight="1" x14ac:dyDescent="0.15">
      <c r="A31" s="76"/>
      <c r="B31" s="86">
        <v>9</v>
      </c>
      <c r="C31" s="144"/>
      <c r="D31" s="145"/>
      <c r="E31" s="33" t="s">
        <v>2</v>
      </c>
      <c r="F31" s="33"/>
      <c r="I31" s="87"/>
    </row>
    <row r="32" spans="1:18" ht="15" customHeight="1" x14ac:dyDescent="0.15">
      <c r="A32" s="76"/>
      <c r="B32" s="88">
        <v>10</v>
      </c>
      <c r="C32" s="144"/>
      <c r="D32" s="145"/>
      <c r="E32" s="33" t="s">
        <v>2</v>
      </c>
      <c r="F32" s="33"/>
      <c r="I32" s="87"/>
    </row>
    <row r="33" spans="1:9" ht="15" customHeight="1" x14ac:dyDescent="0.15">
      <c r="A33" s="155" t="s">
        <v>216</v>
      </c>
      <c r="B33" s="156"/>
      <c r="C33" s="89" t="s">
        <v>217</v>
      </c>
      <c r="D33" s="89" t="s">
        <v>219</v>
      </c>
      <c r="E33" s="89" t="s">
        <v>1</v>
      </c>
      <c r="F33" s="89" t="s">
        <v>209</v>
      </c>
      <c r="G33" s="89"/>
      <c r="H33" s="90"/>
      <c r="I33" s="91" t="s">
        <v>218</v>
      </c>
    </row>
    <row r="34" spans="1:9" ht="15" customHeight="1" x14ac:dyDescent="0.15">
      <c r="A34" s="157" t="str">
        <f>A12</f>
        <v>BE0806C</v>
      </c>
      <c r="B34" s="158"/>
      <c r="C34" s="135" t="str">
        <f>CONCATENATE(A12,"-",D12)</f>
        <v>BE0806C-C010270</v>
      </c>
      <c r="D34" s="135" t="str">
        <f>CONCATENATE("BOM - "," ",D4,)</f>
        <v>BOM -  COC-CP 700 S</v>
      </c>
      <c r="E34" s="136">
        <f>SUM(Q21:Q30)</f>
        <v>0</v>
      </c>
      <c r="F34" s="137">
        <f ca="1">I12</f>
        <v>45845</v>
      </c>
      <c r="G34" s="92"/>
      <c r="H34" s="90"/>
      <c r="I34" s="93" t="s">
        <v>247</v>
      </c>
    </row>
    <row r="35" spans="1:9" ht="15" customHeight="1" x14ac:dyDescent="0.15"/>
    <row r="36" spans="1:9" ht="15" customHeight="1" x14ac:dyDescent="0.15"/>
    <row r="37" spans="1:9" x14ac:dyDescent="0.15">
      <c r="A37" s="94"/>
      <c r="B37" s="49"/>
      <c r="C37" s="49"/>
      <c r="D37" s="49"/>
      <c r="E37" s="49"/>
      <c r="F37" s="49"/>
      <c r="G37" s="49"/>
      <c r="H37" s="49"/>
      <c r="I37" s="49"/>
    </row>
    <row r="38" spans="1:9" ht="15" x14ac:dyDescent="0.25">
      <c r="A38" s="95"/>
      <c r="B38" s="95"/>
      <c r="C38" s="95"/>
      <c r="D38" s="95"/>
      <c r="E38" s="95"/>
      <c r="F38" s="95"/>
      <c r="G38" s="95"/>
      <c r="H38" s="95"/>
      <c r="I38" s="96"/>
    </row>
    <row r="39" spans="1:9" ht="15" x14ac:dyDescent="0.25">
      <c r="A39" s="95"/>
      <c r="B39" s="95"/>
      <c r="C39" s="95"/>
      <c r="D39" s="95"/>
      <c r="E39" s="95"/>
      <c r="F39" s="95"/>
      <c r="G39" s="95"/>
      <c r="H39" s="95"/>
      <c r="I39" s="49"/>
    </row>
    <row r="40" spans="1:9" ht="15" x14ac:dyDescent="0.25">
      <c r="A40" s="95"/>
      <c r="B40" s="95"/>
      <c r="C40" s="95"/>
      <c r="D40" s="95"/>
      <c r="E40" s="95"/>
      <c r="F40" s="95"/>
      <c r="G40" s="95"/>
      <c r="H40" s="95"/>
      <c r="I40" s="49"/>
    </row>
    <row r="41" spans="1:9" ht="15" x14ac:dyDescent="0.25">
      <c r="A41" s="95"/>
      <c r="B41" s="95"/>
      <c r="C41" s="95"/>
      <c r="D41" s="95"/>
      <c r="E41" s="95"/>
      <c r="F41" s="95"/>
      <c r="G41" s="95"/>
      <c r="H41" s="95"/>
      <c r="I41" s="49"/>
    </row>
    <row r="42" spans="1:9" ht="15" x14ac:dyDescent="0.25">
      <c r="A42" s="95"/>
      <c r="B42" s="95"/>
      <c r="C42" s="95"/>
      <c r="D42" s="95"/>
      <c r="E42" s="95"/>
      <c r="F42" s="95"/>
      <c r="G42" s="95"/>
      <c r="H42" s="95"/>
      <c r="I42" s="49"/>
    </row>
    <row r="43" spans="1:9" ht="15" x14ac:dyDescent="0.25">
      <c r="A43" s="95"/>
      <c r="B43" s="95"/>
      <c r="C43" s="95"/>
      <c r="D43" s="95"/>
      <c r="E43" s="95"/>
      <c r="F43" s="95"/>
      <c r="G43" s="95"/>
      <c r="H43" s="95"/>
      <c r="I43" s="49"/>
    </row>
    <row r="44" spans="1:9" ht="15" x14ac:dyDescent="0.25">
      <c r="A44" s="95"/>
      <c r="B44" s="95"/>
      <c r="C44" s="95"/>
      <c r="D44" s="95"/>
      <c r="E44" s="95"/>
      <c r="F44" s="95"/>
      <c r="G44" s="95"/>
      <c r="H44" s="95"/>
      <c r="I44" s="49"/>
    </row>
    <row r="45" spans="1:9" ht="15" x14ac:dyDescent="0.25">
      <c r="A45" s="95"/>
      <c r="B45" s="95"/>
      <c r="C45" s="95"/>
      <c r="D45" s="95"/>
      <c r="E45" s="95"/>
      <c r="F45" s="95"/>
      <c r="G45" s="95"/>
      <c r="H45" s="95"/>
      <c r="I45" s="49"/>
    </row>
    <row r="46" spans="1:9" ht="15" x14ac:dyDescent="0.25">
      <c r="A46" s="95"/>
      <c r="B46" s="95"/>
      <c r="C46" s="95"/>
      <c r="D46" s="95"/>
      <c r="E46" s="95"/>
      <c r="F46" s="95"/>
      <c r="G46" s="95"/>
      <c r="H46" s="95"/>
      <c r="I46" s="49"/>
    </row>
    <row r="47" spans="1:9" ht="15" x14ac:dyDescent="0.25">
      <c r="A47" s="95"/>
      <c r="B47" s="95"/>
      <c r="C47" s="95"/>
      <c r="D47" s="95"/>
      <c r="E47" s="95"/>
      <c r="F47" s="95"/>
      <c r="G47" s="95"/>
      <c r="H47" s="95"/>
      <c r="I47" s="49"/>
    </row>
    <row r="48" spans="1:9" ht="15" x14ac:dyDescent="0.25">
      <c r="A48" s="95"/>
      <c r="B48" s="95"/>
      <c r="C48" s="95"/>
      <c r="D48" s="95"/>
      <c r="E48" s="95"/>
      <c r="F48" s="95"/>
      <c r="G48" s="95"/>
      <c r="H48" s="95"/>
      <c r="I48" s="49"/>
    </row>
    <row r="49" spans="1:9" ht="15" x14ac:dyDescent="0.25">
      <c r="A49" s="95"/>
      <c r="B49" s="95"/>
      <c r="C49" s="95"/>
      <c r="D49" s="95"/>
      <c r="E49" s="95"/>
      <c r="F49" s="95"/>
      <c r="G49" s="95"/>
      <c r="H49" s="95"/>
      <c r="I49" s="49"/>
    </row>
    <row r="50" spans="1:9" ht="15" x14ac:dyDescent="0.25">
      <c r="A50" s="95"/>
      <c r="B50" s="95"/>
      <c r="C50" s="95"/>
      <c r="D50" s="95"/>
      <c r="E50" s="95"/>
      <c r="F50" s="95"/>
      <c r="G50" s="95"/>
      <c r="H50" s="95"/>
      <c r="I50" s="49"/>
    </row>
    <row r="51" spans="1:9" ht="15" x14ac:dyDescent="0.25">
      <c r="A51" s="95"/>
      <c r="B51" s="95"/>
      <c r="C51" s="95"/>
      <c r="D51" s="95"/>
      <c r="E51" s="95"/>
      <c r="F51" s="95"/>
      <c r="G51" s="95"/>
      <c r="H51" s="95"/>
      <c r="I51" s="49"/>
    </row>
    <row r="52" spans="1:9" ht="15" x14ac:dyDescent="0.25">
      <c r="A52" s="95"/>
      <c r="B52" s="95"/>
      <c r="C52" s="95"/>
      <c r="D52" s="95"/>
      <c r="E52" s="95"/>
      <c r="F52" s="95"/>
      <c r="G52" s="95"/>
      <c r="H52" s="95"/>
      <c r="I52" s="49"/>
    </row>
    <row r="53" spans="1:9" ht="15" x14ac:dyDescent="0.25">
      <c r="A53" s="95"/>
      <c r="B53" s="95"/>
      <c r="C53" s="95"/>
      <c r="D53" s="95"/>
      <c r="E53" s="95"/>
      <c r="F53" s="95"/>
      <c r="G53" s="95"/>
      <c r="H53" s="95"/>
      <c r="I53" s="49"/>
    </row>
    <row r="54" spans="1:9" ht="15" x14ac:dyDescent="0.25">
      <c r="A54" s="95"/>
      <c r="B54" s="95"/>
      <c r="C54" s="95"/>
      <c r="D54" s="95"/>
      <c r="E54" s="95"/>
      <c r="F54" s="95"/>
      <c r="G54" s="95"/>
      <c r="H54" s="95"/>
      <c r="I54" s="49"/>
    </row>
    <row r="55" spans="1:9" ht="15" x14ac:dyDescent="0.25">
      <c r="A55" s="95"/>
      <c r="B55" s="95"/>
      <c r="C55" s="95"/>
      <c r="D55" s="95"/>
      <c r="E55" s="95"/>
      <c r="F55" s="95"/>
      <c r="G55" s="95"/>
      <c r="H55" s="95"/>
      <c r="I55" s="49"/>
    </row>
    <row r="56" spans="1:9" ht="15" x14ac:dyDescent="0.25">
      <c r="A56" s="95"/>
      <c r="B56" s="95"/>
      <c r="C56" s="95"/>
      <c r="D56" s="95"/>
      <c r="E56" s="95"/>
      <c r="F56" s="95"/>
      <c r="G56" s="95"/>
      <c r="H56" s="95"/>
      <c r="I56" s="49"/>
    </row>
    <row r="57" spans="1:9" ht="15" x14ac:dyDescent="0.25">
      <c r="A57" s="95"/>
      <c r="B57" s="95"/>
      <c r="C57" s="95"/>
      <c r="D57" s="95"/>
      <c r="E57" s="95"/>
      <c r="F57" s="95"/>
      <c r="G57" s="95"/>
      <c r="H57" s="95"/>
      <c r="I57" s="49"/>
    </row>
    <row r="58" spans="1:9" ht="15" x14ac:dyDescent="0.25">
      <c r="A58" s="95"/>
      <c r="B58" s="95"/>
      <c r="C58" s="95"/>
      <c r="D58" s="95"/>
      <c r="E58" s="95"/>
      <c r="F58" s="95"/>
      <c r="G58" s="95"/>
      <c r="H58" s="95"/>
      <c r="I58" s="49"/>
    </row>
    <row r="59" spans="1:9" ht="15" x14ac:dyDescent="0.25">
      <c r="A59" s="95"/>
      <c r="B59" s="95"/>
      <c r="C59" s="95"/>
      <c r="D59" s="95"/>
      <c r="E59" s="95"/>
      <c r="F59" s="95"/>
      <c r="G59" s="95"/>
      <c r="H59" s="95"/>
      <c r="I59" s="49"/>
    </row>
    <row r="60" spans="1:9" ht="15" x14ac:dyDescent="0.25">
      <c r="A60" s="95"/>
      <c r="B60" s="95"/>
      <c r="C60" s="95"/>
      <c r="D60" s="95"/>
      <c r="E60" s="95"/>
      <c r="F60" s="95"/>
      <c r="G60" s="95"/>
      <c r="H60" s="95"/>
      <c r="I60" s="49"/>
    </row>
    <row r="61" spans="1:9" ht="15" x14ac:dyDescent="0.25">
      <c r="A61" s="95"/>
      <c r="B61" s="95"/>
      <c r="C61" s="95"/>
      <c r="D61" s="95"/>
      <c r="E61" s="95"/>
      <c r="F61" s="95"/>
      <c r="G61" s="95"/>
      <c r="H61" s="95"/>
      <c r="I61" s="49"/>
    </row>
    <row r="62" spans="1:9" s="99" customFormat="1" ht="15" x14ac:dyDescent="0.25">
      <c r="A62" s="97"/>
      <c r="B62" s="97"/>
      <c r="C62" s="97"/>
      <c r="D62" s="97"/>
      <c r="E62" s="97"/>
      <c r="F62" s="97"/>
      <c r="G62" s="97"/>
      <c r="H62" s="97"/>
      <c r="I62" s="98"/>
    </row>
    <row r="63" spans="1:9" s="99" customFormat="1" ht="15" x14ac:dyDescent="0.25">
      <c r="A63" s="95"/>
      <c r="B63" s="95"/>
      <c r="C63" s="95"/>
      <c r="D63" s="95"/>
      <c r="E63" s="95"/>
      <c r="F63" s="95"/>
      <c r="G63" s="95"/>
      <c r="H63" s="95"/>
      <c r="I63" s="49"/>
    </row>
    <row r="64" spans="1:9" s="99" customFormat="1" ht="15" x14ac:dyDescent="0.25">
      <c r="A64" s="95"/>
      <c r="B64" s="95"/>
      <c r="C64" s="95"/>
      <c r="D64" s="95"/>
      <c r="E64" s="95"/>
      <c r="F64" s="95"/>
      <c r="G64" s="95"/>
      <c r="H64" s="95"/>
      <c r="I64" s="49"/>
    </row>
    <row r="65" spans="1:9" s="99" customFormat="1" ht="15" x14ac:dyDescent="0.25">
      <c r="A65" s="95"/>
      <c r="B65" s="95"/>
      <c r="C65" s="95"/>
      <c r="D65" s="95"/>
      <c r="E65" s="95"/>
      <c r="F65" s="95"/>
      <c r="G65" s="95"/>
      <c r="H65" s="95"/>
      <c r="I65" s="49"/>
    </row>
    <row r="66" spans="1:9" ht="15" x14ac:dyDescent="0.25">
      <c r="A66" s="95"/>
      <c r="B66" s="95"/>
      <c r="C66" s="95"/>
      <c r="D66" s="95"/>
      <c r="E66" s="95"/>
      <c r="F66" s="95"/>
      <c r="G66" s="95"/>
      <c r="H66" s="95"/>
      <c r="I66" s="49"/>
    </row>
    <row r="67" spans="1:9" ht="15" x14ac:dyDescent="0.25">
      <c r="A67" s="95"/>
      <c r="B67" s="95"/>
      <c r="C67" s="95"/>
      <c r="D67" s="95"/>
      <c r="E67" s="95"/>
      <c r="F67" s="95"/>
      <c r="G67" s="95"/>
      <c r="H67" s="95"/>
      <c r="I67" s="49"/>
    </row>
    <row r="68" spans="1:9" ht="15" x14ac:dyDescent="0.25">
      <c r="A68" s="95"/>
      <c r="B68" s="95"/>
      <c r="C68" s="95"/>
      <c r="D68" s="95"/>
      <c r="E68" s="95"/>
      <c r="F68" s="95"/>
      <c r="G68" s="95"/>
      <c r="H68" s="95"/>
      <c r="I68" s="49"/>
    </row>
    <row r="69" spans="1:9" ht="15" x14ac:dyDescent="0.25">
      <c r="A69" s="95"/>
      <c r="B69" s="95"/>
      <c r="C69" s="95"/>
      <c r="D69" s="95"/>
      <c r="E69" s="95"/>
      <c r="F69" s="95"/>
      <c r="G69" s="95"/>
      <c r="H69" s="95"/>
      <c r="I69" s="49"/>
    </row>
    <row r="70" spans="1:9" ht="15" x14ac:dyDescent="0.25">
      <c r="A70" s="95"/>
      <c r="B70" s="95"/>
      <c r="C70" s="95"/>
      <c r="D70" s="95"/>
      <c r="E70" s="95"/>
      <c r="F70" s="95"/>
      <c r="G70" s="95"/>
      <c r="H70" s="95"/>
      <c r="I70" s="49"/>
    </row>
    <row r="71" spans="1:9" ht="15" x14ac:dyDescent="0.25">
      <c r="A71" s="95"/>
      <c r="B71" s="95"/>
      <c r="C71" s="95"/>
      <c r="D71" s="95"/>
      <c r="E71" s="95"/>
      <c r="F71" s="95"/>
      <c r="G71" s="95"/>
      <c r="H71" s="95"/>
      <c r="I71" s="49"/>
    </row>
    <row r="72" spans="1:9" ht="15" x14ac:dyDescent="0.25">
      <c r="A72" s="95"/>
      <c r="B72" s="95"/>
      <c r="C72" s="95"/>
      <c r="D72" s="95"/>
      <c r="E72" s="95"/>
      <c r="F72" s="95"/>
      <c r="G72" s="95"/>
      <c r="H72" s="95"/>
      <c r="I72" s="49"/>
    </row>
    <row r="73" spans="1:9" ht="15" x14ac:dyDescent="0.25">
      <c r="A73" s="95"/>
      <c r="B73" s="95"/>
      <c r="C73" s="95"/>
      <c r="D73" s="95"/>
      <c r="E73" s="95"/>
      <c r="F73" s="95"/>
      <c r="G73" s="95"/>
      <c r="H73" s="95"/>
      <c r="I73" s="49"/>
    </row>
    <row r="74" spans="1:9" ht="15" x14ac:dyDescent="0.25">
      <c r="A74" s="95"/>
      <c r="B74" s="95"/>
      <c r="C74" s="95"/>
      <c r="D74" s="95"/>
      <c r="E74" s="95"/>
      <c r="F74" s="95"/>
      <c r="G74" s="95"/>
      <c r="H74" s="95"/>
      <c r="I74" s="49"/>
    </row>
    <row r="75" spans="1:9" ht="15" x14ac:dyDescent="0.25">
      <c r="A75" s="95"/>
      <c r="B75" s="95"/>
      <c r="C75" s="95"/>
      <c r="D75" s="95"/>
      <c r="E75" s="95"/>
      <c r="F75" s="95"/>
      <c r="G75" s="95"/>
      <c r="H75" s="95"/>
      <c r="I75" s="49"/>
    </row>
    <row r="76" spans="1:9" ht="15" x14ac:dyDescent="0.25">
      <c r="A76" s="95"/>
      <c r="B76" s="95"/>
      <c r="C76" s="95"/>
      <c r="D76" s="95"/>
      <c r="E76" s="95"/>
      <c r="F76" s="95"/>
      <c r="G76" s="95"/>
      <c r="H76" s="95"/>
      <c r="I76" s="49"/>
    </row>
    <row r="77" spans="1:9" ht="15" x14ac:dyDescent="0.25">
      <c r="A77" s="95"/>
      <c r="B77" s="95"/>
      <c r="C77" s="95"/>
      <c r="D77" s="95"/>
      <c r="E77" s="95"/>
      <c r="F77" s="95"/>
      <c r="G77" s="95"/>
      <c r="H77" s="95"/>
      <c r="I77" s="49"/>
    </row>
    <row r="78" spans="1:9" ht="15" x14ac:dyDescent="0.25">
      <c r="A78" s="95"/>
      <c r="B78" s="95"/>
      <c r="C78" s="95"/>
      <c r="D78" s="95"/>
      <c r="E78" s="95"/>
      <c r="F78" s="95"/>
      <c r="G78" s="95"/>
      <c r="H78" s="95"/>
      <c r="I78" s="49"/>
    </row>
    <row r="79" spans="1:9" ht="15" x14ac:dyDescent="0.25">
      <c r="A79" s="95"/>
      <c r="B79" s="95"/>
      <c r="C79" s="95"/>
      <c r="D79" s="95"/>
      <c r="E79" s="95"/>
      <c r="F79" s="95"/>
      <c r="G79" s="95"/>
      <c r="H79" s="95"/>
      <c r="I79" s="49"/>
    </row>
    <row r="80" spans="1:9" ht="15" x14ac:dyDescent="0.25">
      <c r="A80" s="95"/>
      <c r="B80" s="95"/>
      <c r="C80" s="95"/>
      <c r="D80" s="95"/>
      <c r="E80" s="95"/>
      <c r="F80" s="95"/>
      <c r="G80" s="95"/>
      <c r="H80" s="95"/>
      <c r="I80" s="49"/>
    </row>
    <row r="81" spans="1:9" ht="15" x14ac:dyDescent="0.25">
      <c r="A81" s="95"/>
      <c r="B81" s="95"/>
      <c r="C81" s="95"/>
      <c r="D81" s="95"/>
      <c r="E81" s="95"/>
      <c r="F81" s="95"/>
      <c r="G81" s="95"/>
      <c r="H81" s="95"/>
      <c r="I81" s="49"/>
    </row>
    <row r="82" spans="1:9" ht="15" x14ac:dyDescent="0.25">
      <c r="A82" s="95"/>
      <c r="B82" s="95"/>
      <c r="C82" s="95"/>
      <c r="D82" s="95"/>
      <c r="E82" s="95"/>
      <c r="F82" s="95"/>
      <c r="G82" s="95"/>
      <c r="H82" s="95"/>
      <c r="I82" s="49"/>
    </row>
    <row r="83" spans="1:9" ht="15" x14ac:dyDescent="0.25">
      <c r="A83" s="95"/>
      <c r="B83" s="95"/>
      <c r="C83" s="95"/>
      <c r="D83" s="95"/>
      <c r="E83" s="95"/>
      <c r="F83" s="95"/>
      <c r="G83" s="95"/>
      <c r="H83" s="95"/>
      <c r="I83" s="49"/>
    </row>
    <row r="84" spans="1:9" ht="15" x14ac:dyDescent="0.25">
      <c r="A84" s="95"/>
      <c r="B84" s="95"/>
      <c r="C84" s="95"/>
      <c r="D84" s="95"/>
      <c r="E84" s="95"/>
      <c r="F84" s="95"/>
      <c r="G84" s="95"/>
      <c r="H84" s="95"/>
      <c r="I84" s="49"/>
    </row>
    <row r="85" spans="1:9" ht="15" x14ac:dyDescent="0.25">
      <c r="A85" s="95"/>
      <c r="B85" s="95"/>
      <c r="C85" s="95"/>
      <c r="D85" s="95"/>
      <c r="E85" s="95"/>
      <c r="F85" s="95"/>
      <c r="G85" s="95"/>
      <c r="H85" s="95"/>
      <c r="I85" s="49"/>
    </row>
    <row r="86" spans="1:9" ht="15" x14ac:dyDescent="0.25">
      <c r="A86" s="95"/>
      <c r="B86" s="95"/>
      <c r="C86" s="95"/>
      <c r="D86" s="95"/>
      <c r="E86" s="95"/>
      <c r="F86" s="95"/>
      <c r="G86" s="95"/>
      <c r="H86" s="95"/>
      <c r="I86" s="49"/>
    </row>
    <row r="87" spans="1:9" ht="15" x14ac:dyDescent="0.25">
      <c r="A87" s="95"/>
      <c r="B87" s="95"/>
      <c r="C87" s="95"/>
      <c r="D87" s="95"/>
      <c r="E87" s="95"/>
      <c r="F87" s="95"/>
      <c r="G87" s="95"/>
      <c r="H87" s="95"/>
      <c r="I87" s="49"/>
    </row>
    <row r="88" spans="1:9" ht="15" x14ac:dyDescent="0.25">
      <c r="A88" s="95"/>
      <c r="B88" s="95"/>
      <c r="C88" s="95"/>
      <c r="D88" s="95"/>
      <c r="E88" s="95"/>
      <c r="F88" s="95"/>
      <c r="G88" s="95"/>
      <c r="H88" s="95"/>
      <c r="I88" s="49"/>
    </row>
    <row r="89" spans="1:9" ht="15" x14ac:dyDescent="0.25">
      <c r="A89" s="95"/>
      <c r="B89" s="95"/>
      <c r="C89" s="95"/>
      <c r="D89" s="95"/>
      <c r="E89" s="95"/>
      <c r="F89" s="95"/>
      <c r="G89" s="95"/>
      <c r="H89" s="95"/>
      <c r="I89" s="49"/>
    </row>
    <row r="90" spans="1:9" ht="15" x14ac:dyDescent="0.25">
      <c r="A90" s="95"/>
      <c r="B90" s="95"/>
      <c r="C90" s="95"/>
      <c r="D90" s="95"/>
      <c r="E90" s="95"/>
      <c r="F90" s="95"/>
      <c r="G90" s="95"/>
      <c r="H90" s="95"/>
      <c r="I90" s="49"/>
    </row>
    <row r="91" spans="1:9" ht="15" x14ac:dyDescent="0.25">
      <c r="A91" s="95"/>
      <c r="B91" s="95"/>
      <c r="C91" s="95"/>
      <c r="D91" s="95"/>
      <c r="E91" s="95"/>
      <c r="F91" s="95"/>
      <c r="G91" s="95"/>
      <c r="H91" s="95"/>
      <c r="I91" s="49"/>
    </row>
    <row r="92" spans="1:9" ht="15" x14ac:dyDescent="0.25">
      <c r="A92" s="95"/>
      <c r="B92" s="95"/>
      <c r="C92" s="95"/>
      <c r="D92" s="95"/>
      <c r="E92" s="95"/>
      <c r="F92" s="95"/>
      <c r="G92" s="95"/>
      <c r="H92" s="95"/>
      <c r="I92" s="49"/>
    </row>
    <row r="93" spans="1:9" ht="15" x14ac:dyDescent="0.25">
      <c r="A93" s="95"/>
      <c r="B93" s="95"/>
      <c r="C93" s="95"/>
      <c r="D93" s="95"/>
      <c r="E93" s="95"/>
      <c r="F93" s="95"/>
      <c r="G93" s="95"/>
      <c r="H93" s="95"/>
      <c r="I93" s="49"/>
    </row>
    <row r="94" spans="1:9" ht="15" x14ac:dyDescent="0.25">
      <c r="A94" s="95"/>
      <c r="B94" s="95"/>
      <c r="C94" s="95"/>
      <c r="D94" s="95"/>
      <c r="E94" s="95"/>
      <c r="F94" s="95"/>
      <c r="G94" s="95"/>
      <c r="H94" s="95"/>
      <c r="I94" s="49"/>
    </row>
    <row r="95" spans="1:9" ht="15" x14ac:dyDescent="0.25">
      <c r="A95" s="95"/>
      <c r="B95" s="95"/>
      <c r="C95" s="95"/>
      <c r="D95" s="95"/>
      <c r="E95" s="95"/>
      <c r="F95" s="95"/>
      <c r="G95" s="95"/>
      <c r="H95" s="95"/>
      <c r="I95" s="49"/>
    </row>
    <row r="96" spans="1:9" ht="15" x14ac:dyDescent="0.25">
      <c r="A96" s="95"/>
      <c r="B96" s="95"/>
      <c r="C96" s="95"/>
      <c r="D96" s="95"/>
      <c r="E96" s="95"/>
      <c r="F96" s="95"/>
      <c r="G96" s="95"/>
      <c r="H96" s="95"/>
      <c r="I96" s="49"/>
    </row>
    <row r="97" spans="1:9" ht="15" x14ac:dyDescent="0.25">
      <c r="A97" s="95"/>
      <c r="B97" s="95"/>
      <c r="C97" s="95"/>
      <c r="D97" s="95"/>
      <c r="E97" s="95"/>
      <c r="F97" s="95"/>
      <c r="G97" s="95"/>
      <c r="H97" s="95"/>
      <c r="I97" s="49"/>
    </row>
    <row r="98" spans="1:9" ht="15" x14ac:dyDescent="0.25">
      <c r="A98" s="95"/>
      <c r="B98" s="95"/>
      <c r="C98" s="95"/>
      <c r="D98" s="95"/>
      <c r="E98" s="95"/>
      <c r="F98" s="95"/>
      <c r="G98" s="95"/>
      <c r="H98" s="95"/>
      <c r="I98" s="49"/>
    </row>
    <row r="99" spans="1:9" ht="15" x14ac:dyDescent="0.25">
      <c r="A99" s="95"/>
      <c r="B99" s="95"/>
      <c r="C99" s="95"/>
      <c r="D99" s="95"/>
      <c r="E99" s="95"/>
      <c r="F99" s="95"/>
      <c r="G99" s="95"/>
      <c r="H99" s="95"/>
      <c r="I99" s="49"/>
    </row>
    <row r="100" spans="1:9" ht="15" x14ac:dyDescent="0.25">
      <c r="A100" s="95"/>
      <c r="B100" s="95"/>
      <c r="C100" s="95"/>
      <c r="D100" s="95"/>
      <c r="E100" s="95"/>
      <c r="F100" s="95"/>
      <c r="G100" s="95"/>
      <c r="H100" s="95"/>
      <c r="I100" s="49"/>
    </row>
    <row r="101" spans="1:9" ht="15" x14ac:dyDescent="0.25">
      <c r="A101" s="95"/>
      <c r="B101" s="95"/>
      <c r="C101" s="95"/>
      <c r="D101" s="95"/>
      <c r="E101" s="95"/>
      <c r="F101" s="95"/>
      <c r="G101" s="95"/>
      <c r="H101" s="95"/>
      <c r="I101" s="49"/>
    </row>
    <row r="102" spans="1:9" ht="15" x14ac:dyDescent="0.25">
      <c r="A102" s="95"/>
      <c r="B102" s="95"/>
      <c r="C102" s="95"/>
      <c r="D102" s="95"/>
      <c r="E102" s="95"/>
      <c r="F102" s="95"/>
      <c r="G102" s="95"/>
      <c r="H102" s="95"/>
      <c r="I102" s="49"/>
    </row>
    <row r="103" spans="1:9" ht="15" x14ac:dyDescent="0.25">
      <c r="A103" s="95"/>
      <c r="B103" s="95"/>
      <c r="C103" s="95"/>
      <c r="D103" s="95"/>
      <c r="E103" s="95"/>
      <c r="F103" s="95"/>
      <c r="G103" s="95"/>
      <c r="H103" s="95"/>
      <c r="I103" s="49"/>
    </row>
    <row r="104" spans="1:9" ht="15" x14ac:dyDescent="0.25">
      <c r="A104" s="95"/>
      <c r="B104" s="95"/>
      <c r="C104" s="95"/>
      <c r="D104" s="95"/>
      <c r="E104" s="95"/>
      <c r="F104" s="95"/>
      <c r="G104" s="95"/>
      <c r="H104" s="95"/>
      <c r="I104" s="49"/>
    </row>
    <row r="105" spans="1:9" ht="15" x14ac:dyDescent="0.25">
      <c r="A105" s="95"/>
      <c r="B105" s="95"/>
      <c r="C105" s="95"/>
      <c r="D105" s="95"/>
      <c r="E105" s="95"/>
      <c r="F105" s="95"/>
      <c r="G105" s="95"/>
      <c r="H105" s="95"/>
      <c r="I105" s="49"/>
    </row>
    <row r="106" spans="1:9" ht="15" x14ac:dyDescent="0.25">
      <c r="A106" s="95"/>
      <c r="B106" s="95"/>
      <c r="C106" s="95"/>
      <c r="D106" s="95"/>
      <c r="E106" s="95"/>
      <c r="F106" s="95"/>
      <c r="G106" s="95"/>
      <c r="H106" s="95"/>
      <c r="I106" s="49"/>
    </row>
    <row r="107" spans="1:9" ht="15" x14ac:dyDescent="0.25">
      <c r="A107" s="95"/>
      <c r="B107" s="95"/>
      <c r="C107" s="95"/>
      <c r="D107" s="95"/>
      <c r="E107" s="95"/>
      <c r="F107" s="95"/>
      <c r="G107" s="95"/>
      <c r="H107" s="95"/>
      <c r="I107" s="49"/>
    </row>
    <row r="108" spans="1:9" ht="15" x14ac:dyDescent="0.25">
      <c r="A108" s="95"/>
      <c r="B108" s="95"/>
      <c r="C108" s="95"/>
      <c r="D108" s="95"/>
      <c r="E108" s="95"/>
      <c r="F108" s="95"/>
      <c r="G108" s="95"/>
      <c r="H108" s="95"/>
      <c r="I108" s="49"/>
    </row>
    <row r="109" spans="1:9" ht="15" x14ac:dyDescent="0.25">
      <c r="A109" s="95"/>
      <c r="B109" s="95"/>
      <c r="C109" s="95"/>
      <c r="D109" s="95"/>
      <c r="E109" s="95"/>
      <c r="F109" s="95"/>
      <c r="G109" s="95"/>
      <c r="H109" s="95"/>
      <c r="I109" s="49"/>
    </row>
    <row r="110" spans="1:9" ht="15" x14ac:dyDescent="0.25">
      <c r="A110" s="95"/>
      <c r="B110" s="95"/>
      <c r="C110" s="95"/>
      <c r="D110" s="95"/>
      <c r="E110" s="95"/>
      <c r="F110" s="95"/>
      <c r="G110" s="95"/>
      <c r="H110" s="95"/>
      <c r="I110" s="49"/>
    </row>
    <row r="111" spans="1:9" ht="15" x14ac:dyDescent="0.25">
      <c r="A111" s="95"/>
      <c r="B111" s="95"/>
      <c r="C111" s="95"/>
      <c r="D111" s="95"/>
      <c r="E111" s="95"/>
      <c r="F111" s="95"/>
      <c r="G111" s="95"/>
      <c r="H111" s="95"/>
      <c r="I111" s="49"/>
    </row>
    <row r="112" spans="1:9" ht="15" x14ac:dyDescent="0.25">
      <c r="A112" s="95"/>
      <c r="B112" s="95"/>
      <c r="C112" s="95"/>
      <c r="D112" s="95"/>
      <c r="E112" s="95"/>
      <c r="F112" s="95"/>
      <c r="G112" s="95"/>
      <c r="H112" s="95"/>
      <c r="I112" s="49"/>
    </row>
    <row r="113" spans="1:9" ht="15" x14ac:dyDescent="0.25">
      <c r="A113" s="95"/>
      <c r="B113" s="95"/>
      <c r="C113" s="95"/>
      <c r="D113" s="95"/>
      <c r="E113" s="95"/>
      <c r="F113" s="95"/>
      <c r="G113" s="95"/>
      <c r="H113" s="95"/>
      <c r="I113" s="49"/>
    </row>
    <row r="114" spans="1:9" ht="15" x14ac:dyDescent="0.25">
      <c r="A114" s="95"/>
      <c r="B114" s="95"/>
      <c r="C114" s="95"/>
      <c r="D114" s="95"/>
      <c r="E114" s="95"/>
      <c r="F114" s="95"/>
      <c r="G114" s="95"/>
      <c r="H114" s="95"/>
      <c r="I114" s="49"/>
    </row>
    <row r="115" spans="1:9" ht="15" x14ac:dyDescent="0.25">
      <c r="A115" s="95"/>
      <c r="B115" s="95"/>
      <c r="C115" s="95"/>
      <c r="D115" s="95"/>
      <c r="E115" s="95"/>
      <c r="F115" s="95"/>
      <c r="G115" s="95"/>
      <c r="H115" s="95"/>
      <c r="I115" s="49"/>
    </row>
    <row r="116" spans="1:9" ht="15" x14ac:dyDescent="0.25">
      <c r="A116" s="95"/>
      <c r="B116" s="95"/>
      <c r="C116" s="95"/>
      <c r="D116" s="95"/>
      <c r="E116" s="95"/>
      <c r="F116" s="95"/>
      <c r="G116" s="95"/>
      <c r="H116" s="95"/>
      <c r="I116" s="49"/>
    </row>
    <row r="117" spans="1:9" ht="15" x14ac:dyDescent="0.25">
      <c r="A117" s="95"/>
      <c r="B117" s="95"/>
      <c r="C117" s="95"/>
      <c r="D117" s="95"/>
      <c r="E117" s="95"/>
      <c r="F117" s="95"/>
      <c r="G117" s="95"/>
      <c r="H117" s="95"/>
      <c r="I117" s="49"/>
    </row>
    <row r="118" spans="1:9" ht="15" x14ac:dyDescent="0.25">
      <c r="A118" s="95"/>
      <c r="B118" s="95"/>
      <c r="C118" s="95"/>
      <c r="D118" s="95"/>
      <c r="E118" s="95"/>
      <c r="F118" s="95"/>
      <c r="G118" s="95"/>
      <c r="H118" s="95"/>
      <c r="I118" s="49"/>
    </row>
    <row r="119" spans="1:9" ht="15" x14ac:dyDescent="0.25">
      <c r="A119" s="95"/>
      <c r="B119" s="95"/>
      <c r="C119" s="95"/>
      <c r="D119" s="95"/>
      <c r="E119" s="95"/>
      <c r="F119" s="95"/>
      <c r="G119" s="95"/>
      <c r="H119" s="95"/>
      <c r="I119" s="49"/>
    </row>
    <row r="120" spans="1:9" ht="15" x14ac:dyDescent="0.25">
      <c r="A120" s="95"/>
      <c r="B120" s="95"/>
      <c r="C120" s="95"/>
      <c r="D120" s="95"/>
      <c r="E120" s="95"/>
      <c r="F120" s="95"/>
      <c r="G120" s="95"/>
      <c r="H120" s="95"/>
      <c r="I120" s="49"/>
    </row>
    <row r="121" spans="1:9" ht="15" x14ac:dyDescent="0.25">
      <c r="A121" s="95"/>
      <c r="B121" s="95"/>
      <c r="C121" s="95"/>
      <c r="D121" s="95"/>
      <c r="E121" s="95"/>
      <c r="F121" s="95"/>
      <c r="G121" s="95"/>
      <c r="H121" s="95"/>
      <c r="I121" s="49"/>
    </row>
    <row r="122" spans="1:9" ht="15" x14ac:dyDescent="0.25">
      <c r="A122" s="95"/>
      <c r="B122" s="95"/>
      <c r="C122" s="95"/>
      <c r="D122" s="95"/>
      <c r="E122" s="95"/>
      <c r="F122" s="95"/>
      <c r="G122" s="95"/>
      <c r="H122" s="95"/>
      <c r="I122" s="49"/>
    </row>
    <row r="123" spans="1:9" ht="15" x14ac:dyDescent="0.25">
      <c r="A123" s="95"/>
      <c r="B123" s="95"/>
      <c r="C123" s="95"/>
      <c r="D123" s="95"/>
      <c r="E123" s="95"/>
      <c r="F123" s="95"/>
      <c r="G123" s="95"/>
      <c r="H123" s="95"/>
      <c r="I123" s="49"/>
    </row>
    <row r="124" spans="1:9" ht="15" x14ac:dyDescent="0.25">
      <c r="A124" s="95"/>
      <c r="B124" s="95"/>
      <c r="C124" s="95"/>
      <c r="D124" s="95"/>
      <c r="E124" s="95"/>
      <c r="F124" s="95"/>
      <c r="G124" s="95"/>
      <c r="H124" s="95"/>
      <c r="I124" s="49"/>
    </row>
    <row r="125" spans="1:9" ht="15" x14ac:dyDescent="0.25">
      <c r="A125" s="95"/>
      <c r="B125" s="95"/>
      <c r="C125" s="95"/>
      <c r="D125" s="95"/>
      <c r="E125" s="95"/>
      <c r="F125" s="95"/>
      <c r="G125" s="95"/>
      <c r="H125" s="95"/>
      <c r="I125" s="49"/>
    </row>
    <row r="126" spans="1:9" ht="15" x14ac:dyDescent="0.25">
      <c r="A126" s="95"/>
      <c r="B126" s="95"/>
      <c r="C126" s="95"/>
      <c r="D126" s="95"/>
      <c r="E126" s="95"/>
      <c r="F126" s="95"/>
      <c r="G126" s="95"/>
      <c r="H126" s="95"/>
      <c r="I126" s="49"/>
    </row>
    <row r="127" spans="1:9" ht="15" x14ac:dyDescent="0.25">
      <c r="A127" s="95"/>
      <c r="B127" s="95"/>
      <c r="C127" s="95"/>
      <c r="D127" s="95"/>
      <c r="E127" s="95"/>
      <c r="F127" s="95"/>
      <c r="G127" s="95"/>
      <c r="H127" s="95"/>
      <c r="I127" s="49"/>
    </row>
    <row r="128" spans="1:9" ht="15" x14ac:dyDescent="0.25">
      <c r="A128" s="95"/>
      <c r="B128" s="95"/>
      <c r="C128" s="95"/>
      <c r="D128" s="95"/>
      <c r="E128" s="95"/>
      <c r="F128" s="95"/>
      <c r="G128" s="95"/>
      <c r="H128" s="95"/>
      <c r="I128" s="49"/>
    </row>
    <row r="129" spans="1:9" ht="15" x14ac:dyDescent="0.25">
      <c r="A129" s="95"/>
      <c r="B129" s="95"/>
      <c r="C129" s="95"/>
      <c r="D129" s="95"/>
      <c r="E129" s="95"/>
      <c r="F129" s="95"/>
      <c r="G129" s="95"/>
      <c r="H129" s="95"/>
      <c r="I129" s="49"/>
    </row>
    <row r="130" spans="1:9" ht="15" x14ac:dyDescent="0.25">
      <c r="A130" s="95"/>
      <c r="B130" s="95"/>
      <c r="C130" s="95"/>
      <c r="D130" s="95"/>
      <c r="E130" s="95"/>
      <c r="F130" s="95"/>
      <c r="G130" s="95"/>
      <c r="H130" s="95"/>
      <c r="I130" s="49"/>
    </row>
    <row r="131" spans="1:9" ht="15" x14ac:dyDescent="0.25">
      <c r="A131" s="95"/>
      <c r="B131" s="95"/>
      <c r="C131" s="95"/>
      <c r="D131" s="95"/>
      <c r="E131" s="95"/>
      <c r="F131" s="95"/>
      <c r="G131" s="95"/>
      <c r="H131" s="95"/>
      <c r="I131" s="49"/>
    </row>
    <row r="132" spans="1:9" ht="15" x14ac:dyDescent="0.25">
      <c r="A132" s="95"/>
      <c r="B132" s="95"/>
      <c r="C132" s="95"/>
      <c r="D132" s="95"/>
      <c r="E132" s="95"/>
      <c r="F132" s="95"/>
      <c r="G132" s="95"/>
      <c r="H132" s="95"/>
      <c r="I132" s="49"/>
    </row>
    <row r="133" spans="1:9" ht="15" x14ac:dyDescent="0.25">
      <c r="A133" s="95"/>
      <c r="B133" s="95"/>
      <c r="C133" s="95"/>
      <c r="D133" s="95"/>
      <c r="E133" s="95"/>
      <c r="F133" s="95"/>
      <c r="G133" s="95"/>
      <c r="H133" s="95"/>
      <c r="I133" s="49"/>
    </row>
    <row r="134" spans="1:9" ht="15" x14ac:dyDescent="0.25">
      <c r="A134" s="95"/>
      <c r="B134" s="95"/>
      <c r="C134" s="95"/>
      <c r="D134" s="95"/>
      <c r="E134" s="95"/>
      <c r="F134" s="95"/>
      <c r="G134" s="95"/>
      <c r="H134" s="95"/>
      <c r="I134" s="49"/>
    </row>
    <row r="135" spans="1:9" ht="15" x14ac:dyDescent="0.25">
      <c r="A135" s="95"/>
      <c r="B135" s="95"/>
      <c r="C135" s="95"/>
      <c r="D135" s="95"/>
      <c r="E135" s="95"/>
      <c r="F135" s="95"/>
      <c r="G135" s="95"/>
      <c r="H135" s="95"/>
      <c r="I135" s="49"/>
    </row>
    <row r="136" spans="1:9" ht="15" x14ac:dyDescent="0.25">
      <c r="A136" s="95"/>
      <c r="B136" s="95"/>
      <c r="C136" s="95"/>
      <c r="D136" s="95"/>
      <c r="E136" s="95"/>
      <c r="F136" s="95"/>
      <c r="G136" s="95"/>
      <c r="H136" s="95"/>
      <c r="I136" s="49"/>
    </row>
    <row r="137" spans="1:9" ht="15" x14ac:dyDescent="0.25">
      <c r="A137" s="95"/>
      <c r="B137" s="95"/>
      <c r="C137" s="95"/>
      <c r="D137" s="95"/>
      <c r="E137" s="95"/>
      <c r="F137" s="95"/>
      <c r="G137" s="95"/>
      <c r="H137" s="95"/>
      <c r="I137" s="49"/>
    </row>
    <row r="138" spans="1:9" ht="15" x14ac:dyDescent="0.25">
      <c r="A138" s="95"/>
      <c r="B138" s="95"/>
      <c r="C138" s="95"/>
      <c r="D138" s="95"/>
      <c r="E138" s="95"/>
      <c r="F138" s="95"/>
      <c r="G138" s="95"/>
      <c r="H138" s="95"/>
      <c r="I138" s="49"/>
    </row>
    <row r="139" spans="1:9" ht="15" x14ac:dyDescent="0.25">
      <c r="A139" s="95"/>
      <c r="B139" s="95"/>
      <c r="C139" s="95"/>
      <c r="D139" s="95"/>
      <c r="E139" s="95"/>
      <c r="F139" s="95"/>
      <c r="G139" s="95"/>
      <c r="H139" s="95"/>
      <c r="I139" s="49"/>
    </row>
    <row r="140" spans="1:9" ht="15" x14ac:dyDescent="0.25">
      <c r="A140" s="95"/>
      <c r="B140" s="95"/>
      <c r="C140" s="95"/>
      <c r="D140" s="95"/>
      <c r="E140" s="95"/>
      <c r="F140" s="95"/>
      <c r="G140" s="95"/>
      <c r="H140" s="95"/>
      <c r="I140" s="49"/>
    </row>
    <row r="141" spans="1:9" ht="15" x14ac:dyDescent="0.25">
      <c r="A141" s="95"/>
      <c r="B141" s="95"/>
      <c r="C141" s="95"/>
      <c r="D141" s="95"/>
      <c r="E141" s="95"/>
      <c r="F141" s="95"/>
      <c r="G141" s="95"/>
      <c r="H141" s="95"/>
      <c r="I141" s="49"/>
    </row>
    <row r="142" spans="1:9" ht="15" x14ac:dyDescent="0.25">
      <c r="A142" s="95"/>
      <c r="B142" s="95"/>
      <c r="C142" s="95"/>
      <c r="D142" s="95"/>
      <c r="E142" s="95"/>
      <c r="F142" s="95"/>
      <c r="G142" s="95"/>
      <c r="H142" s="95"/>
      <c r="I142" s="49"/>
    </row>
    <row r="143" spans="1:9" ht="15" x14ac:dyDescent="0.25">
      <c r="A143" s="95"/>
      <c r="B143" s="95"/>
      <c r="C143" s="95"/>
      <c r="D143" s="95"/>
      <c r="E143" s="95"/>
      <c r="F143" s="95"/>
      <c r="G143" s="95"/>
      <c r="H143" s="95"/>
      <c r="I143" s="49"/>
    </row>
    <row r="144" spans="1:9" ht="15" x14ac:dyDescent="0.25">
      <c r="A144" s="95"/>
      <c r="B144" s="95"/>
      <c r="C144" s="95"/>
      <c r="D144" s="95"/>
      <c r="E144" s="95"/>
      <c r="F144" s="95"/>
      <c r="G144" s="95"/>
      <c r="H144" s="95"/>
      <c r="I144" s="49"/>
    </row>
    <row r="145" spans="1:9" ht="15" x14ac:dyDescent="0.25">
      <c r="A145" s="95"/>
      <c r="B145" s="95"/>
      <c r="C145" s="95"/>
      <c r="D145" s="95"/>
      <c r="E145" s="95"/>
      <c r="F145" s="95"/>
      <c r="G145" s="95"/>
      <c r="H145" s="95"/>
      <c r="I145" s="49"/>
    </row>
    <row r="146" spans="1:9" ht="15" x14ac:dyDescent="0.25">
      <c r="A146" s="95"/>
      <c r="B146" s="95"/>
      <c r="C146" s="95"/>
      <c r="D146" s="95"/>
      <c r="E146" s="95"/>
      <c r="F146" s="95"/>
      <c r="G146" s="95"/>
      <c r="H146" s="95"/>
      <c r="I146" s="49"/>
    </row>
    <row r="147" spans="1:9" ht="15" x14ac:dyDescent="0.25">
      <c r="A147" s="95"/>
      <c r="B147" s="95"/>
      <c r="C147" s="95"/>
      <c r="D147" s="95"/>
      <c r="E147" s="95"/>
      <c r="F147" s="95"/>
      <c r="G147" s="95"/>
      <c r="H147" s="95"/>
      <c r="I147" s="49"/>
    </row>
    <row r="148" spans="1:9" ht="15" x14ac:dyDescent="0.25">
      <c r="A148" s="95"/>
      <c r="B148" s="95"/>
      <c r="C148" s="95"/>
      <c r="D148" s="95"/>
      <c r="E148" s="95"/>
      <c r="F148" s="95"/>
      <c r="G148" s="95"/>
      <c r="H148" s="95"/>
      <c r="I148" s="49"/>
    </row>
    <row r="149" spans="1:9" ht="15" x14ac:dyDescent="0.25">
      <c r="A149" s="95"/>
      <c r="B149" s="95"/>
      <c r="C149" s="95"/>
      <c r="D149" s="95"/>
      <c r="E149" s="95"/>
      <c r="F149" s="95"/>
      <c r="G149" s="95"/>
      <c r="H149" s="95"/>
      <c r="I149" s="49"/>
    </row>
    <row r="150" spans="1:9" ht="15" x14ac:dyDescent="0.25">
      <c r="A150" s="95"/>
      <c r="B150" s="95"/>
      <c r="C150" s="95"/>
      <c r="D150" s="95"/>
      <c r="E150" s="95"/>
      <c r="F150" s="95"/>
      <c r="G150" s="95"/>
      <c r="H150" s="95"/>
      <c r="I150" s="49"/>
    </row>
    <row r="151" spans="1:9" ht="15" x14ac:dyDescent="0.25">
      <c r="A151" s="95"/>
      <c r="B151" s="95"/>
      <c r="C151" s="95"/>
      <c r="D151" s="95"/>
      <c r="E151" s="95"/>
      <c r="F151" s="95"/>
      <c r="G151" s="95"/>
      <c r="H151" s="95"/>
      <c r="I151" s="49"/>
    </row>
    <row r="152" spans="1:9" ht="15" x14ac:dyDescent="0.25">
      <c r="A152" s="95"/>
      <c r="B152" s="95"/>
      <c r="C152" s="95"/>
      <c r="D152" s="95"/>
      <c r="E152" s="95"/>
      <c r="F152" s="95"/>
      <c r="G152" s="95"/>
      <c r="H152" s="95"/>
      <c r="I152" s="49"/>
    </row>
    <row r="153" spans="1:9" ht="15" x14ac:dyDescent="0.25">
      <c r="A153" s="95"/>
      <c r="B153" s="95"/>
      <c r="C153" s="95"/>
      <c r="D153" s="95"/>
      <c r="E153" s="95"/>
      <c r="F153" s="95"/>
      <c r="G153" s="95"/>
      <c r="H153" s="95"/>
      <c r="I153" s="49"/>
    </row>
    <row r="154" spans="1:9" ht="15" x14ac:dyDescent="0.25">
      <c r="A154" s="95"/>
      <c r="B154" s="95"/>
      <c r="C154" s="95"/>
      <c r="D154" s="95"/>
      <c r="E154" s="95"/>
      <c r="F154" s="95"/>
      <c r="G154" s="95"/>
      <c r="H154" s="95"/>
      <c r="I154" s="49"/>
    </row>
    <row r="155" spans="1:9" ht="15" x14ac:dyDescent="0.25">
      <c r="A155" s="95"/>
      <c r="B155" s="95"/>
      <c r="C155" s="95"/>
      <c r="D155" s="95"/>
      <c r="E155" s="95"/>
      <c r="F155" s="95"/>
      <c r="G155" s="95"/>
      <c r="H155" s="95"/>
      <c r="I155" s="49"/>
    </row>
    <row r="156" spans="1:9" ht="15" x14ac:dyDescent="0.25">
      <c r="A156" s="95"/>
      <c r="B156" s="95"/>
      <c r="C156" s="95"/>
      <c r="D156" s="95"/>
      <c r="E156" s="95"/>
      <c r="F156" s="95"/>
      <c r="G156" s="95"/>
      <c r="H156" s="95"/>
      <c r="I156" s="49"/>
    </row>
    <row r="157" spans="1:9" ht="15" x14ac:dyDescent="0.25">
      <c r="A157" s="95"/>
      <c r="B157" s="95"/>
      <c r="C157" s="95"/>
      <c r="D157" s="95"/>
      <c r="E157" s="95"/>
      <c r="F157" s="95"/>
      <c r="G157" s="95"/>
      <c r="H157" s="95"/>
      <c r="I157" s="49"/>
    </row>
    <row r="158" spans="1:9" ht="15" x14ac:dyDescent="0.25">
      <c r="A158" s="95"/>
      <c r="B158" s="95"/>
      <c r="C158" s="95"/>
      <c r="D158" s="95"/>
      <c r="E158" s="95"/>
      <c r="F158" s="95"/>
      <c r="G158" s="95"/>
      <c r="H158" s="95"/>
      <c r="I158" s="49"/>
    </row>
    <row r="159" spans="1:9" ht="15" x14ac:dyDescent="0.25">
      <c r="A159" s="95"/>
      <c r="B159" s="95"/>
      <c r="C159" s="95"/>
      <c r="D159" s="95"/>
      <c r="E159" s="95"/>
      <c r="F159" s="95"/>
      <c r="G159" s="95"/>
      <c r="H159" s="95"/>
      <c r="I159" s="49"/>
    </row>
    <row r="160" spans="1:9" s="99" customFormat="1" ht="15" x14ac:dyDescent="0.25">
      <c r="A160" s="97"/>
      <c r="B160" s="97"/>
      <c r="C160" s="97"/>
      <c r="D160" s="97"/>
      <c r="E160" s="97"/>
      <c r="F160" s="97"/>
      <c r="G160" s="97"/>
      <c r="H160" s="97"/>
      <c r="I160" s="98"/>
    </row>
    <row r="161" spans="1:9" s="99" customFormat="1" ht="15" x14ac:dyDescent="0.25">
      <c r="A161" s="97"/>
      <c r="B161" s="97"/>
      <c r="C161" s="97"/>
      <c r="D161" s="97"/>
      <c r="E161" s="97"/>
      <c r="F161" s="97"/>
      <c r="G161" s="97"/>
      <c r="H161" s="97"/>
      <c r="I161" s="98"/>
    </row>
    <row r="162" spans="1:9" ht="15" x14ac:dyDescent="0.25">
      <c r="A162" s="95"/>
      <c r="B162" s="95"/>
      <c r="C162" s="95"/>
      <c r="D162" s="95"/>
      <c r="E162" s="95"/>
      <c r="F162" s="95"/>
      <c r="G162" s="95"/>
      <c r="H162" s="95"/>
      <c r="I162" s="49"/>
    </row>
    <row r="163" spans="1:9" ht="15" x14ac:dyDescent="0.25">
      <c r="A163" s="95"/>
      <c r="B163" s="95"/>
      <c r="C163" s="95"/>
      <c r="D163" s="95"/>
      <c r="E163" s="95"/>
      <c r="F163" s="95"/>
      <c r="G163" s="95"/>
      <c r="H163" s="95"/>
      <c r="I163" s="49"/>
    </row>
    <row r="164" spans="1:9" ht="15" x14ac:dyDescent="0.25">
      <c r="A164" s="95"/>
      <c r="B164" s="95"/>
      <c r="C164" s="95"/>
      <c r="D164" s="95"/>
      <c r="E164" s="95"/>
      <c r="F164" s="95"/>
      <c r="G164" s="95"/>
      <c r="H164" s="95"/>
      <c r="I164" s="49"/>
    </row>
    <row r="165" spans="1:9" ht="15" x14ac:dyDescent="0.25">
      <c r="A165" s="95"/>
      <c r="B165" s="95"/>
      <c r="C165" s="95"/>
      <c r="D165" s="95"/>
      <c r="E165" s="95"/>
      <c r="F165" s="95"/>
      <c r="G165" s="95"/>
      <c r="H165" s="95"/>
      <c r="I165" s="49"/>
    </row>
    <row r="166" spans="1:9" ht="15" x14ac:dyDescent="0.25">
      <c r="A166" s="95"/>
      <c r="B166" s="95"/>
      <c r="C166" s="95"/>
      <c r="D166" s="95"/>
      <c r="E166" s="95"/>
      <c r="F166" s="95"/>
      <c r="G166" s="95"/>
      <c r="H166" s="95"/>
      <c r="I166" s="49"/>
    </row>
    <row r="167" spans="1:9" ht="15" x14ac:dyDescent="0.25">
      <c r="A167" s="95"/>
      <c r="B167" s="95"/>
      <c r="C167" s="95"/>
      <c r="D167" s="95"/>
      <c r="E167" s="95"/>
      <c r="F167" s="95"/>
      <c r="G167" s="95"/>
      <c r="H167" s="95"/>
      <c r="I167" s="49"/>
    </row>
    <row r="168" spans="1:9" ht="15" x14ac:dyDescent="0.25">
      <c r="A168" s="95"/>
      <c r="B168" s="95"/>
      <c r="C168" s="95"/>
      <c r="D168" s="95"/>
      <c r="E168" s="95"/>
      <c r="F168" s="95"/>
      <c r="G168" s="95"/>
      <c r="H168" s="95"/>
      <c r="I168" s="49"/>
    </row>
    <row r="169" spans="1:9" ht="15" x14ac:dyDescent="0.25">
      <c r="A169" s="95"/>
      <c r="B169" s="95"/>
      <c r="C169" s="95"/>
      <c r="D169" s="95"/>
      <c r="E169" s="95"/>
      <c r="F169" s="95"/>
      <c r="G169" s="95"/>
      <c r="H169" s="95"/>
      <c r="I169" s="49"/>
    </row>
    <row r="170" spans="1:9" ht="15" x14ac:dyDescent="0.25">
      <c r="A170" s="95"/>
      <c r="B170" s="95"/>
      <c r="C170" s="95"/>
      <c r="D170" s="95"/>
      <c r="E170" s="95"/>
      <c r="F170" s="95"/>
      <c r="G170" s="95"/>
      <c r="H170" s="95"/>
      <c r="I170" s="49"/>
    </row>
    <row r="171" spans="1:9" ht="15" x14ac:dyDescent="0.25">
      <c r="A171" s="95"/>
      <c r="B171" s="95"/>
      <c r="C171" s="95"/>
      <c r="D171" s="95"/>
      <c r="E171" s="95"/>
      <c r="F171" s="95"/>
      <c r="G171" s="95"/>
      <c r="H171" s="95"/>
      <c r="I171" s="49"/>
    </row>
    <row r="172" spans="1:9" ht="15" x14ac:dyDescent="0.25">
      <c r="A172" s="95"/>
      <c r="B172" s="95"/>
      <c r="C172" s="95"/>
      <c r="D172" s="95"/>
      <c r="E172" s="95"/>
      <c r="F172" s="95"/>
      <c r="G172" s="95"/>
      <c r="H172" s="95"/>
      <c r="I172" s="49"/>
    </row>
    <row r="173" spans="1:9" ht="15" x14ac:dyDescent="0.25">
      <c r="A173" s="95"/>
      <c r="B173" s="95"/>
      <c r="C173" s="95"/>
      <c r="D173" s="95"/>
      <c r="E173" s="95"/>
      <c r="F173" s="95"/>
      <c r="G173" s="95"/>
      <c r="H173" s="95"/>
      <c r="I173" s="49"/>
    </row>
    <row r="174" spans="1:9" ht="15" x14ac:dyDescent="0.25">
      <c r="A174" s="95"/>
      <c r="B174" s="95"/>
      <c r="C174" s="95"/>
      <c r="D174" s="95"/>
      <c r="E174" s="95"/>
      <c r="F174" s="95"/>
      <c r="G174" s="95"/>
      <c r="H174" s="95"/>
      <c r="I174" s="49"/>
    </row>
    <row r="175" spans="1:9" ht="15" x14ac:dyDescent="0.25">
      <c r="A175" s="95"/>
      <c r="B175" s="95"/>
      <c r="C175" s="95"/>
      <c r="D175" s="95"/>
      <c r="E175" s="95"/>
      <c r="F175" s="95"/>
      <c r="G175" s="95"/>
      <c r="H175" s="95"/>
      <c r="I175" s="49"/>
    </row>
    <row r="176" spans="1:9" ht="15" x14ac:dyDescent="0.25">
      <c r="A176" s="95"/>
      <c r="B176" s="95"/>
      <c r="C176" s="95"/>
      <c r="D176" s="95"/>
      <c r="E176" s="95"/>
      <c r="F176" s="95"/>
      <c r="G176" s="95"/>
      <c r="H176" s="95"/>
      <c r="I176" s="49"/>
    </row>
    <row r="177" spans="1:9" ht="15" x14ac:dyDescent="0.25">
      <c r="A177" s="95"/>
      <c r="B177" s="95"/>
      <c r="C177" s="95"/>
      <c r="D177" s="95"/>
      <c r="E177" s="95"/>
      <c r="F177" s="95"/>
      <c r="G177" s="95"/>
      <c r="H177" s="95"/>
      <c r="I177" s="49"/>
    </row>
    <row r="178" spans="1:9" ht="15" x14ac:dyDescent="0.25">
      <c r="A178" s="95"/>
      <c r="B178" s="95"/>
      <c r="C178" s="95"/>
      <c r="D178" s="95"/>
      <c r="E178" s="95"/>
      <c r="F178" s="95"/>
      <c r="G178" s="95"/>
      <c r="H178" s="95"/>
      <c r="I178" s="49"/>
    </row>
    <row r="179" spans="1:9" ht="15" x14ac:dyDescent="0.25">
      <c r="A179" s="95"/>
      <c r="B179" s="95"/>
      <c r="C179" s="95"/>
      <c r="D179" s="95"/>
      <c r="E179" s="95"/>
      <c r="F179" s="95"/>
      <c r="G179" s="95"/>
      <c r="H179" s="95"/>
      <c r="I179" s="49"/>
    </row>
    <row r="180" spans="1:9" ht="15" x14ac:dyDescent="0.25">
      <c r="A180" s="95"/>
      <c r="B180" s="95"/>
      <c r="C180" s="95"/>
      <c r="D180" s="95"/>
      <c r="E180" s="95"/>
      <c r="F180" s="95"/>
      <c r="G180" s="95"/>
      <c r="H180" s="95"/>
      <c r="I180" s="49"/>
    </row>
    <row r="181" spans="1:9" ht="15" x14ac:dyDescent="0.25">
      <c r="A181" s="95"/>
      <c r="B181" s="95"/>
      <c r="C181" s="95"/>
      <c r="D181" s="95"/>
      <c r="E181" s="95"/>
      <c r="F181" s="95"/>
      <c r="G181" s="95"/>
      <c r="H181" s="95"/>
      <c r="I181" s="49"/>
    </row>
    <row r="182" spans="1:9" ht="15" x14ac:dyDescent="0.25">
      <c r="A182" s="95"/>
      <c r="B182" s="95"/>
      <c r="C182" s="95"/>
      <c r="D182" s="95"/>
      <c r="E182" s="95"/>
      <c r="F182" s="95"/>
      <c r="G182" s="95"/>
      <c r="H182" s="95"/>
      <c r="I182" s="49"/>
    </row>
    <row r="183" spans="1:9" ht="15" x14ac:dyDescent="0.25">
      <c r="A183" s="95"/>
      <c r="B183" s="95"/>
      <c r="C183" s="95"/>
      <c r="D183" s="95"/>
      <c r="E183" s="95"/>
      <c r="F183" s="95"/>
      <c r="G183" s="95"/>
      <c r="H183" s="95"/>
      <c r="I183" s="49"/>
    </row>
    <row r="184" spans="1:9" ht="15" x14ac:dyDescent="0.25">
      <c r="A184" s="95"/>
      <c r="B184" s="95"/>
      <c r="C184" s="95"/>
      <c r="D184" s="95"/>
      <c r="E184" s="95"/>
      <c r="F184" s="95"/>
      <c r="G184" s="95"/>
      <c r="H184" s="95"/>
      <c r="I184" s="49"/>
    </row>
    <row r="185" spans="1:9" ht="15" x14ac:dyDescent="0.25">
      <c r="A185" s="95"/>
      <c r="B185" s="95"/>
      <c r="C185" s="95"/>
      <c r="D185" s="95"/>
      <c r="E185" s="95"/>
      <c r="F185" s="95"/>
      <c r="G185" s="95"/>
      <c r="H185" s="95"/>
      <c r="I185" s="49"/>
    </row>
    <row r="186" spans="1:9" ht="15" x14ac:dyDescent="0.25">
      <c r="A186" s="95"/>
      <c r="B186" s="95"/>
      <c r="C186" s="95"/>
      <c r="D186" s="95"/>
      <c r="E186" s="95"/>
      <c r="F186" s="95"/>
      <c r="G186" s="95"/>
      <c r="H186" s="95"/>
      <c r="I186" s="49"/>
    </row>
    <row r="187" spans="1:9" ht="15" x14ac:dyDescent="0.25">
      <c r="A187" s="95"/>
      <c r="B187" s="95"/>
      <c r="C187" s="95"/>
      <c r="D187" s="95"/>
      <c r="E187" s="95"/>
      <c r="F187" s="95"/>
      <c r="G187" s="95"/>
      <c r="H187" s="95"/>
      <c r="I187" s="49"/>
    </row>
    <row r="188" spans="1:9" ht="15" x14ac:dyDescent="0.25">
      <c r="A188" s="95"/>
      <c r="B188" s="95"/>
      <c r="C188" s="95"/>
      <c r="D188" s="95"/>
      <c r="E188" s="95"/>
      <c r="F188" s="95"/>
      <c r="G188" s="95"/>
      <c r="H188" s="95"/>
      <c r="I188" s="49"/>
    </row>
    <row r="189" spans="1:9" ht="15" x14ac:dyDescent="0.25">
      <c r="A189" s="95"/>
      <c r="B189" s="95"/>
      <c r="C189" s="95"/>
      <c r="D189" s="95"/>
      <c r="E189" s="95"/>
      <c r="F189" s="95"/>
      <c r="G189" s="95"/>
      <c r="H189" s="95"/>
      <c r="I189" s="49"/>
    </row>
    <row r="190" spans="1:9" ht="15" x14ac:dyDescent="0.25">
      <c r="A190" s="95"/>
      <c r="B190" s="95"/>
      <c r="C190" s="95"/>
      <c r="D190" s="95"/>
      <c r="E190" s="95"/>
      <c r="F190" s="95"/>
      <c r="G190" s="95"/>
      <c r="H190" s="95"/>
      <c r="I190" s="49"/>
    </row>
    <row r="191" spans="1:9" ht="15" x14ac:dyDescent="0.25">
      <c r="A191" s="95"/>
      <c r="B191" s="95"/>
      <c r="C191" s="95"/>
      <c r="D191" s="95"/>
      <c r="E191" s="95"/>
      <c r="F191" s="95"/>
      <c r="G191" s="95"/>
      <c r="H191" s="95"/>
      <c r="I191" s="49"/>
    </row>
    <row r="192" spans="1:9" ht="15" x14ac:dyDescent="0.25">
      <c r="A192" s="95"/>
      <c r="B192" s="95"/>
      <c r="C192" s="95"/>
      <c r="D192" s="95"/>
      <c r="E192" s="95"/>
      <c r="F192" s="95"/>
      <c r="G192" s="95"/>
      <c r="H192" s="95"/>
      <c r="I192" s="49"/>
    </row>
    <row r="193" spans="1:9" ht="15" x14ac:dyDescent="0.25">
      <c r="A193" s="95"/>
      <c r="B193" s="95"/>
      <c r="C193" s="95"/>
      <c r="D193" s="95"/>
      <c r="E193" s="95"/>
      <c r="F193" s="95"/>
      <c r="G193" s="95"/>
      <c r="H193" s="95"/>
      <c r="I193" s="49"/>
    </row>
    <row r="194" spans="1:9" ht="15" x14ac:dyDescent="0.25">
      <c r="A194" s="95"/>
      <c r="B194" s="95"/>
      <c r="C194" s="95"/>
      <c r="D194" s="95"/>
      <c r="E194" s="95"/>
      <c r="F194" s="95"/>
      <c r="G194" s="95"/>
      <c r="H194" s="95"/>
      <c r="I194" s="49"/>
    </row>
    <row r="195" spans="1:9" ht="15" x14ac:dyDescent="0.25">
      <c r="A195" s="95"/>
      <c r="B195" s="95"/>
      <c r="C195" s="95"/>
      <c r="D195" s="95"/>
      <c r="E195" s="95"/>
      <c r="F195" s="95"/>
      <c r="G195" s="95"/>
      <c r="H195" s="95"/>
      <c r="I195" s="49"/>
    </row>
    <row r="196" spans="1:9" ht="15" x14ac:dyDescent="0.25">
      <c r="A196" s="95"/>
      <c r="B196" s="95"/>
      <c r="C196" s="95"/>
      <c r="D196" s="95"/>
      <c r="E196" s="95"/>
      <c r="F196" s="95"/>
      <c r="G196" s="95"/>
      <c r="H196" s="95"/>
      <c r="I196" s="49"/>
    </row>
    <row r="197" spans="1:9" ht="15" x14ac:dyDescent="0.25">
      <c r="A197" s="95"/>
      <c r="B197" s="95"/>
      <c r="C197" s="95"/>
      <c r="D197" s="95"/>
      <c r="E197" s="95"/>
      <c r="F197" s="95"/>
      <c r="G197" s="95"/>
      <c r="H197" s="95"/>
      <c r="I197" s="49"/>
    </row>
    <row r="198" spans="1:9" ht="15" x14ac:dyDescent="0.25">
      <c r="A198" s="95"/>
      <c r="B198" s="95"/>
      <c r="C198" s="95"/>
      <c r="D198" s="95"/>
      <c r="E198" s="95"/>
      <c r="F198" s="95"/>
      <c r="G198" s="95"/>
      <c r="H198" s="95"/>
      <c r="I198" s="49"/>
    </row>
    <row r="199" spans="1:9" ht="15" x14ac:dyDescent="0.25">
      <c r="A199" s="95"/>
      <c r="B199" s="95"/>
      <c r="C199" s="95"/>
      <c r="D199" s="95"/>
      <c r="E199" s="95"/>
      <c r="F199" s="95"/>
      <c r="G199" s="95"/>
      <c r="H199" s="95"/>
      <c r="I199" s="49"/>
    </row>
    <row r="200" spans="1:9" ht="15" x14ac:dyDescent="0.25">
      <c r="A200" s="95"/>
      <c r="B200" s="95"/>
      <c r="C200" s="95"/>
      <c r="D200" s="95"/>
      <c r="E200" s="95"/>
      <c r="F200" s="95"/>
      <c r="G200" s="95"/>
      <c r="H200" s="95"/>
      <c r="I200" s="49"/>
    </row>
    <row r="201" spans="1:9" ht="15" x14ac:dyDescent="0.25">
      <c r="A201" s="95"/>
      <c r="B201" s="95"/>
      <c r="C201" s="95"/>
      <c r="D201" s="95"/>
      <c r="E201" s="95"/>
      <c r="F201" s="95"/>
      <c r="G201" s="95"/>
      <c r="H201" s="95"/>
      <c r="I201" s="49"/>
    </row>
    <row r="202" spans="1:9" ht="15" x14ac:dyDescent="0.25">
      <c r="A202" s="95"/>
      <c r="B202" s="95"/>
      <c r="C202" s="95"/>
      <c r="D202" s="95"/>
      <c r="E202" s="95"/>
      <c r="F202" s="95"/>
      <c r="G202" s="95"/>
      <c r="H202" s="95"/>
      <c r="I202" s="49"/>
    </row>
    <row r="203" spans="1:9" ht="15" x14ac:dyDescent="0.25">
      <c r="A203" s="95"/>
      <c r="B203" s="95"/>
      <c r="C203" s="95"/>
      <c r="D203" s="95"/>
      <c r="E203" s="95"/>
      <c r="F203" s="95"/>
      <c r="G203" s="95"/>
      <c r="H203" s="95"/>
      <c r="I203" s="49"/>
    </row>
    <row r="204" spans="1:9" ht="15" x14ac:dyDescent="0.25">
      <c r="A204" s="95"/>
      <c r="B204" s="95"/>
      <c r="C204" s="95"/>
      <c r="D204" s="95"/>
      <c r="E204" s="95"/>
      <c r="F204" s="95"/>
      <c r="G204" s="95"/>
      <c r="H204" s="95"/>
      <c r="I204" s="49"/>
    </row>
    <row r="205" spans="1:9" ht="15" x14ac:dyDescent="0.25">
      <c r="A205" s="95"/>
      <c r="B205" s="95"/>
      <c r="C205" s="95"/>
      <c r="D205" s="95"/>
      <c r="E205" s="95"/>
      <c r="F205" s="95"/>
      <c r="G205" s="95"/>
      <c r="H205" s="95"/>
      <c r="I205" s="49"/>
    </row>
    <row r="206" spans="1:9" ht="15" x14ac:dyDescent="0.25">
      <c r="A206" s="95"/>
      <c r="B206" s="95"/>
      <c r="C206" s="95"/>
      <c r="D206" s="95"/>
      <c r="E206" s="95"/>
      <c r="F206" s="95"/>
      <c r="G206" s="95"/>
      <c r="H206" s="95"/>
      <c r="I206" s="49"/>
    </row>
    <row r="207" spans="1:9" ht="15" x14ac:dyDescent="0.25">
      <c r="A207" s="95"/>
      <c r="B207" s="95"/>
      <c r="C207" s="95"/>
      <c r="D207" s="95"/>
      <c r="E207" s="95"/>
      <c r="F207" s="95"/>
      <c r="G207" s="95"/>
      <c r="H207" s="95"/>
      <c r="I207" s="49"/>
    </row>
    <row r="208" spans="1:9" ht="15" x14ac:dyDescent="0.25">
      <c r="A208" s="95"/>
      <c r="B208" s="95"/>
      <c r="C208" s="95"/>
      <c r="D208" s="95"/>
      <c r="E208" s="95"/>
      <c r="F208" s="95"/>
      <c r="G208" s="95"/>
      <c r="H208" s="95"/>
      <c r="I208" s="49"/>
    </row>
    <row r="209" spans="1:9" ht="15" x14ac:dyDescent="0.25">
      <c r="A209" s="95"/>
      <c r="B209" s="95"/>
      <c r="C209" s="95"/>
      <c r="D209" s="95"/>
      <c r="E209" s="95"/>
      <c r="F209" s="95"/>
      <c r="G209" s="95"/>
      <c r="H209" s="95"/>
      <c r="I209" s="49"/>
    </row>
    <row r="210" spans="1:9" ht="15" x14ac:dyDescent="0.25">
      <c r="A210" s="95"/>
      <c r="B210" s="95"/>
      <c r="C210" s="95"/>
      <c r="D210" s="95"/>
      <c r="E210" s="95"/>
      <c r="F210" s="95"/>
      <c r="G210" s="95"/>
      <c r="H210" s="95"/>
      <c r="I210" s="49"/>
    </row>
    <row r="211" spans="1:9" ht="15" x14ac:dyDescent="0.25">
      <c r="A211" s="95"/>
      <c r="B211" s="95"/>
      <c r="C211" s="95"/>
      <c r="D211" s="95"/>
      <c r="E211" s="95"/>
      <c r="F211" s="95"/>
      <c r="G211" s="95"/>
      <c r="H211" s="95"/>
      <c r="I211" s="49"/>
    </row>
    <row r="212" spans="1:9" ht="15" x14ac:dyDescent="0.25">
      <c r="A212" s="95"/>
      <c r="B212" s="95"/>
      <c r="C212" s="95"/>
      <c r="D212" s="95"/>
      <c r="E212" s="95"/>
      <c r="F212" s="95"/>
      <c r="G212" s="95"/>
      <c r="H212" s="95"/>
      <c r="I212" s="49"/>
    </row>
    <row r="213" spans="1:9" ht="15" x14ac:dyDescent="0.25">
      <c r="A213" s="95"/>
      <c r="B213" s="95"/>
      <c r="C213" s="95"/>
      <c r="D213" s="95"/>
      <c r="E213" s="95"/>
      <c r="F213" s="95"/>
      <c r="G213" s="95"/>
      <c r="H213" s="95"/>
      <c r="I213" s="49"/>
    </row>
    <row r="214" spans="1:9" ht="15" x14ac:dyDescent="0.25">
      <c r="A214" s="95"/>
      <c r="B214" s="95"/>
      <c r="C214" s="95"/>
      <c r="D214" s="95"/>
      <c r="E214" s="95"/>
      <c r="F214" s="95"/>
      <c r="G214" s="95"/>
      <c r="H214" s="95"/>
      <c r="I214" s="49"/>
    </row>
    <row r="215" spans="1:9" ht="15" x14ac:dyDescent="0.25">
      <c r="A215" s="95"/>
      <c r="B215" s="95"/>
      <c r="C215" s="95"/>
      <c r="D215" s="95"/>
      <c r="E215" s="95"/>
      <c r="F215" s="95"/>
      <c r="G215" s="95"/>
      <c r="H215" s="95"/>
      <c r="I215" s="49"/>
    </row>
    <row r="216" spans="1:9" ht="15" x14ac:dyDescent="0.25">
      <c r="A216" s="95"/>
      <c r="B216" s="95"/>
      <c r="C216" s="95"/>
      <c r="D216" s="95"/>
      <c r="E216" s="95"/>
      <c r="F216" s="95"/>
      <c r="G216" s="95"/>
      <c r="H216" s="95"/>
      <c r="I216" s="49"/>
    </row>
    <row r="217" spans="1:9" ht="15" x14ac:dyDescent="0.25">
      <c r="A217" s="95"/>
      <c r="B217" s="95"/>
      <c r="C217" s="95"/>
      <c r="D217" s="95"/>
      <c r="E217" s="95"/>
      <c r="F217" s="95"/>
      <c r="G217" s="95"/>
      <c r="H217" s="95"/>
      <c r="I217" s="49"/>
    </row>
    <row r="218" spans="1:9" ht="15" x14ac:dyDescent="0.25">
      <c r="A218" s="95"/>
      <c r="B218" s="95"/>
      <c r="C218" s="95"/>
      <c r="D218" s="95"/>
      <c r="E218" s="95"/>
      <c r="F218" s="95"/>
      <c r="G218" s="95"/>
      <c r="H218" s="95"/>
      <c r="I218" s="49"/>
    </row>
    <row r="219" spans="1:9" ht="15" x14ac:dyDescent="0.25">
      <c r="A219" s="95"/>
      <c r="B219" s="95"/>
      <c r="C219" s="95"/>
      <c r="D219" s="95"/>
      <c r="E219" s="95"/>
      <c r="F219" s="95"/>
      <c r="G219" s="95"/>
      <c r="H219" s="95"/>
      <c r="I219" s="49"/>
    </row>
    <row r="220" spans="1:9" ht="15" x14ac:dyDescent="0.25">
      <c r="A220" s="95"/>
      <c r="B220" s="95"/>
      <c r="C220" s="95"/>
      <c r="D220" s="95"/>
      <c r="E220" s="95"/>
      <c r="F220" s="95"/>
      <c r="G220" s="95"/>
      <c r="H220" s="95"/>
      <c r="I220" s="49"/>
    </row>
    <row r="221" spans="1:9" ht="15" x14ac:dyDescent="0.25">
      <c r="A221" s="95"/>
      <c r="B221" s="95"/>
      <c r="C221" s="95"/>
      <c r="D221" s="95"/>
      <c r="E221" s="95"/>
      <c r="F221" s="95"/>
      <c r="G221" s="95"/>
      <c r="H221" s="95"/>
      <c r="I221" s="49"/>
    </row>
    <row r="222" spans="1:9" ht="15" x14ac:dyDescent="0.25">
      <c r="A222" s="95"/>
      <c r="B222" s="95"/>
      <c r="C222" s="95"/>
      <c r="D222" s="95"/>
      <c r="E222" s="95"/>
      <c r="F222" s="95"/>
      <c r="G222" s="95"/>
      <c r="H222" s="95"/>
      <c r="I222" s="49"/>
    </row>
    <row r="223" spans="1:9" s="99" customFormat="1" ht="15" x14ac:dyDescent="0.25">
      <c r="A223" s="97"/>
      <c r="B223" s="97"/>
      <c r="C223" s="97"/>
      <c r="D223" s="97"/>
      <c r="E223" s="97"/>
      <c r="F223" s="97"/>
      <c r="G223" s="97"/>
      <c r="H223" s="97"/>
      <c r="I223" s="98"/>
    </row>
    <row r="224" spans="1:9" s="99" customFormat="1" ht="15" x14ac:dyDescent="0.25">
      <c r="A224" s="95"/>
      <c r="B224" s="95"/>
      <c r="C224" s="95"/>
      <c r="D224" s="95"/>
      <c r="E224" s="95"/>
      <c r="F224" s="95"/>
      <c r="G224" s="95"/>
      <c r="H224" s="95"/>
      <c r="I224" s="49"/>
    </row>
    <row r="225" spans="1:9" s="99" customFormat="1" ht="15" x14ac:dyDescent="0.25">
      <c r="A225" s="95"/>
      <c r="B225" s="95"/>
      <c r="C225" s="95"/>
      <c r="D225" s="95"/>
      <c r="E225" s="95"/>
      <c r="F225" s="95"/>
      <c r="G225" s="95"/>
      <c r="H225" s="95"/>
      <c r="I225" s="49"/>
    </row>
    <row r="226" spans="1:9" s="99" customFormat="1" ht="15" x14ac:dyDescent="0.25">
      <c r="A226" s="95"/>
      <c r="B226" s="95"/>
      <c r="C226" s="95"/>
      <c r="D226" s="95"/>
      <c r="E226" s="95"/>
      <c r="F226" s="95"/>
      <c r="G226" s="95"/>
      <c r="H226" s="95"/>
      <c r="I226" s="49"/>
    </row>
    <row r="227" spans="1:9" ht="15" x14ac:dyDescent="0.25">
      <c r="A227" s="95"/>
      <c r="B227" s="95"/>
      <c r="C227" s="95"/>
      <c r="D227" s="95"/>
      <c r="E227" s="95"/>
      <c r="F227" s="95"/>
      <c r="G227" s="95"/>
      <c r="H227" s="95"/>
      <c r="I227" s="49"/>
    </row>
    <row r="228" spans="1:9" ht="15" x14ac:dyDescent="0.25">
      <c r="A228" s="95"/>
      <c r="B228" s="95"/>
      <c r="C228" s="95"/>
      <c r="D228" s="95"/>
      <c r="E228" s="95"/>
      <c r="F228" s="95"/>
      <c r="G228" s="95"/>
      <c r="H228" s="95"/>
      <c r="I228" s="49"/>
    </row>
    <row r="229" spans="1:9" ht="15" x14ac:dyDescent="0.25">
      <c r="A229" s="95"/>
      <c r="B229" s="95"/>
      <c r="C229" s="95"/>
      <c r="D229" s="95"/>
      <c r="E229" s="95"/>
      <c r="F229" s="95"/>
      <c r="G229" s="95"/>
      <c r="H229" s="95"/>
      <c r="I229" s="49"/>
    </row>
    <row r="230" spans="1:9" ht="15" x14ac:dyDescent="0.25">
      <c r="A230" s="95"/>
      <c r="B230" s="95"/>
      <c r="C230" s="95"/>
      <c r="D230" s="95"/>
      <c r="E230" s="95"/>
      <c r="F230" s="95"/>
      <c r="G230" s="95"/>
      <c r="H230" s="95"/>
      <c r="I230" s="49"/>
    </row>
    <row r="231" spans="1:9" ht="15" x14ac:dyDescent="0.25">
      <c r="A231" s="95"/>
      <c r="B231" s="95"/>
      <c r="C231" s="95"/>
      <c r="D231" s="95"/>
      <c r="E231" s="95"/>
      <c r="F231" s="95"/>
      <c r="G231" s="95"/>
      <c r="H231" s="95"/>
      <c r="I231" s="49"/>
    </row>
    <row r="232" spans="1:9" ht="15" x14ac:dyDescent="0.25">
      <c r="A232" s="95"/>
      <c r="B232" s="95"/>
      <c r="C232" s="95"/>
      <c r="D232" s="95"/>
      <c r="E232" s="95"/>
      <c r="F232" s="95"/>
      <c r="G232" s="95"/>
      <c r="H232" s="95"/>
      <c r="I232" s="49"/>
    </row>
    <row r="233" spans="1:9" ht="15" x14ac:dyDescent="0.25">
      <c r="A233" s="95"/>
      <c r="B233" s="95"/>
      <c r="C233" s="95"/>
      <c r="D233" s="95"/>
      <c r="E233" s="95"/>
      <c r="F233" s="95"/>
      <c r="G233" s="95"/>
      <c r="H233" s="95"/>
      <c r="I233" s="49"/>
    </row>
    <row r="234" spans="1:9" ht="15" x14ac:dyDescent="0.25">
      <c r="A234" s="95"/>
      <c r="B234" s="95"/>
      <c r="C234" s="95"/>
      <c r="D234" s="95"/>
      <c r="E234" s="95"/>
      <c r="F234" s="95"/>
      <c r="G234" s="95"/>
      <c r="H234" s="95"/>
      <c r="I234" s="49"/>
    </row>
    <row r="235" spans="1:9" ht="15" x14ac:dyDescent="0.25">
      <c r="A235" s="95"/>
      <c r="B235" s="95"/>
      <c r="C235" s="95"/>
      <c r="D235" s="95"/>
      <c r="E235" s="95"/>
      <c r="F235" s="95"/>
      <c r="G235" s="95"/>
      <c r="H235" s="95"/>
      <c r="I235" s="49"/>
    </row>
    <row r="236" spans="1:9" ht="15" x14ac:dyDescent="0.25">
      <c r="A236" s="95"/>
      <c r="B236" s="95"/>
      <c r="C236" s="95"/>
      <c r="D236" s="95"/>
      <c r="E236" s="95"/>
      <c r="F236" s="95"/>
      <c r="G236" s="95"/>
      <c r="H236" s="95"/>
      <c r="I236" s="49"/>
    </row>
    <row r="237" spans="1:9" ht="15" x14ac:dyDescent="0.25">
      <c r="A237" s="95"/>
      <c r="B237" s="95"/>
      <c r="C237" s="95"/>
      <c r="D237" s="95"/>
      <c r="E237" s="95"/>
      <c r="F237" s="95"/>
      <c r="G237" s="95"/>
      <c r="H237" s="95"/>
      <c r="I237" s="49"/>
    </row>
    <row r="238" spans="1:9" ht="15" x14ac:dyDescent="0.25">
      <c r="A238" s="95"/>
      <c r="B238" s="95"/>
      <c r="C238" s="95"/>
      <c r="D238" s="95"/>
      <c r="E238" s="95"/>
      <c r="F238" s="95"/>
      <c r="G238" s="95"/>
      <c r="H238" s="95"/>
      <c r="I238" s="49"/>
    </row>
    <row r="239" spans="1:9" ht="15" x14ac:dyDescent="0.25">
      <c r="A239" s="95"/>
      <c r="B239" s="95"/>
      <c r="C239" s="95"/>
      <c r="D239" s="95"/>
      <c r="E239" s="95"/>
      <c r="F239" s="95"/>
      <c r="G239" s="95"/>
      <c r="H239" s="95"/>
      <c r="I239" s="49"/>
    </row>
    <row r="240" spans="1:9" ht="15" x14ac:dyDescent="0.25">
      <c r="A240" s="95"/>
      <c r="B240" s="95"/>
      <c r="C240" s="95"/>
      <c r="D240" s="95"/>
      <c r="E240" s="95"/>
      <c r="F240" s="95"/>
      <c r="G240" s="95"/>
      <c r="H240" s="95"/>
      <c r="I240" s="49"/>
    </row>
    <row r="241" spans="1:9" ht="15" x14ac:dyDescent="0.25">
      <c r="A241" s="95"/>
      <c r="B241" s="95"/>
      <c r="C241" s="95"/>
      <c r="D241" s="95"/>
      <c r="E241" s="95"/>
      <c r="F241" s="95"/>
      <c r="G241" s="95"/>
      <c r="H241" s="95"/>
      <c r="I241" s="49"/>
    </row>
    <row r="242" spans="1:9" ht="15" x14ac:dyDescent="0.25">
      <c r="A242" s="95"/>
      <c r="B242" s="95"/>
      <c r="C242" s="95"/>
      <c r="D242" s="95"/>
      <c r="E242" s="95"/>
      <c r="F242" s="95"/>
      <c r="G242" s="95"/>
      <c r="H242" s="95"/>
      <c r="I242" s="49"/>
    </row>
    <row r="243" spans="1:9" ht="15" x14ac:dyDescent="0.25">
      <c r="A243" s="95"/>
      <c r="B243" s="95"/>
      <c r="C243" s="95"/>
      <c r="D243" s="95"/>
      <c r="E243" s="95"/>
      <c r="F243" s="95"/>
      <c r="G243" s="95"/>
      <c r="H243" s="95"/>
      <c r="I243" s="49"/>
    </row>
    <row r="244" spans="1:9" ht="15" x14ac:dyDescent="0.25">
      <c r="A244" s="95"/>
      <c r="B244" s="95"/>
      <c r="C244" s="95"/>
      <c r="D244" s="95"/>
      <c r="E244" s="95"/>
      <c r="F244" s="95"/>
      <c r="G244" s="95"/>
      <c r="H244" s="95"/>
      <c r="I244" s="49"/>
    </row>
    <row r="245" spans="1:9" ht="15" x14ac:dyDescent="0.25">
      <c r="A245" s="95"/>
      <c r="B245" s="95"/>
      <c r="C245" s="95"/>
      <c r="D245" s="95"/>
      <c r="E245" s="95"/>
      <c r="F245" s="95"/>
      <c r="G245" s="95"/>
      <c r="H245" s="95"/>
      <c r="I245" s="49"/>
    </row>
    <row r="246" spans="1:9" ht="15" x14ac:dyDescent="0.25">
      <c r="A246" s="95"/>
      <c r="B246" s="95"/>
      <c r="C246" s="95"/>
      <c r="D246" s="95"/>
      <c r="E246" s="95"/>
      <c r="F246" s="95"/>
      <c r="G246" s="95"/>
      <c r="H246" s="95"/>
      <c r="I246" s="49"/>
    </row>
    <row r="247" spans="1:9" ht="15" x14ac:dyDescent="0.25">
      <c r="A247" s="95"/>
      <c r="B247" s="95"/>
      <c r="C247" s="95"/>
      <c r="D247" s="95"/>
      <c r="E247" s="95"/>
      <c r="F247" s="95"/>
      <c r="G247" s="95"/>
      <c r="H247" s="95"/>
      <c r="I247" s="49"/>
    </row>
    <row r="248" spans="1:9" ht="15" x14ac:dyDescent="0.25">
      <c r="A248" s="95"/>
      <c r="B248" s="95"/>
      <c r="C248" s="95"/>
      <c r="D248" s="95"/>
      <c r="E248" s="95"/>
      <c r="F248" s="95"/>
      <c r="G248" s="95"/>
      <c r="H248" s="95"/>
      <c r="I248" s="49"/>
    </row>
    <row r="249" spans="1:9" ht="15" x14ac:dyDescent="0.25">
      <c r="A249" s="95"/>
      <c r="B249" s="95"/>
      <c r="C249" s="95"/>
      <c r="D249" s="95"/>
      <c r="E249" s="95"/>
      <c r="F249" s="95"/>
      <c r="G249" s="95"/>
      <c r="H249" s="95"/>
      <c r="I249" s="49"/>
    </row>
    <row r="250" spans="1:9" ht="15" x14ac:dyDescent="0.25">
      <c r="A250" s="95"/>
      <c r="B250" s="95"/>
      <c r="C250" s="95"/>
      <c r="D250" s="95"/>
      <c r="E250" s="95"/>
      <c r="F250" s="95"/>
      <c r="G250" s="95"/>
      <c r="H250" s="95"/>
      <c r="I250" s="49"/>
    </row>
    <row r="251" spans="1:9" ht="15" x14ac:dyDescent="0.25">
      <c r="A251" s="95"/>
      <c r="B251" s="95"/>
      <c r="C251" s="95"/>
      <c r="D251" s="95"/>
      <c r="E251" s="95"/>
      <c r="F251" s="95"/>
      <c r="G251" s="95"/>
      <c r="H251" s="95"/>
      <c r="I251" s="49"/>
    </row>
    <row r="252" spans="1:9" ht="15" x14ac:dyDescent="0.25">
      <c r="A252" s="95"/>
      <c r="B252" s="95"/>
      <c r="C252" s="95"/>
      <c r="D252" s="95"/>
      <c r="E252" s="95"/>
      <c r="F252" s="95"/>
      <c r="G252" s="95"/>
      <c r="H252" s="95"/>
      <c r="I252" s="49"/>
    </row>
    <row r="253" spans="1:9" ht="15" x14ac:dyDescent="0.25">
      <c r="A253" s="95"/>
      <c r="B253" s="95"/>
      <c r="C253" s="95"/>
      <c r="D253" s="95"/>
      <c r="E253" s="95"/>
      <c r="F253" s="95"/>
      <c r="G253" s="95"/>
      <c r="H253" s="95"/>
      <c r="I253" s="49"/>
    </row>
    <row r="254" spans="1:9" ht="15" x14ac:dyDescent="0.25">
      <c r="A254" s="95"/>
      <c r="B254" s="95"/>
      <c r="C254" s="95"/>
      <c r="D254" s="95"/>
      <c r="E254" s="95"/>
      <c r="F254" s="95"/>
      <c r="G254" s="95"/>
      <c r="H254" s="95"/>
      <c r="I254" s="49"/>
    </row>
    <row r="255" spans="1:9" ht="15" x14ac:dyDescent="0.25">
      <c r="A255" s="95"/>
      <c r="B255" s="95"/>
      <c r="C255" s="95"/>
      <c r="D255" s="95"/>
      <c r="E255" s="95"/>
      <c r="F255" s="95"/>
      <c r="G255" s="95"/>
      <c r="H255" s="95"/>
      <c r="I255" s="49"/>
    </row>
    <row r="256" spans="1:9" ht="15" x14ac:dyDescent="0.25">
      <c r="A256" s="95"/>
      <c r="B256" s="95"/>
      <c r="C256" s="95"/>
      <c r="D256" s="95"/>
      <c r="E256" s="95"/>
      <c r="F256" s="95"/>
      <c r="G256" s="95"/>
      <c r="H256" s="95"/>
      <c r="I256" s="49"/>
    </row>
    <row r="257" spans="1:9" ht="15" x14ac:dyDescent="0.25">
      <c r="A257" s="95"/>
      <c r="B257" s="95"/>
      <c r="C257" s="95"/>
      <c r="D257" s="95"/>
      <c r="E257" s="95"/>
      <c r="F257" s="95"/>
      <c r="G257" s="95"/>
      <c r="H257" s="95"/>
      <c r="I257" s="49"/>
    </row>
    <row r="258" spans="1:9" ht="15" x14ac:dyDescent="0.25">
      <c r="A258" s="95"/>
      <c r="B258" s="95"/>
      <c r="C258" s="95"/>
      <c r="D258" s="95"/>
      <c r="E258" s="95"/>
      <c r="F258" s="95"/>
      <c r="G258" s="95"/>
      <c r="H258" s="95"/>
      <c r="I258" s="49"/>
    </row>
    <row r="259" spans="1:9" ht="15" x14ac:dyDescent="0.25">
      <c r="A259" s="95"/>
      <c r="B259" s="95"/>
      <c r="C259" s="95"/>
      <c r="D259" s="95"/>
      <c r="E259" s="95"/>
      <c r="F259" s="95"/>
      <c r="G259" s="95"/>
      <c r="H259" s="95"/>
      <c r="I259" s="49"/>
    </row>
    <row r="260" spans="1:9" ht="15" x14ac:dyDescent="0.25">
      <c r="A260" s="95"/>
      <c r="B260" s="95"/>
      <c r="C260" s="95"/>
      <c r="D260" s="95"/>
      <c r="E260" s="95"/>
      <c r="F260" s="95"/>
      <c r="G260" s="95"/>
      <c r="H260" s="95"/>
      <c r="I260" s="49"/>
    </row>
    <row r="261" spans="1:9" ht="15" x14ac:dyDescent="0.25">
      <c r="A261" s="95"/>
      <c r="B261" s="95"/>
      <c r="C261" s="95"/>
      <c r="D261" s="95"/>
      <c r="E261" s="95"/>
      <c r="F261" s="95"/>
      <c r="G261" s="95"/>
      <c r="H261" s="95"/>
      <c r="I261" s="49"/>
    </row>
    <row r="262" spans="1:9" ht="15" x14ac:dyDescent="0.25">
      <c r="A262" s="95"/>
      <c r="B262" s="95"/>
      <c r="C262" s="95"/>
      <c r="D262" s="95"/>
      <c r="E262" s="95"/>
      <c r="F262" s="95"/>
      <c r="G262" s="95"/>
      <c r="H262" s="95"/>
      <c r="I262" s="49"/>
    </row>
    <row r="263" spans="1:9" ht="15" x14ac:dyDescent="0.25">
      <c r="A263" s="95"/>
      <c r="B263" s="95"/>
      <c r="C263" s="95"/>
      <c r="D263" s="95"/>
      <c r="E263" s="95"/>
      <c r="F263" s="95"/>
      <c r="G263" s="95"/>
      <c r="H263" s="95"/>
      <c r="I263" s="49"/>
    </row>
    <row r="264" spans="1:9" ht="15" x14ac:dyDescent="0.25">
      <c r="A264" s="95"/>
      <c r="B264" s="95"/>
      <c r="C264" s="95"/>
      <c r="D264" s="95"/>
      <c r="E264" s="95"/>
      <c r="F264" s="95"/>
      <c r="G264" s="95"/>
      <c r="H264" s="95"/>
      <c r="I264" s="49"/>
    </row>
    <row r="265" spans="1:9" ht="15" x14ac:dyDescent="0.25">
      <c r="A265" s="95"/>
      <c r="B265" s="95"/>
      <c r="C265" s="95"/>
      <c r="D265" s="95"/>
      <c r="E265" s="95"/>
      <c r="F265" s="95"/>
      <c r="G265" s="95"/>
      <c r="H265" s="95"/>
      <c r="I265" s="49"/>
    </row>
    <row r="266" spans="1:9" ht="15" x14ac:dyDescent="0.25">
      <c r="A266" s="95"/>
      <c r="B266" s="95"/>
      <c r="C266" s="95"/>
      <c r="D266" s="95"/>
      <c r="E266" s="95"/>
      <c r="F266" s="95"/>
      <c r="G266" s="95"/>
      <c r="H266" s="95"/>
      <c r="I266" s="49"/>
    </row>
    <row r="267" spans="1:9" ht="15" x14ac:dyDescent="0.25">
      <c r="A267" s="95"/>
      <c r="B267" s="95"/>
      <c r="C267" s="95"/>
      <c r="D267" s="95"/>
      <c r="E267" s="95"/>
      <c r="F267" s="95"/>
      <c r="G267" s="95"/>
      <c r="H267" s="95"/>
      <c r="I267" s="49"/>
    </row>
    <row r="268" spans="1:9" ht="15" x14ac:dyDescent="0.25">
      <c r="A268" s="95"/>
      <c r="B268" s="95"/>
      <c r="C268" s="95"/>
      <c r="D268" s="95"/>
      <c r="E268" s="95"/>
      <c r="F268" s="95"/>
      <c r="G268" s="95"/>
      <c r="H268" s="95"/>
      <c r="I268" s="49"/>
    </row>
    <row r="269" spans="1:9" ht="15" x14ac:dyDescent="0.25">
      <c r="A269" s="95"/>
      <c r="B269" s="95"/>
      <c r="C269" s="95"/>
      <c r="D269" s="95"/>
      <c r="E269" s="95"/>
      <c r="F269" s="95"/>
      <c r="G269" s="95"/>
      <c r="H269" s="95"/>
      <c r="I269" s="49"/>
    </row>
    <row r="270" spans="1:9" ht="15" x14ac:dyDescent="0.25">
      <c r="A270" s="95"/>
      <c r="B270" s="95"/>
      <c r="C270" s="95"/>
      <c r="D270" s="95"/>
      <c r="E270" s="95"/>
      <c r="F270" s="95"/>
      <c r="G270" s="95"/>
      <c r="H270" s="95"/>
      <c r="I270" s="49"/>
    </row>
    <row r="271" spans="1:9" ht="15" x14ac:dyDescent="0.25">
      <c r="A271" s="95"/>
      <c r="B271" s="95"/>
      <c r="C271" s="95"/>
      <c r="D271" s="95"/>
      <c r="E271" s="95"/>
      <c r="F271" s="95"/>
      <c r="G271" s="95"/>
      <c r="H271" s="95"/>
      <c r="I271" s="49"/>
    </row>
    <row r="272" spans="1:9" ht="15" x14ac:dyDescent="0.25">
      <c r="A272" s="95"/>
      <c r="B272" s="95"/>
      <c r="C272" s="95"/>
      <c r="D272" s="95"/>
      <c r="E272" s="95"/>
      <c r="F272" s="95"/>
      <c r="G272" s="95"/>
      <c r="H272" s="95"/>
      <c r="I272" s="49"/>
    </row>
    <row r="273" spans="1:9" ht="15" x14ac:dyDescent="0.25">
      <c r="A273" s="95"/>
      <c r="B273" s="95"/>
      <c r="C273" s="95"/>
      <c r="D273" s="95"/>
      <c r="E273" s="95"/>
      <c r="F273" s="95"/>
      <c r="G273" s="95"/>
      <c r="H273" s="95"/>
      <c r="I273" s="49"/>
    </row>
    <row r="274" spans="1:9" ht="15" x14ac:dyDescent="0.25">
      <c r="A274" s="95"/>
      <c r="B274" s="95"/>
      <c r="C274" s="95"/>
      <c r="D274" s="95"/>
      <c r="E274" s="95"/>
      <c r="F274" s="95"/>
      <c r="G274" s="95"/>
      <c r="H274" s="95"/>
      <c r="I274" s="49"/>
    </row>
    <row r="275" spans="1:9" ht="15" x14ac:dyDescent="0.25">
      <c r="A275" s="95"/>
      <c r="B275" s="95"/>
      <c r="C275" s="95"/>
      <c r="D275" s="95"/>
      <c r="E275" s="95"/>
      <c r="F275" s="95"/>
      <c r="G275" s="95"/>
      <c r="H275" s="95"/>
      <c r="I275" s="49"/>
    </row>
    <row r="276" spans="1:9" ht="15" x14ac:dyDescent="0.25">
      <c r="A276" s="95"/>
      <c r="B276" s="95"/>
      <c r="C276" s="95"/>
      <c r="D276" s="95"/>
      <c r="E276" s="95"/>
      <c r="F276" s="95"/>
      <c r="G276" s="95"/>
      <c r="H276" s="95"/>
      <c r="I276" s="49"/>
    </row>
    <row r="277" spans="1:9" ht="15" x14ac:dyDescent="0.25">
      <c r="A277" s="95"/>
      <c r="B277" s="95"/>
      <c r="C277" s="95"/>
      <c r="D277" s="95"/>
      <c r="E277" s="95"/>
      <c r="F277" s="95"/>
      <c r="G277" s="95"/>
      <c r="H277" s="95"/>
      <c r="I277" s="49"/>
    </row>
    <row r="278" spans="1:9" ht="15" x14ac:dyDescent="0.25">
      <c r="A278" s="95"/>
      <c r="B278" s="95"/>
      <c r="C278" s="95"/>
      <c r="D278" s="95"/>
      <c r="E278" s="95"/>
      <c r="F278" s="95"/>
      <c r="G278" s="95"/>
      <c r="H278" s="95"/>
      <c r="I278" s="49"/>
    </row>
    <row r="279" spans="1:9" ht="15" x14ac:dyDescent="0.25">
      <c r="A279" s="95"/>
      <c r="B279" s="95"/>
      <c r="C279" s="95"/>
      <c r="D279" s="95"/>
      <c r="E279" s="95"/>
      <c r="F279" s="95"/>
      <c r="G279" s="95"/>
      <c r="H279" s="95"/>
      <c r="I279" s="49"/>
    </row>
    <row r="280" spans="1:9" ht="15" x14ac:dyDescent="0.25">
      <c r="A280" s="95"/>
      <c r="B280" s="95"/>
      <c r="C280" s="95"/>
      <c r="D280" s="95"/>
      <c r="E280" s="95"/>
      <c r="F280" s="95"/>
      <c r="G280" s="95"/>
      <c r="H280" s="95"/>
      <c r="I280" s="49"/>
    </row>
    <row r="281" spans="1:9" ht="15" x14ac:dyDescent="0.25">
      <c r="A281" s="95"/>
      <c r="B281" s="95"/>
      <c r="C281" s="95"/>
      <c r="D281" s="95"/>
      <c r="E281" s="95"/>
      <c r="F281" s="95"/>
      <c r="G281" s="95"/>
      <c r="H281" s="95"/>
      <c r="I281" s="49"/>
    </row>
    <row r="282" spans="1:9" ht="15" x14ac:dyDescent="0.25">
      <c r="A282" s="95"/>
      <c r="B282" s="95"/>
      <c r="C282" s="95"/>
      <c r="D282" s="95"/>
      <c r="E282" s="95"/>
      <c r="F282" s="95"/>
      <c r="G282" s="95"/>
      <c r="H282" s="95"/>
      <c r="I282" s="49"/>
    </row>
    <row r="283" spans="1:9" ht="15" x14ac:dyDescent="0.25">
      <c r="A283" s="95"/>
      <c r="B283" s="95"/>
      <c r="C283" s="95"/>
      <c r="D283" s="95"/>
      <c r="E283" s="95"/>
      <c r="F283" s="95"/>
      <c r="G283" s="95"/>
      <c r="H283" s="95"/>
      <c r="I283" s="49"/>
    </row>
    <row r="284" spans="1:9" ht="15" x14ac:dyDescent="0.25">
      <c r="A284" s="95"/>
      <c r="B284" s="95"/>
      <c r="C284" s="95"/>
      <c r="D284" s="95"/>
      <c r="E284" s="95"/>
      <c r="F284" s="95"/>
      <c r="G284" s="95"/>
      <c r="H284" s="95"/>
      <c r="I284" s="49"/>
    </row>
    <row r="285" spans="1:9" ht="15" x14ac:dyDescent="0.25">
      <c r="A285" s="95"/>
      <c r="B285" s="95"/>
      <c r="C285" s="95"/>
      <c r="D285" s="95"/>
      <c r="E285" s="95"/>
      <c r="F285" s="95"/>
      <c r="G285" s="95"/>
      <c r="H285" s="95"/>
      <c r="I285" s="49"/>
    </row>
    <row r="286" spans="1:9" ht="15" x14ac:dyDescent="0.25">
      <c r="A286" s="95"/>
      <c r="B286" s="95"/>
      <c r="C286" s="95"/>
      <c r="D286" s="95"/>
      <c r="E286" s="95"/>
      <c r="F286" s="95"/>
      <c r="G286" s="95"/>
      <c r="H286" s="95"/>
      <c r="I286" s="49"/>
    </row>
    <row r="287" spans="1:9" ht="15" x14ac:dyDescent="0.25">
      <c r="A287" s="95"/>
      <c r="B287" s="95"/>
      <c r="C287" s="95"/>
      <c r="D287" s="95"/>
      <c r="E287" s="95"/>
      <c r="F287" s="95"/>
      <c r="G287" s="95"/>
      <c r="H287" s="95"/>
      <c r="I287" s="49"/>
    </row>
    <row r="288" spans="1:9" ht="15" x14ac:dyDescent="0.25">
      <c r="A288" s="95"/>
      <c r="B288" s="95"/>
      <c r="C288" s="95"/>
      <c r="D288" s="95"/>
      <c r="E288" s="95"/>
      <c r="F288" s="95"/>
      <c r="G288" s="95"/>
      <c r="H288" s="95"/>
      <c r="I288" s="49"/>
    </row>
    <row r="289" spans="1:9" ht="15" x14ac:dyDescent="0.25">
      <c r="A289" s="95"/>
      <c r="B289" s="95"/>
      <c r="C289" s="95"/>
      <c r="D289" s="95"/>
      <c r="E289" s="95"/>
      <c r="F289" s="95"/>
      <c r="G289" s="95"/>
      <c r="H289" s="95"/>
      <c r="I289" s="49"/>
    </row>
    <row r="290" spans="1:9" ht="15" x14ac:dyDescent="0.25">
      <c r="A290" s="95"/>
      <c r="B290" s="95"/>
      <c r="C290" s="95"/>
      <c r="D290" s="95"/>
      <c r="E290" s="95"/>
      <c r="F290" s="95"/>
      <c r="G290" s="95"/>
      <c r="H290" s="95"/>
      <c r="I290" s="49"/>
    </row>
    <row r="291" spans="1:9" ht="15" x14ac:dyDescent="0.25">
      <c r="A291" s="95"/>
      <c r="B291" s="95"/>
      <c r="C291" s="95"/>
      <c r="D291" s="95"/>
      <c r="E291" s="95"/>
      <c r="F291" s="95"/>
      <c r="G291" s="95"/>
      <c r="H291" s="95"/>
      <c r="I291" s="49"/>
    </row>
    <row r="292" spans="1:9" ht="15" x14ac:dyDescent="0.25">
      <c r="A292" s="95"/>
      <c r="B292" s="95"/>
      <c r="C292" s="95"/>
      <c r="D292" s="95"/>
      <c r="E292" s="95"/>
      <c r="F292" s="95"/>
      <c r="G292" s="95"/>
      <c r="H292" s="95"/>
      <c r="I292" s="49"/>
    </row>
    <row r="293" spans="1:9" ht="15" x14ac:dyDescent="0.25">
      <c r="A293" s="95"/>
      <c r="B293" s="95"/>
      <c r="C293" s="95"/>
      <c r="D293" s="95"/>
      <c r="E293" s="95"/>
      <c r="F293" s="95"/>
      <c r="G293" s="95"/>
      <c r="H293" s="95"/>
      <c r="I293" s="49"/>
    </row>
    <row r="294" spans="1:9" ht="15" x14ac:dyDescent="0.25">
      <c r="A294" s="95"/>
      <c r="B294" s="95"/>
      <c r="C294" s="95"/>
      <c r="D294" s="95"/>
      <c r="E294" s="95"/>
      <c r="F294" s="95"/>
      <c r="G294" s="95"/>
      <c r="H294" s="95"/>
      <c r="I294" s="49"/>
    </row>
    <row r="295" spans="1:9" ht="15" x14ac:dyDescent="0.25">
      <c r="A295" s="95"/>
      <c r="B295" s="95"/>
      <c r="C295" s="95"/>
      <c r="D295" s="95"/>
      <c r="E295" s="95"/>
      <c r="F295" s="95"/>
      <c r="G295" s="95"/>
      <c r="H295" s="95"/>
      <c r="I295" s="49"/>
    </row>
    <row r="296" spans="1:9" ht="15" x14ac:dyDescent="0.25">
      <c r="A296" s="95"/>
      <c r="B296" s="95"/>
      <c r="C296" s="95"/>
      <c r="D296" s="95"/>
      <c r="E296" s="95"/>
      <c r="F296" s="95"/>
      <c r="G296" s="95"/>
      <c r="H296" s="95"/>
      <c r="I296" s="49"/>
    </row>
    <row r="297" spans="1:9" ht="15" x14ac:dyDescent="0.25">
      <c r="A297" s="95"/>
      <c r="B297" s="95"/>
      <c r="C297" s="95"/>
      <c r="D297" s="95"/>
      <c r="E297" s="95"/>
      <c r="F297" s="95"/>
      <c r="G297" s="95"/>
      <c r="H297" s="95"/>
      <c r="I297" s="49"/>
    </row>
    <row r="298" spans="1:9" ht="15" x14ac:dyDescent="0.25">
      <c r="A298" s="95"/>
      <c r="B298" s="95"/>
      <c r="C298" s="95"/>
      <c r="D298" s="95"/>
      <c r="E298" s="95"/>
      <c r="F298" s="95"/>
      <c r="G298" s="95"/>
      <c r="H298" s="95"/>
      <c r="I298" s="49"/>
    </row>
    <row r="299" spans="1:9" ht="15" x14ac:dyDescent="0.25">
      <c r="A299" s="95"/>
      <c r="B299" s="95"/>
      <c r="C299" s="95"/>
      <c r="D299" s="95"/>
      <c r="E299" s="95"/>
      <c r="F299" s="95"/>
      <c r="G299" s="95"/>
      <c r="H299" s="95"/>
      <c r="I299" s="49"/>
    </row>
    <row r="300" spans="1:9" ht="15" x14ac:dyDescent="0.25">
      <c r="A300" s="95"/>
      <c r="B300" s="95"/>
      <c r="C300" s="95"/>
      <c r="D300" s="95"/>
      <c r="E300" s="95"/>
      <c r="F300" s="95"/>
      <c r="G300" s="95"/>
      <c r="H300" s="95"/>
      <c r="I300" s="49"/>
    </row>
    <row r="301" spans="1:9" ht="15" x14ac:dyDescent="0.25">
      <c r="A301" s="95"/>
      <c r="B301" s="95"/>
      <c r="C301" s="95"/>
      <c r="D301" s="95"/>
      <c r="E301" s="95"/>
      <c r="F301" s="95"/>
      <c r="G301" s="95"/>
      <c r="H301" s="95"/>
      <c r="I301" s="49"/>
    </row>
    <row r="302" spans="1:9" ht="15" x14ac:dyDescent="0.25">
      <c r="A302" s="95"/>
      <c r="B302" s="95"/>
      <c r="C302" s="95"/>
      <c r="D302" s="95"/>
      <c r="E302" s="95"/>
      <c r="F302" s="95"/>
      <c r="G302" s="95"/>
      <c r="H302" s="95"/>
      <c r="I302" s="49"/>
    </row>
    <row r="303" spans="1:9" ht="15" x14ac:dyDescent="0.25">
      <c r="A303" s="95"/>
      <c r="B303" s="95"/>
      <c r="C303" s="95"/>
      <c r="D303" s="95"/>
      <c r="E303" s="95"/>
      <c r="F303" s="95"/>
      <c r="G303" s="95"/>
      <c r="H303" s="95"/>
      <c r="I303" s="49"/>
    </row>
    <row r="304" spans="1:9" ht="15" x14ac:dyDescent="0.25">
      <c r="A304" s="95"/>
      <c r="B304" s="95"/>
      <c r="C304" s="95"/>
      <c r="D304" s="95"/>
      <c r="E304" s="95"/>
      <c r="F304" s="95"/>
      <c r="G304" s="95"/>
      <c r="H304" s="95"/>
      <c r="I304" s="49"/>
    </row>
    <row r="305" spans="1:9" ht="15" x14ac:dyDescent="0.25">
      <c r="A305" s="95"/>
      <c r="B305" s="95"/>
      <c r="C305" s="95"/>
      <c r="D305" s="95"/>
      <c r="E305" s="95"/>
      <c r="F305" s="95"/>
      <c r="G305" s="95"/>
      <c r="H305" s="95"/>
      <c r="I305" s="49"/>
    </row>
    <row r="306" spans="1:9" ht="15" x14ac:dyDescent="0.25">
      <c r="A306" s="95"/>
      <c r="B306" s="95"/>
      <c r="C306" s="95"/>
      <c r="D306" s="95"/>
      <c r="E306" s="95"/>
      <c r="F306" s="95"/>
      <c r="G306" s="95"/>
      <c r="H306" s="95"/>
      <c r="I306" s="49"/>
    </row>
    <row r="307" spans="1:9" ht="15" x14ac:dyDescent="0.25">
      <c r="A307" s="95"/>
      <c r="B307" s="95"/>
      <c r="C307" s="95"/>
      <c r="D307" s="95"/>
      <c r="E307" s="95"/>
      <c r="F307" s="95"/>
      <c r="G307" s="95"/>
      <c r="H307" s="95"/>
      <c r="I307" s="49"/>
    </row>
    <row r="308" spans="1:9" ht="15" x14ac:dyDescent="0.25">
      <c r="A308" s="95"/>
      <c r="B308" s="95"/>
      <c r="C308" s="95"/>
      <c r="D308" s="95"/>
      <c r="E308" s="95"/>
      <c r="F308" s="95"/>
      <c r="G308" s="95"/>
      <c r="H308" s="95"/>
      <c r="I308" s="49"/>
    </row>
    <row r="309" spans="1:9" ht="15" x14ac:dyDescent="0.25">
      <c r="A309" s="95"/>
      <c r="B309" s="95"/>
      <c r="C309" s="95"/>
      <c r="D309" s="95"/>
      <c r="E309" s="95"/>
      <c r="F309" s="95"/>
      <c r="G309" s="95"/>
      <c r="H309" s="95"/>
      <c r="I309" s="49"/>
    </row>
    <row r="310" spans="1:9" ht="15" x14ac:dyDescent="0.25">
      <c r="A310" s="95"/>
      <c r="B310" s="95"/>
      <c r="C310" s="95"/>
      <c r="D310" s="95"/>
      <c r="E310" s="95"/>
      <c r="F310" s="95"/>
      <c r="G310" s="95"/>
      <c r="H310" s="95"/>
      <c r="I310" s="49"/>
    </row>
    <row r="311" spans="1:9" ht="15" x14ac:dyDescent="0.25">
      <c r="A311" s="95"/>
      <c r="B311" s="95"/>
      <c r="C311" s="95"/>
      <c r="D311" s="95"/>
      <c r="E311" s="95"/>
      <c r="F311" s="95"/>
      <c r="G311" s="95"/>
      <c r="H311" s="95"/>
      <c r="I311" s="49"/>
    </row>
    <row r="312" spans="1:9" ht="15" x14ac:dyDescent="0.25">
      <c r="A312" s="95"/>
      <c r="B312" s="95"/>
      <c r="C312" s="95"/>
      <c r="D312" s="95"/>
      <c r="E312" s="95"/>
      <c r="F312" s="95"/>
      <c r="G312" s="95"/>
      <c r="H312" s="95"/>
      <c r="I312" s="49"/>
    </row>
    <row r="313" spans="1:9" ht="15" x14ac:dyDescent="0.25">
      <c r="A313" s="95"/>
      <c r="B313" s="95"/>
      <c r="C313" s="95"/>
      <c r="D313" s="95"/>
      <c r="E313" s="95"/>
      <c r="F313" s="95"/>
      <c r="G313" s="95"/>
      <c r="H313" s="95"/>
      <c r="I313" s="49"/>
    </row>
    <row r="314" spans="1:9" ht="15" x14ac:dyDescent="0.25">
      <c r="A314" s="95"/>
      <c r="B314" s="95"/>
      <c r="C314" s="95"/>
      <c r="D314" s="95"/>
      <c r="E314" s="95"/>
      <c r="F314" s="95"/>
      <c r="G314" s="95"/>
      <c r="H314" s="95"/>
      <c r="I314" s="49"/>
    </row>
    <row r="315" spans="1:9" ht="15" x14ac:dyDescent="0.25">
      <c r="A315" s="95"/>
      <c r="B315" s="95"/>
      <c r="C315" s="95"/>
      <c r="D315" s="95"/>
      <c r="E315" s="95"/>
      <c r="F315" s="95"/>
      <c r="G315" s="95"/>
      <c r="H315" s="95"/>
      <c r="I315" s="49"/>
    </row>
    <row r="316" spans="1:9" ht="15" x14ac:dyDescent="0.25">
      <c r="A316" s="95"/>
      <c r="B316" s="95"/>
      <c r="C316" s="95"/>
      <c r="D316" s="95"/>
      <c r="E316" s="95"/>
      <c r="F316" s="95"/>
      <c r="G316" s="95"/>
      <c r="H316" s="95"/>
      <c r="I316" s="49"/>
    </row>
    <row r="317" spans="1:9" ht="15" x14ac:dyDescent="0.25">
      <c r="A317" s="95"/>
      <c r="B317" s="95"/>
      <c r="C317" s="95"/>
      <c r="D317" s="95"/>
      <c r="E317" s="95"/>
      <c r="F317" s="95"/>
      <c r="G317" s="95"/>
      <c r="H317" s="95"/>
      <c r="I317" s="49"/>
    </row>
    <row r="318" spans="1:9" ht="15" x14ac:dyDescent="0.25">
      <c r="A318" s="95"/>
      <c r="B318" s="95"/>
      <c r="C318" s="95"/>
      <c r="D318" s="95"/>
      <c r="E318" s="95"/>
      <c r="F318" s="95"/>
      <c r="G318" s="95"/>
      <c r="H318" s="95"/>
      <c r="I318" s="49"/>
    </row>
    <row r="319" spans="1:9" ht="15" x14ac:dyDescent="0.25">
      <c r="A319" s="95"/>
      <c r="B319" s="95"/>
      <c r="C319" s="95"/>
      <c r="D319" s="95"/>
      <c r="E319" s="95"/>
      <c r="F319" s="95"/>
      <c r="G319" s="95"/>
      <c r="H319" s="95"/>
      <c r="I319" s="49"/>
    </row>
    <row r="320" spans="1:9" ht="15" x14ac:dyDescent="0.25">
      <c r="A320" s="95"/>
      <c r="B320" s="95"/>
      <c r="C320" s="95"/>
      <c r="D320" s="95"/>
      <c r="E320" s="95"/>
      <c r="F320" s="95"/>
      <c r="G320" s="95"/>
      <c r="H320" s="95"/>
      <c r="I320" s="49"/>
    </row>
    <row r="321" spans="1:9" ht="15" x14ac:dyDescent="0.25">
      <c r="A321" s="95"/>
      <c r="B321" s="95"/>
      <c r="C321" s="95"/>
      <c r="D321" s="95"/>
      <c r="E321" s="95"/>
      <c r="F321" s="95"/>
      <c r="G321" s="95"/>
      <c r="H321" s="95"/>
      <c r="I321" s="49"/>
    </row>
    <row r="322" spans="1:9" ht="15" x14ac:dyDescent="0.25">
      <c r="A322" s="95"/>
      <c r="B322" s="95"/>
      <c r="C322" s="95"/>
      <c r="D322" s="95"/>
      <c r="E322" s="95"/>
      <c r="F322" s="95"/>
      <c r="G322" s="95"/>
      <c r="H322" s="95"/>
      <c r="I322" s="49"/>
    </row>
    <row r="323" spans="1:9" ht="15" x14ac:dyDescent="0.25">
      <c r="A323" s="95"/>
      <c r="B323" s="95"/>
      <c r="C323" s="95"/>
      <c r="D323" s="95"/>
      <c r="E323" s="95"/>
      <c r="F323" s="95"/>
      <c r="G323" s="95"/>
      <c r="H323" s="95"/>
      <c r="I323" s="49"/>
    </row>
    <row r="324" spans="1:9" ht="15" x14ac:dyDescent="0.25">
      <c r="A324" s="95"/>
      <c r="B324" s="95"/>
      <c r="C324" s="95"/>
      <c r="D324" s="95"/>
      <c r="E324" s="95"/>
      <c r="F324" s="95"/>
      <c r="G324" s="95"/>
      <c r="H324" s="95"/>
      <c r="I324" s="49"/>
    </row>
    <row r="325" spans="1:9" ht="15" x14ac:dyDescent="0.25">
      <c r="A325" s="95"/>
      <c r="B325" s="95"/>
      <c r="C325" s="95"/>
      <c r="D325" s="95"/>
      <c r="E325" s="95"/>
      <c r="F325" s="95"/>
      <c r="G325" s="95"/>
      <c r="H325" s="95"/>
      <c r="I325" s="49"/>
    </row>
    <row r="326" spans="1:9" ht="15" x14ac:dyDescent="0.25">
      <c r="A326" s="95"/>
      <c r="B326" s="95"/>
      <c r="C326" s="95"/>
      <c r="D326" s="95"/>
      <c r="E326" s="95"/>
      <c r="F326" s="95"/>
      <c r="G326" s="95"/>
      <c r="H326" s="95"/>
      <c r="I326" s="49"/>
    </row>
    <row r="327" spans="1:9" ht="15" x14ac:dyDescent="0.25">
      <c r="A327" s="95"/>
      <c r="B327" s="95"/>
      <c r="C327" s="95"/>
      <c r="D327" s="95"/>
      <c r="E327" s="95"/>
      <c r="F327" s="95"/>
      <c r="G327" s="95"/>
      <c r="H327" s="95"/>
      <c r="I327" s="49"/>
    </row>
    <row r="328" spans="1:9" ht="15" x14ac:dyDescent="0.25">
      <c r="A328" s="95"/>
      <c r="B328" s="95"/>
      <c r="C328" s="95"/>
      <c r="D328" s="95"/>
      <c r="E328" s="95"/>
      <c r="F328" s="95"/>
      <c r="G328" s="95"/>
      <c r="H328" s="95"/>
      <c r="I328" s="49"/>
    </row>
    <row r="329" spans="1:9" ht="15" x14ac:dyDescent="0.25">
      <c r="A329" s="95"/>
      <c r="B329" s="95"/>
      <c r="C329" s="95"/>
      <c r="D329" s="95"/>
      <c r="E329" s="95"/>
      <c r="F329" s="95"/>
      <c r="G329" s="95"/>
      <c r="H329" s="95"/>
      <c r="I329" s="49"/>
    </row>
    <row r="330" spans="1:9" ht="15" x14ac:dyDescent="0.25">
      <c r="A330" s="95"/>
      <c r="B330" s="95"/>
      <c r="C330" s="95"/>
      <c r="D330" s="95"/>
      <c r="E330" s="95"/>
      <c r="F330" s="95"/>
      <c r="G330" s="95"/>
      <c r="H330" s="95"/>
      <c r="I330" s="49"/>
    </row>
    <row r="331" spans="1:9" ht="15" x14ac:dyDescent="0.25">
      <c r="A331" s="95"/>
      <c r="B331" s="95"/>
      <c r="C331" s="95"/>
      <c r="D331" s="95"/>
      <c r="E331" s="95"/>
      <c r="F331" s="95"/>
      <c r="G331" s="95"/>
      <c r="H331" s="95"/>
      <c r="I331" s="49"/>
    </row>
    <row r="332" spans="1:9" ht="15" x14ac:dyDescent="0.25">
      <c r="A332" s="95"/>
      <c r="B332" s="95"/>
      <c r="C332" s="95"/>
      <c r="D332" s="95"/>
      <c r="E332" s="95"/>
      <c r="F332" s="95"/>
      <c r="G332" s="95"/>
      <c r="H332" s="95"/>
      <c r="I332" s="49"/>
    </row>
    <row r="333" spans="1:9" ht="15" x14ac:dyDescent="0.25">
      <c r="A333" s="95"/>
      <c r="B333" s="95"/>
      <c r="C333" s="95"/>
      <c r="D333" s="95"/>
      <c r="E333" s="95"/>
      <c r="F333" s="95"/>
      <c r="G333" s="95"/>
      <c r="H333" s="95"/>
      <c r="I333" s="49"/>
    </row>
    <row r="334" spans="1:9" ht="15" x14ac:dyDescent="0.25">
      <c r="A334" s="95"/>
      <c r="B334" s="95"/>
      <c r="C334" s="95"/>
      <c r="D334" s="95"/>
      <c r="E334" s="95"/>
      <c r="F334" s="95"/>
      <c r="G334" s="95"/>
      <c r="H334" s="95"/>
      <c r="I334" s="49"/>
    </row>
    <row r="335" spans="1:9" ht="15" x14ac:dyDescent="0.25">
      <c r="A335" s="95"/>
      <c r="B335" s="95"/>
      <c r="C335" s="95"/>
      <c r="D335" s="95"/>
      <c r="E335" s="95"/>
      <c r="F335" s="95"/>
      <c r="G335" s="95"/>
      <c r="H335" s="95"/>
      <c r="I335" s="49"/>
    </row>
    <row r="336" spans="1:9" ht="15" x14ac:dyDescent="0.25">
      <c r="A336" s="95"/>
      <c r="B336" s="95"/>
      <c r="C336" s="95"/>
      <c r="D336" s="95"/>
      <c r="E336" s="95"/>
      <c r="F336" s="95"/>
      <c r="G336" s="95"/>
      <c r="H336" s="95"/>
      <c r="I336" s="49"/>
    </row>
    <row r="337" spans="1:9" ht="15" x14ac:dyDescent="0.25">
      <c r="A337" s="95"/>
      <c r="B337" s="95"/>
      <c r="C337" s="95"/>
      <c r="D337" s="95"/>
      <c r="E337" s="95"/>
      <c r="F337" s="95"/>
      <c r="G337" s="95"/>
      <c r="H337" s="95"/>
      <c r="I337" s="49"/>
    </row>
    <row r="338" spans="1:9" ht="15" x14ac:dyDescent="0.25">
      <c r="A338" s="95"/>
      <c r="B338" s="95"/>
      <c r="C338" s="95"/>
      <c r="D338" s="95"/>
      <c r="E338" s="95"/>
      <c r="F338" s="95"/>
      <c r="G338" s="95"/>
      <c r="H338" s="95"/>
      <c r="I338" s="49"/>
    </row>
    <row r="339" spans="1:9" ht="15" x14ac:dyDescent="0.25">
      <c r="A339" s="95"/>
      <c r="B339" s="95"/>
      <c r="C339" s="95"/>
      <c r="D339" s="95"/>
      <c r="E339" s="95"/>
      <c r="F339" s="95"/>
      <c r="G339" s="95"/>
      <c r="H339" s="95"/>
      <c r="I339" s="49"/>
    </row>
    <row r="340" spans="1:9" ht="15" x14ac:dyDescent="0.25">
      <c r="A340" s="95"/>
      <c r="B340" s="95"/>
      <c r="C340" s="95"/>
      <c r="D340" s="95"/>
      <c r="E340" s="95"/>
      <c r="F340" s="95"/>
      <c r="G340" s="95"/>
      <c r="H340" s="95"/>
      <c r="I340" s="49"/>
    </row>
    <row r="341" spans="1:9" ht="15" x14ac:dyDescent="0.25">
      <c r="A341" s="95"/>
      <c r="B341" s="95"/>
      <c r="C341" s="95"/>
      <c r="D341" s="95"/>
      <c r="E341" s="95"/>
      <c r="F341" s="95"/>
      <c r="G341" s="95"/>
      <c r="H341" s="95"/>
      <c r="I341" s="49"/>
    </row>
    <row r="342" spans="1:9" ht="15" x14ac:dyDescent="0.25">
      <c r="A342" s="95"/>
      <c r="B342" s="95"/>
      <c r="C342" s="95"/>
      <c r="D342" s="95"/>
      <c r="E342" s="95"/>
      <c r="F342" s="95"/>
      <c r="G342" s="95"/>
      <c r="H342" s="95"/>
      <c r="I342" s="49"/>
    </row>
    <row r="343" spans="1:9" s="99" customFormat="1" ht="15" x14ac:dyDescent="0.25">
      <c r="A343" s="97"/>
      <c r="B343" s="97"/>
      <c r="C343" s="97"/>
      <c r="D343" s="97"/>
      <c r="E343" s="97"/>
      <c r="F343" s="97"/>
      <c r="G343" s="97"/>
      <c r="H343" s="97"/>
      <c r="I343" s="98"/>
    </row>
    <row r="344" spans="1:9" ht="15" x14ac:dyDescent="0.25">
      <c r="A344" s="95"/>
      <c r="B344" s="95"/>
      <c r="C344" s="95"/>
      <c r="D344" s="95"/>
      <c r="E344" s="95"/>
      <c r="F344" s="95"/>
      <c r="G344" s="95"/>
      <c r="H344" s="95"/>
      <c r="I344" s="49"/>
    </row>
    <row r="345" spans="1:9" ht="15" x14ac:dyDescent="0.25">
      <c r="A345" s="95"/>
      <c r="B345" s="95"/>
      <c r="C345" s="95"/>
      <c r="D345" s="95"/>
      <c r="E345" s="95"/>
      <c r="F345" s="95"/>
      <c r="G345" s="95"/>
      <c r="H345" s="95"/>
      <c r="I345" s="49"/>
    </row>
    <row r="346" spans="1:9" ht="15" x14ac:dyDescent="0.25">
      <c r="A346" s="95"/>
      <c r="B346" s="95"/>
      <c r="C346" s="95"/>
      <c r="D346" s="95"/>
      <c r="E346" s="95"/>
      <c r="F346" s="95"/>
      <c r="G346" s="95"/>
      <c r="H346" s="95"/>
      <c r="I346" s="49"/>
    </row>
    <row r="347" spans="1:9" ht="15" x14ac:dyDescent="0.25">
      <c r="A347" s="95"/>
      <c r="B347" s="95"/>
      <c r="C347" s="95"/>
      <c r="D347" s="95"/>
      <c r="E347" s="95"/>
      <c r="F347" s="95"/>
      <c r="G347" s="95"/>
      <c r="H347" s="95"/>
      <c r="I347" s="49"/>
    </row>
    <row r="348" spans="1:9" ht="15" x14ac:dyDescent="0.25">
      <c r="A348" s="95"/>
      <c r="B348" s="95"/>
      <c r="C348" s="95"/>
      <c r="D348" s="95"/>
      <c r="E348" s="95"/>
      <c r="F348" s="95"/>
      <c r="G348" s="95"/>
      <c r="H348" s="95"/>
      <c r="I348" s="49"/>
    </row>
    <row r="349" spans="1:9" ht="15" x14ac:dyDescent="0.25">
      <c r="A349" s="95"/>
      <c r="B349" s="95"/>
      <c r="C349" s="95"/>
      <c r="D349" s="95"/>
      <c r="E349" s="95"/>
      <c r="F349" s="95"/>
      <c r="G349" s="95"/>
      <c r="H349" s="95"/>
      <c r="I349" s="49"/>
    </row>
    <row r="350" spans="1:9" ht="15" x14ac:dyDescent="0.25">
      <c r="A350" s="95"/>
      <c r="B350" s="95"/>
      <c r="C350" s="95"/>
      <c r="D350" s="95"/>
      <c r="E350" s="95"/>
      <c r="F350" s="95"/>
      <c r="G350" s="95"/>
      <c r="H350" s="95"/>
      <c r="I350" s="49"/>
    </row>
    <row r="351" spans="1:9" ht="15" x14ac:dyDescent="0.25">
      <c r="A351" s="95"/>
      <c r="B351" s="95"/>
      <c r="C351" s="95"/>
      <c r="D351" s="95"/>
      <c r="E351" s="95"/>
      <c r="F351" s="95"/>
      <c r="G351" s="95"/>
      <c r="H351" s="95"/>
      <c r="I351" s="49"/>
    </row>
    <row r="352" spans="1:9" ht="15" x14ac:dyDescent="0.25">
      <c r="A352" s="95"/>
      <c r="B352" s="95"/>
      <c r="C352" s="95"/>
      <c r="D352" s="95"/>
      <c r="E352" s="95"/>
      <c r="F352" s="95"/>
      <c r="G352" s="95"/>
      <c r="H352" s="95"/>
      <c r="I352" s="49"/>
    </row>
    <row r="353" spans="1:9" ht="15" x14ac:dyDescent="0.25">
      <c r="A353" s="95"/>
      <c r="B353" s="95"/>
      <c r="C353" s="95"/>
      <c r="D353" s="95"/>
      <c r="E353" s="95"/>
      <c r="F353" s="95"/>
      <c r="G353" s="95"/>
      <c r="H353" s="95"/>
      <c r="I353" s="49"/>
    </row>
    <row r="354" spans="1:9" ht="15" x14ac:dyDescent="0.25">
      <c r="A354" s="95"/>
      <c r="B354" s="95"/>
      <c r="C354" s="95"/>
      <c r="D354" s="95"/>
      <c r="E354" s="95"/>
      <c r="F354" s="95"/>
      <c r="G354" s="95"/>
      <c r="H354" s="95"/>
      <c r="I354" s="49"/>
    </row>
    <row r="355" spans="1:9" ht="15" x14ac:dyDescent="0.25">
      <c r="A355" s="95"/>
      <c r="B355" s="95"/>
      <c r="C355" s="95"/>
      <c r="D355" s="95"/>
      <c r="E355" s="95"/>
      <c r="F355" s="95"/>
      <c r="G355" s="95"/>
      <c r="H355" s="95"/>
      <c r="I355" s="49"/>
    </row>
    <row r="356" spans="1:9" ht="15" x14ac:dyDescent="0.25">
      <c r="A356" s="95"/>
      <c r="B356" s="95"/>
      <c r="C356" s="95"/>
      <c r="D356" s="95"/>
      <c r="E356" s="95"/>
      <c r="F356" s="95"/>
      <c r="G356" s="95"/>
      <c r="H356" s="95"/>
      <c r="I356" s="49"/>
    </row>
    <row r="357" spans="1:9" ht="15" x14ac:dyDescent="0.25">
      <c r="A357" s="95"/>
      <c r="B357" s="95"/>
      <c r="C357" s="95"/>
      <c r="D357" s="95"/>
      <c r="E357" s="95"/>
      <c r="F357" s="95"/>
      <c r="G357" s="95"/>
      <c r="H357" s="95"/>
      <c r="I357" s="49"/>
    </row>
    <row r="358" spans="1:9" ht="15" x14ac:dyDescent="0.25">
      <c r="A358" s="95"/>
      <c r="B358" s="95"/>
      <c r="C358" s="95"/>
      <c r="D358" s="95"/>
      <c r="E358" s="95"/>
      <c r="F358" s="95"/>
      <c r="G358" s="95"/>
      <c r="H358" s="95"/>
      <c r="I358" s="49"/>
    </row>
    <row r="359" spans="1:9" ht="15" x14ac:dyDescent="0.25">
      <c r="A359" s="95"/>
      <c r="B359" s="95"/>
      <c r="C359" s="95"/>
      <c r="D359" s="95"/>
      <c r="E359" s="95"/>
      <c r="F359" s="95"/>
      <c r="G359" s="95"/>
      <c r="H359" s="95"/>
      <c r="I359" s="49"/>
    </row>
    <row r="360" spans="1:9" ht="15" x14ac:dyDescent="0.25">
      <c r="A360" s="95"/>
      <c r="B360" s="95"/>
      <c r="C360" s="95"/>
      <c r="D360" s="95"/>
      <c r="E360" s="95"/>
      <c r="F360" s="95"/>
      <c r="G360" s="95"/>
      <c r="H360" s="95"/>
      <c r="I360" s="49"/>
    </row>
    <row r="361" spans="1:9" ht="15" x14ac:dyDescent="0.25">
      <c r="A361" s="95"/>
      <c r="B361" s="95"/>
      <c r="C361" s="95"/>
      <c r="D361" s="95"/>
      <c r="E361" s="95"/>
      <c r="F361" s="95"/>
      <c r="G361" s="95"/>
      <c r="H361" s="95"/>
      <c r="I361" s="49"/>
    </row>
    <row r="362" spans="1:9" ht="15" x14ac:dyDescent="0.25">
      <c r="A362" s="95"/>
      <c r="B362" s="95"/>
      <c r="C362" s="95"/>
      <c r="D362" s="95"/>
      <c r="E362" s="95"/>
      <c r="F362" s="95"/>
      <c r="G362" s="95"/>
      <c r="H362" s="95"/>
      <c r="I362" s="49"/>
    </row>
    <row r="363" spans="1:9" ht="15" x14ac:dyDescent="0.25">
      <c r="A363" s="95"/>
      <c r="B363" s="95"/>
      <c r="C363" s="95"/>
      <c r="D363" s="95"/>
      <c r="E363" s="95"/>
      <c r="F363" s="95"/>
      <c r="G363" s="95"/>
      <c r="H363" s="95"/>
      <c r="I363" s="49"/>
    </row>
    <row r="364" spans="1:9" ht="15" x14ac:dyDescent="0.25">
      <c r="A364" s="95"/>
      <c r="B364" s="95"/>
      <c r="C364" s="95"/>
      <c r="D364" s="95"/>
      <c r="E364" s="95"/>
      <c r="F364" s="95"/>
      <c r="G364" s="95"/>
      <c r="H364" s="95"/>
      <c r="I364" s="49"/>
    </row>
    <row r="365" spans="1:9" ht="15" x14ac:dyDescent="0.25">
      <c r="A365" s="95"/>
      <c r="B365" s="95"/>
      <c r="C365" s="95"/>
      <c r="D365" s="95"/>
      <c r="E365" s="95"/>
      <c r="F365" s="95"/>
      <c r="G365" s="95"/>
      <c r="H365" s="95"/>
      <c r="I365" s="49"/>
    </row>
    <row r="366" spans="1:9" ht="15" x14ac:dyDescent="0.25">
      <c r="A366" s="95"/>
      <c r="B366" s="95"/>
      <c r="C366" s="95"/>
      <c r="D366" s="95"/>
      <c r="E366" s="95"/>
      <c r="F366" s="95"/>
      <c r="G366" s="95"/>
      <c r="H366" s="95"/>
      <c r="I366" s="49"/>
    </row>
    <row r="367" spans="1:9" ht="15" x14ac:dyDescent="0.25">
      <c r="A367" s="95"/>
      <c r="B367" s="95"/>
      <c r="C367" s="95"/>
      <c r="D367" s="95"/>
      <c r="E367" s="95"/>
      <c r="F367" s="95"/>
      <c r="G367" s="95"/>
      <c r="H367" s="95"/>
      <c r="I367" s="49"/>
    </row>
    <row r="368" spans="1:9" ht="15" x14ac:dyDescent="0.25">
      <c r="A368" s="95"/>
      <c r="B368" s="95"/>
      <c r="C368" s="95"/>
      <c r="D368" s="95"/>
      <c r="E368" s="95"/>
      <c r="F368" s="95"/>
      <c r="G368" s="95"/>
      <c r="H368" s="95"/>
      <c r="I368" s="49"/>
    </row>
    <row r="369" spans="1:9" ht="15" x14ac:dyDescent="0.25">
      <c r="A369" s="95"/>
      <c r="B369" s="95"/>
      <c r="C369" s="95"/>
      <c r="D369" s="95"/>
      <c r="E369" s="95"/>
      <c r="F369" s="95"/>
      <c r="G369" s="95"/>
      <c r="H369" s="95"/>
      <c r="I369" s="49"/>
    </row>
    <row r="370" spans="1:9" ht="15" x14ac:dyDescent="0.25">
      <c r="A370" s="95"/>
      <c r="B370" s="95"/>
      <c r="C370" s="95"/>
      <c r="D370" s="95"/>
      <c r="E370" s="95"/>
      <c r="F370" s="95"/>
      <c r="G370" s="95"/>
      <c r="H370" s="95"/>
      <c r="I370" s="49"/>
    </row>
    <row r="371" spans="1:9" ht="15" x14ac:dyDescent="0.25">
      <c r="A371" s="95"/>
      <c r="B371" s="95"/>
      <c r="C371" s="95"/>
      <c r="D371" s="95"/>
      <c r="E371" s="95"/>
      <c r="F371" s="95"/>
      <c r="G371" s="95"/>
      <c r="H371" s="95"/>
      <c r="I371" s="49"/>
    </row>
    <row r="372" spans="1:9" ht="15" x14ac:dyDescent="0.25">
      <c r="A372" s="95"/>
      <c r="B372" s="95"/>
      <c r="C372" s="95"/>
      <c r="D372" s="95"/>
      <c r="E372" s="95"/>
      <c r="F372" s="95"/>
      <c r="G372" s="95"/>
      <c r="H372" s="95"/>
      <c r="I372" s="49"/>
    </row>
    <row r="373" spans="1:9" ht="15" x14ac:dyDescent="0.25">
      <c r="A373" s="95"/>
      <c r="B373" s="95"/>
      <c r="C373" s="95"/>
      <c r="D373" s="95"/>
      <c r="E373" s="95"/>
      <c r="F373" s="95"/>
      <c r="G373" s="95"/>
      <c r="H373" s="95"/>
      <c r="I373" s="49"/>
    </row>
    <row r="374" spans="1:9" ht="15" x14ac:dyDescent="0.25">
      <c r="A374" s="95"/>
      <c r="B374" s="95"/>
      <c r="C374" s="95"/>
      <c r="D374" s="95"/>
      <c r="E374" s="95"/>
      <c r="F374" s="95"/>
      <c r="G374" s="95"/>
      <c r="H374" s="95"/>
      <c r="I374" s="49"/>
    </row>
    <row r="375" spans="1:9" ht="15" x14ac:dyDescent="0.25">
      <c r="A375" s="95"/>
      <c r="B375" s="95"/>
      <c r="C375" s="95"/>
      <c r="D375" s="95"/>
      <c r="E375" s="95"/>
      <c r="F375" s="95"/>
      <c r="G375" s="95"/>
      <c r="H375" s="95"/>
      <c r="I375" s="49"/>
    </row>
    <row r="376" spans="1:9" ht="15" x14ac:dyDescent="0.25">
      <c r="A376" s="95"/>
      <c r="B376" s="95"/>
      <c r="C376" s="95"/>
      <c r="D376" s="95"/>
      <c r="E376" s="95"/>
      <c r="F376" s="95"/>
      <c r="G376" s="95"/>
      <c r="H376" s="95"/>
      <c r="I376" s="49"/>
    </row>
    <row r="377" spans="1:9" ht="15" x14ac:dyDescent="0.25">
      <c r="A377" s="95"/>
      <c r="B377" s="95"/>
      <c r="C377" s="95"/>
      <c r="D377" s="95"/>
      <c r="E377" s="95"/>
      <c r="F377" s="95"/>
      <c r="G377" s="95"/>
      <c r="H377" s="95"/>
      <c r="I377" s="49"/>
    </row>
    <row r="378" spans="1:9" ht="15" x14ac:dyDescent="0.25">
      <c r="A378" s="95"/>
      <c r="B378" s="95"/>
      <c r="C378" s="95"/>
      <c r="D378" s="95"/>
      <c r="E378" s="95"/>
      <c r="F378" s="95"/>
      <c r="G378" s="95"/>
      <c r="H378" s="95"/>
      <c r="I378" s="49"/>
    </row>
    <row r="379" spans="1:9" ht="15" x14ac:dyDescent="0.25">
      <c r="A379" s="95"/>
      <c r="B379" s="95"/>
      <c r="C379" s="95"/>
      <c r="D379" s="95"/>
      <c r="E379" s="95"/>
      <c r="F379" s="95"/>
      <c r="G379" s="95"/>
      <c r="H379" s="95"/>
      <c r="I379" s="49"/>
    </row>
    <row r="380" spans="1:9" ht="15" x14ac:dyDescent="0.25">
      <c r="A380" s="95"/>
      <c r="B380" s="95"/>
      <c r="C380" s="95"/>
      <c r="D380" s="95"/>
      <c r="E380" s="95"/>
      <c r="F380" s="95"/>
      <c r="G380" s="95"/>
      <c r="H380" s="95"/>
      <c r="I380" s="49"/>
    </row>
    <row r="381" spans="1:9" ht="15" x14ac:dyDescent="0.25">
      <c r="A381" s="95"/>
      <c r="B381" s="95"/>
      <c r="C381" s="95"/>
      <c r="D381" s="95"/>
      <c r="E381" s="95"/>
      <c r="F381" s="95"/>
      <c r="G381" s="95"/>
      <c r="H381" s="95"/>
      <c r="I381" s="49"/>
    </row>
    <row r="382" spans="1:9" ht="15" x14ac:dyDescent="0.25">
      <c r="A382" s="95"/>
      <c r="B382" s="95"/>
      <c r="C382" s="95"/>
      <c r="D382" s="95"/>
      <c r="E382" s="95"/>
      <c r="F382" s="95"/>
      <c r="G382" s="95"/>
      <c r="H382" s="95"/>
      <c r="I382" s="49"/>
    </row>
    <row r="383" spans="1:9" ht="15" x14ac:dyDescent="0.25">
      <c r="A383" s="95"/>
      <c r="B383" s="95"/>
      <c r="C383" s="95"/>
      <c r="D383" s="95"/>
      <c r="E383" s="95"/>
      <c r="F383" s="95"/>
      <c r="G383" s="95"/>
      <c r="H383" s="95"/>
      <c r="I383" s="49"/>
    </row>
    <row r="384" spans="1:9" ht="15" x14ac:dyDescent="0.25">
      <c r="A384" s="95"/>
      <c r="B384" s="95"/>
      <c r="C384" s="95"/>
      <c r="D384" s="95"/>
      <c r="E384" s="95"/>
      <c r="F384" s="95"/>
      <c r="G384" s="95"/>
      <c r="H384" s="95"/>
      <c r="I384" s="49"/>
    </row>
    <row r="385" spans="1:9" ht="15" x14ac:dyDescent="0.25">
      <c r="A385" s="95"/>
      <c r="B385" s="95"/>
      <c r="C385" s="95"/>
      <c r="D385" s="95"/>
      <c r="E385" s="95"/>
      <c r="F385" s="95"/>
      <c r="G385" s="95"/>
      <c r="H385" s="95"/>
      <c r="I385" s="49"/>
    </row>
    <row r="386" spans="1:9" ht="15" x14ac:dyDescent="0.25">
      <c r="A386" s="95"/>
      <c r="B386" s="95"/>
      <c r="C386" s="95"/>
      <c r="D386" s="95"/>
      <c r="E386" s="95"/>
      <c r="F386" s="95"/>
      <c r="G386" s="95"/>
      <c r="H386" s="95"/>
      <c r="I386" s="49"/>
    </row>
    <row r="387" spans="1:9" s="99" customFormat="1" ht="15" x14ac:dyDescent="0.25">
      <c r="A387" s="97"/>
      <c r="B387" s="97"/>
      <c r="C387" s="97"/>
      <c r="D387" s="97"/>
      <c r="E387" s="97"/>
      <c r="F387" s="97"/>
      <c r="G387" s="97"/>
      <c r="H387" s="97"/>
      <c r="I387" s="98"/>
    </row>
    <row r="388" spans="1:9" s="99" customFormat="1" ht="15" x14ac:dyDescent="0.25">
      <c r="A388" s="95"/>
      <c r="B388" s="95"/>
      <c r="C388" s="95"/>
      <c r="D388" s="95"/>
      <c r="E388" s="95"/>
      <c r="F388" s="95"/>
      <c r="G388" s="95"/>
      <c r="H388" s="95"/>
      <c r="I388" s="98"/>
    </row>
    <row r="389" spans="1:9" s="99" customFormat="1" ht="15" x14ac:dyDescent="0.25">
      <c r="A389" s="95"/>
      <c r="B389" s="95"/>
      <c r="C389" s="95"/>
      <c r="D389" s="95"/>
      <c r="E389" s="95"/>
      <c r="F389" s="95"/>
      <c r="G389" s="95"/>
      <c r="H389" s="95"/>
      <c r="I389" s="98"/>
    </row>
    <row r="390" spans="1:9" s="99" customFormat="1" ht="15" x14ac:dyDescent="0.25">
      <c r="A390" s="95"/>
      <c r="B390" s="95"/>
      <c r="C390" s="95"/>
      <c r="D390" s="95"/>
      <c r="E390" s="95"/>
      <c r="F390" s="95"/>
      <c r="G390" s="95"/>
      <c r="H390" s="95"/>
      <c r="I390" s="98"/>
    </row>
    <row r="391" spans="1:9" ht="15" x14ac:dyDescent="0.25">
      <c r="A391" s="95"/>
      <c r="B391" s="95"/>
      <c r="C391" s="95"/>
      <c r="D391" s="95"/>
      <c r="E391" s="95"/>
      <c r="F391" s="95"/>
      <c r="G391" s="95"/>
      <c r="H391" s="95"/>
      <c r="I391" s="49"/>
    </row>
    <row r="392" spans="1:9" ht="15" x14ac:dyDescent="0.25">
      <c r="A392" s="95"/>
      <c r="B392" s="95"/>
      <c r="C392" s="95"/>
      <c r="D392" s="95"/>
      <c r="E392" s="95"/>
      <c r="F392" s="95"/>
      <c r="G392" s="95"/>
      <c r="H392" s="95"/>
      <c r="I392" s="49"/>
    </row>
    <row r="393" spans="1:9" ht="15" x14ac:dyDescent="0.25">
      <c r="A393" s="95"/>
      <c r="B393" s="95"/>
      <c r="C393" s="95"/>
      <c r="D393" s="95"/>
      <c r="E393" s="95"/>
      <c r="F393" s="95"/>
      <c r="G393" s="95"/>
      <c r="H393" s="95"/>
      <c r="I393" s="49"/>
    </row>
    <row r="394" spans="1:9" ht="15" x14ac:dyDescent="0.25">
      <c r="A394" s="95"/>
      <c r="B394" s="95"/>
      <c r="C394" s="95"/>
      <c r="D394" s="95"/>
      <c r="E394" s="95"/>
      <c r="F394" s="95"/>
      <c r="G394" s="95"/>
      <c r="H394" s="95"/>
      <c r="I394" s="49"/>
    </row>
    <row r="395" spans="1:9" ht="15" x14ac:dyDescent="0.25">
      <c r="A395" s="95"/>
      <c r="B395" s="95"/>
      <c r="C395" s="95"/>
      <c r="D395" s="95"/>
      <c r="E395" s="95"/>
      <c r="F395" s="95"/>
      <c r="G395" s="95"/>
      <c r="H395" s="95"/>
      <c r="I395" s="49"/>
    </row>
    <row r="396" spans="1:9" ht="15" x14ac:dyDescent="0.25">
      <c r="A396" s="95"/>
      <c r="B396" s="95"/>
      <c r="C396" s="95"/>
      <c r="D396" s="95"/>
      <c r="E396" s="95"/>
      <c r="F396" s="95"/>
      <c r="G396" s="95"/>
      <c r="H396" s="95"/>
      <c r="I396" s="49"/>
    </row>
    <row r="397" spans="1:9" ht="15" x14ac:dyDescent="0.25">
      <c r="A397" s="95"/>
      <c r="B397" s="95"/>
      <c r="C397" s="95"/>
      <c r="D397" s="95"/>
      <c r="E397" s="95"/>
      <c r="F397" s="95"/>
      <c r="G397" s="95"/>
      <c r="H397" s="95"/>
      <c r="I397" s="49"/>
    </row>
    <row r="398" spans="1:9" ht="15" x14ac:dyDescent="0.25">
      <c r="A398" s="95"/>
      <c r="B398" s="95"/>
      <c r="C398" s="95"/>
      <c r="D398" s="95"/>
      <c r="E398" s="95"/>
      <c r="F398" s="95"/>
      <c r="G398" s="95"/>
      <c r="H398" s="95"/>
      <c r="I398" s="49"/>
    </row>
    <row r="399" spans="1:9" ht="15" x14ac:dyDescent="0.25">
      <c r="A399" s="95"/>
      <c r="B399" s="95"/>
      <c r="C399" s="95"/>
      <c r="D399" s="95"/>
      <c r="E399" s="95"/>
      <c r="F399" s="95"/>
      <c r="G399" s="95"/>
      <c r="H399" s="95"/>
      <c r="I399" s="49"/>
    </row>
    <row r="400" spans="1:9" ht="15" x14ac:dyDescent="0.25">
      <c r="A400" s="95"/>
      <c r="B400" s="95"/>
      <c r="C400" s="95"/>
      <c r="D400" s="95"/>
      <c r="E400" s="95"/>
      <c r="F400" s="95"/>
      <c r="G400" s="95"/>
      <c r="H400" s="95"/>
      <c r="I400" s="49"/>
    </row>
    <row r="401" spans="1:9" ht="15" x14ac:dyDescent="0.25">
      <c r="A401" s="95"/>
      <c r="B401" s="95"/>
      <c r="C401" s="95"/>
      <c r="D401" s="95"/>
      <c r="E401" s="95"/>
      <c r="F401" s="95"/>
      <c r="G401" s="95"/>
      <c r="H401" s="95"/>
      <c r="I401" s="49"/>
    </row>
    <row r="402" spans="1:9" ht="15" x14ac:dyDescent="0.25">
      <c r="A402" s="95"/>
      <c r="B402" s="95"/>
      <c r="C402" s="95"/>
      <c r="D402" s="95"/>
      <c r="E402" s="95"/>
      <c r="F402" s="95"/>
      <c r="G402" s="95"/>
      <c r="H402" s="95"/>
      <c r="I402" s="49"/>
    </row>
    <row r="403" spans="1:9" ht="15" x14ac:dyDescent="0.25">
      <c r="A403" s="95"/>
      <c r="B403" s="95"/>
      <c r="C403" s="95"/>
      <c r="D403" s="95"/>
      <c r="E403" s="95"/>
      <c r="F403" s="95"/>
      <c r="G403" s="95"/>
      <c r="H403" s="95"/>
      <c r="I403" s="49"/>
    </row>
    <row r="404" spans="1:9" ht="15" x14ac:dyDescent="0.25">
      <c r="A404" s="95"/>
      <c r="B404" s="95"/>
      <c r="C404" s="95"/>
      <c r="D404" s="95"/>
      <c r="E404" s="95"/>
      <c r="F404" s="95"/>
      <c r="G404" s="95"/>
      <c r="H404" s="95"/>
      <c r="I404" s="49"/>
    </row>
    <row r="405" spans="1:9" ht="15" x14ac:dyDescent="0.25">
      <c r="A405" s="95"/>
      <c r="B405" s="95"/>
      <c r="C405" s="95"/>
      <c r="D405" s="95"/>
      <c r="E405" s="95"/>
      <c r="F405" s="95"/>
      <c r="G405" s="95"/>
      <c r="H405" s="95"/>
      <c r="I405" s="49"/>
    </row>
    <row r="406" spans="1:9" ht="15" x14ac:dyDescent="0.25">
      <c r="A406" s="95"/>
      <c r="B406" s="95"/>
      <c r="C406" s="95"/>
      <c r="D406" s="95"/>
      <c r="E406" s="95"/>
      <c r="F406" s="95"/>
      <c r="G406" s="95"/>
      <c r="H406" s="95"/>
      <c r="I406" s="49"/>
    </row>
    <row r="407" spans="1:9" ht="15" x14ac:dyDescent="0.25">
      <c r="A407" s="95"/>
      <c r="B407" s="95"/>
      <c r="C407" s="95"/>
      <c r="D407" s="95"/>
      <c r="E407" s="95"/>
      <c r="F407" s="95"/>
      <c r="G407" s="95"/>
      <c r="H407" s="95"/>
      <c r="I407" s="49"/>
    </row>
    <row r="408" spans="1:9" ht="15" x14ac:dyDescent="0.25">
      <c r="A408" s="95"/>
      <c r="B408" s="95"/>
      <c r="C408" s="95"/>
      <c r="D408" s="95"/>
      <c r="E408" s="95"/>
      <c r="F408" s="95"/>
      <c r="G408" s="95"/>
      <c r="H408" s="95"/>
      <c r="I408" s="49"/>
    </row>
    <row r="409" spans="1:9" ht="15" x14ac:dyDescent="0.25">
      <c r="A409" s="95"/>
      <c r="B409" s="95"/>
      <c r="C409" s="95"/>
      <c r="D409" s="95"/>
      <c r="E409" s="95"/>
      <c r="F409" s="95"/>
      <c r="G409" s="95"/>
      <c r="H409" s="95"/>
      <c r="I409" s="49"/>
    </row>
    <row r="410" spans="1:9" ht="15" x14ac:dyDescent="0.25">
      <c r="A410" s="95"/>
      <c r="B410" s="95"/>
      <c r="C410" s="95"/>
      <c r="D410" s="95"/>
      <c r="E410" s="95"/>
      <c r="F410" s="95"/>
      <c r="G410" s="95"/>
      <c r="H410" s="95"/>
      <c r="I410" s="49"/>
    </row>
    <row r="411" spans="1:9" ht="15" x14ac:dyDescent="0.25">
      <c r="A411" s="95"/>
      <c r="B411" s="95"/>
      <c r="C411" s="95"/>
      <c r="D411" s="95"/>
      <c r="E411" s="95"/>
      <c r="F411" s="95"/>
      <c r="G411" s="95"/>
      <c r="H411" s="95"/>
      <c r="I411" s="49"/>
    </row>
    <row r="412" spans="1:9" ht="15" x14ac:dyDescent="0.25">
      <c r="A412" s="95"/>
      <c r="B412" s="95"/>
      <c r="C412" s="95"/>
      <c r="D412" s="95"/>
      <c r="E412" s="95"/>
      <c r="F412" s="95"/>
      <c r="G412" s="95"/>
      <c r="H412" s="95"/>
      <c r="I412" s="49"/>
    </row>
    <row r="413" spans="1:9" ht="15" x14ac:dyDescent="0.25">
      <c r="A413" s="95"/>
      <c r="B413" s="95"/>
      <c r="C413" s="95"/>
      <c r="D413" s="95"/>
      <c r="E413" s="95"/>
      <c r="F413" s="95"/>
      <c r="G413" s="95"/>
      <c r="H413" s="95"/>
      <c r="I413" s="49"/>
    </row>
    <row r="414" spans="1:9" ht="15" x14ac:dyDescent="0.25">
      <c r="A414" s="95"/>
      <c r="B414" s="95"/>
      <c r="C414" s="95"/>
      <c r="D414" s="95"/>
      <c r="E414" s="95"/>
      <c r="F414" s="95"/>
      <c r="G414" s="95"/>
      <c r="H414" s="95"/>
      <c r="I414" s="49"/>
    </row>
    <row r="415" spans="1:9" ht="15" x14ac:dyDescent="0.25">
      <c r="A415" s="95"/>
      <c r="B415" s="95"/>
      <c r="C415" s="95"/>
      <c r="D415" s="95"/>
      <c r="E415" s="95"/>
      <c r="F415" s="95"/>
      <c r="G415" s="95"/>
      <c r="H415" s="95"/>
      <c r="I415" s="49"/>
    </row>
    <row r="416" spans="1:9" ht="15" x14ac:dyDescent="0.25">
      <c r="A416" s="95"/>
      <c r="B416" s="95"/>
      <c r="C416" s="95"/>
      <c r="D416" s="95"/>
      <c r="E416" s="95"/>
      <c r="F416" s="95"/>
      <c r="G416" s="95"/>
      <c r="H416" s="95"/>
      <c r="I416" s="49"/>
    </row>
    <row r="417" spans="1:9" ht="15" x14ac:dyDescent="0.25">
      <c r="A417" s="95"/>
      <c r="B417" s="95"/>
      <c r="C417" s="95"/>
      <c r="D417" s="95"/>
      <c r="E417" s="95"/>
      <c r="F417" s="95"/>
      <c r="G417" s="95"/>
      <c r="H417" s="95"/>
      <c r="I417" s="49"/>
    </row>
    <row r="418" spans="1:9" ht="15" x14ac:dyDescent="0.25">
      <c r="A418" s="95"/>
      <c r="B418" s="95"/>
      <c r="C418" s="95"/>
      <c r="D418" s="95"/>
      <c r="E418" s="95"/>
      <c r="F418" s="95"/>
      <c r="G418" s="95"/>
      <c r="H418" s="95"/>
      <c r="I418" s="49"/>
    </row>
    <row r="419" spans="1:9" ht="15" x14ac:dyDescent="0.25">
      <c r="A419" s="95"/>
      <c r="B419" s="95"/>
      <c r="C419" s="95"/>
      <c r="D419" s="95"/>
      <c r="E419" s="95"/>
      <c r="F419" s="95"/>
      <c r="G419" s="95"/>
      <c r="H419" s="95"/>
      <c r="I419" s="49"/>
    </row>
    <row r="420" spans="1:9" ht="15" x14ac:dyDescent="0.25">
      <c r="A420" s="95"/>
      <c r="B420" s="95"/>
      <c r="C420" s="95"/>
      <c r="D420" s="95"/>
      <c r="E420" s="95"/>
      <c r="F420" s="95"/>
      <c r="G420" s="95"/>
      <c r="H420" s="95"/>
      <c r="I420" s="49"/>
    </row>
    <row r="421" spans="1:9" ht="15" x14ac:dyDescent="0.25">
      <c r="A421" s="95"/>
      <c r="B421" s="95"/>
      <c r="C421" s="95"/>
      <c r="D421" s="95"/>
      <c r="E421" s="95"/>
      <c r="F421" s="95"/>
      <c r="G421" s="95"/>
      <c r="H421" s="95"/>
      <c r="I421" s="49"/>
    </row>
    <row r="422" spans="1:9" ht="15" x14ac:dyDescent="0.25">
      <c r="A422" s="95"/>
      <c r="B422" s="95"/>
      <c r="C422" s="95"/>
      <c r="D422" s="95"/>
      <c r="E422" s="95"/>
      <c r="F422" s="95"/>
      <c r="G422" s="95"/>
      <c r="H422" s="95"/>
      <c r="I422" s="49"/>
    </row>
    <row r="423" spans="1:9" ht="15" x14ac:dyDescent="0.25">
      <c r="A423" s="95"/>
      <c r="B423" s="95"/>
      <c r="C423" s="95"/>
      <c r="D423" s="95"/>
      <c r="E423" s="95"/>
      <c r="F423" s="95"/>
      <c r="G423" s="95"/>
      <c r="H423" s="95"/>
      <c r="I423" s="49"/>
    </row>
    <row r="424" spans="1:9" ht="15" x14ac:dyDescent="0.25">
      <c r="A424" s="95"/>
      <c r="B424" s="95"/>
      <c r="C424" s="95"/>
      <c r="D424" s="95"/>
      <c r="E424" s="95"/>
      <c r="F424" s="95"/>
      <c r="G424" s="95"/>
      <c r="H424" s="95"/>
      <c r="I424" s="49"/>
    </row>
    <row r="425" spans="1:9" ht="15" x14ac:dyDescent="0.25">
      <c r="A425" s="95"/>
      <c r="B425" s="95"/>
      <c r="C425" s="95"/>
      <c r="D425" s="95"/>
      <c r="E425" s="95"/>
      <c r="F425" s="95"/>
      <c r="G425" s="95"/>
      <c r="H425" s="95"/>
      <c r="I425" s="49"/>
    </row>
    <row r="426" spans="1:9" ht="15" x14ac:dyDescent="0.25">
      <c r="A426" s="95"/>
      <c r="B426" s="95"/>
      <c r="C426" s="95"/>
      <c r="D426" s="95"/>
      <c r="E426" s="95"/>
      <c r="F426" s="95"/>
      <c r="G426" s="95"/>
      <c r="H426" s="95"/>
      <c r="I426" s="49"/>
    </row>
    <row r="427" spans="1:9" ht="15" x14ac:dyDescent="0.25">
      <c r="A427" s="95"/>
      <c r="B427" s="95"/>
      <c r="C427" s="95"/>
      <c r="D427" s="95"/>
      <c r="E427" s="95"/>
      <c r="F427" s="95"/>
      <c r="G427" s="95"/>
      <c r="H427" s="95"/>
      <c r="I427" s="49"/>
    </row>
    <row r="428" spans="1:9" ht="15" x14ac:dyDescent="0.25">
      <c r="A428" s="95"/>
      <c r="B428" s="95"/>
      <c r="C428" s="95"/>
      <c r="D428" s="95"/>
      <c r="E428" s="95"/>
      <c r="F428" s="95"/>
      <c r="G428" s="95"/>
      <c r="H428" s="95"/>
      <c r="I428" s="49"/>
    </row>
    <row r="429" spans="1:9" ht="15" x14ac:dyDescent="0.25">
      <c r="A429" s="95"/>
      <c r="B429" s="95"/>
      <c r="C429" s="95"/>
      <c r="D429" s="95"/>
      <c r="E429" s="95"/>
      <c r="F429" s="95"/>
      <c r="G429" s="95"/>
      <c r="H429" s="95"/>
      <c r="I429" s="49"/>
    </row>
    <row r="430" spans="1:9" ht="15" x14ac:dyDescent="0.25">
      <c r="A430" s="95"/>
      <c r="B430" s="95"/>
      <c r="C430" s="95"/>
      <c r="D430" s="95"/>
      <c r="E430" s="95"/>
      <c r="F430" s="95"/>
      <c r="G430" s="95"/>
      <c r="H430" s="95"/>
      <c r="I430" s="49"/>
    </row>
    <row r="431" spans="1:9" ht="15" x14ac:dyDescent="0.25">
      <c r="A431" s="95"/>
      <c r="B431" s="95"/>
      <c r="C431" s="95"/>
      <c r="D431" s="95"/>
      <c r="E431" s="95"/>
      <c r="F431" s="95"/>
      <c r="G431" s="95"/>
      <c r="H431" s="95"/>
      <c r="I431" s="49"/>
    </row>
    <row r="432" spans="1:9" ht="15" x14ac:dyDescent="0.25">
      <c r="A432" s="95"/>
      <c r="B432" s="95"/>
      <c r="C432" s="95"/>
      <c r="D432" s="95"/>
      <c r="E432" s="95"/>
      <c r="F432" s="95"/>
      <c r="G432" s="95"/>
      <c r="H432" s="95"/>
      <c r="I432" s="49"/>
    </row>
    <row r="433" spans="1:9" ht="15" x14ac:dyDescent="0.25">
      <c r="A433" s="95"/>
      <c r="B433" s="95"/>
      <c r="C433" s="95"/>
      <c r="D433" s="95"/>
      <c r="E433" s="95"/>
      <c r="F433" s="95"/>
      <c r="G433" s="95"/>
      <c r="H433" s="95"/>
      <c r="I433" s="49"/>
    </row>
    <row r="434" spans="1:9" ht="15" x14ac:dyDescent="0.25">
      <c r="A434" s="95"/>
      <c r="B434" s="95"/>
      <c r="C434" s="95"/>
      <c r="D434" s="95"/>
      <c r="E434" s="95"/>
      <c r="F434" s="95"/>
      <c r="G434" s="95"/>
      <c r="H434" s="95"/>
      <c r="I434" s="49"/>
    </row>
    <row r="435" spans="1:9" ht="15" x14ac:dyDescent="0.25">
      <c r="A435" s="95"/>
      <c r="B435" s="95"/>
      <c r="C435" s="95"/>
      <c r="D435" s="95"/>
      <c r="E435" s="95"/>
      <c r="F435" s="95"/>
      <c r="G435" s="95"/>
      <c r="H435" s="95"/>
      <c r="I435" s="49"/>
    </row>
    <row r="436" spans="1:9" ht="15" x14ac:dyDescent="0.25">
      <c r="A436" s="95"/>
      <c r="B436" s="95"/>
      <c r="C436" s="95"/>
      <c r="D436" s="95"/>
      <c r="E436" s="95"/>
      <c r="F436" s="95"/>
      <c r="G436" s="95"/>
      <c r="H436" s="95"/>
      <c r="I436" s="49"/>
    </row>
    <row r="437" spans="1:9" ht="15" x14ac:dyDescent="0.25">
      <c r="A437" s="95"/>
      <c r="B437" s="95"/>
      <c r="C437" s="95"/>
      <c r="D437" s="95"/>
      <c r="E437" s="95"/>
      <c r="F437" s="95"/>
      <c r="G437" s="95"/>
      <c r="H437" s="95"/>
      <c r="I437" s="49"/>
    </row>
    <row r="438" spans="1:9" ht="15" x14ac:dyDescent="0.25">
      <c r="A438" s="95"/>
      <c r="B438" s="95"/>
      <c r="C438" s="95"/>
      <c r="D438" s="95"/>
      <c r="E438" s="95"/>
      <c r="F438" s="95"/>
      <c r="G438" s="95"/>
      <c r="H438" s="95"/>
      <c r="I438" s="49"/>
    </row>
    <row r="439" spans="1:9" ht="15" x14ac:dyDescent="0.25">
      <c r="A439" s="95"/>
      <c r="B439" s="95"/>
      <c r="C439" s="95"/>
      <c r="D439" s="95"/>
      <c r="E439" s="95"/>
      <c r="F439" s="95"/>
      <c r="G439" s="95"/>
      <c r="H439" s="95"/>
      <c r="I439" s="49"/>
    </row>
    <row r="440" spans="1:9" ht="15" x14ac:dyDescent="0.25">
      <c r="A440" s="95"/>
      <c r="B440" s="95"/>
      <c r="C440" s="95"/>
      <c r="D440" s="95"/>
      <c r="E440" s="95"/>
      <c r="F440" s="95"/>
      <c r="G440" s="95"/>
      <c r="H440" s="95"/>
      <c r="I440" s="49"/>
    </row>
    <row r="441" spans="1:9" ht="15" x14ac:dyDescent="0.25">
      <c r="A441" s="95"/>
      <c r="B441" s="95"/>
      <c r="C441" s="95"/>
      <c r="D441" s="95"/>
      <c r="E441" s="95"/>
      <c r="F441" s="95"/>
      <c r="G441" s="95"/>
      <c r="H441" s="95"/>
      <c r="I441" s="49"/>
    </row>
    <row r="442" spans="1:9" ht="15" x14ac:dyDescent="0.25">
      <c r="A442" s="95"/>
      <c r="B442" s="95"/>
      <c r="C442" s="95"/>
      <c r="D442" s="95"/>
      <c r="E442" s="95"/>
      <c r="F442" s="95"/>
      <c r="G442" s="95"/>
      <c r="H442" s="95"/>
      <c r="I442" s="49"/>
    </row>
    <row r="443" spans="1:9" ht="15" x14ac:dyDescent="0.25">
      <c r="A443" s="95"/>
      <c r="B443" s="95"/>
      <c r="C443" s="95"/>
      <c r="D443" s="95"/>
      <c r="E443" s="95"/>
      <c r="F443" s="95"/>
      <c r="G443" s="95"/>
      <c r="H443" s="95"/>
      <c r="I443" s="49"/>
    </row>
    <row r="444" spans="1:9" ht="15" x14ac:dyDescent="0.25">
      <c r="A444" s="95"/>
      <c r="B444" s="95"/>
      <c r="C444" s="95"/>
      <c r="D444" s="95"/>
      <c r="E444" s="95"/>
      <c r="F444" s="95"/>
      <c r="G444" s="95"/>
      <c r="H444" s="95"/>
      <c r="I444" s="49"/>
    </row>
    <row r="445" spans="1:9" ht="15" x14ac:dyDescent="0.25">
      <c r="A445" s="95"/>
      <c r="B445" s="95"/>
      <c r="C445" s="95"/>
      <c r="D445" s="95"/>
      <c r="E445" s="95"/>
      <c r="F445" s="95"/>
      <c r="G445" s="95"/>
      <c r="H445" s="95"/>
      <c r="I445" s="49"/>
    </row>
    <row r="446" spans="1:9" ht="15" x14ac:dyDescent="0.25">
      <c r="A446" s="95"/>
      <c r="B446" s="95"/>
      <c r="C446" s="95"/>
      <c r="D446" s="95"/>
      <c r="E446" s="95"/>
      <c r="F446" s="95"/>
      <c r="G446" s="95"/>
      <c r="H446" s="95"/>
      <c r="I446" s="49"/>
    </row>
    <row r="447" spans="1:9" ht="15" x14ac:dyDescent="0.25">
      <c r="A447" s="95"/>
      <c r="B447" s="95"/>
      <c r="C447" s="95"/>
      <c r="D447" s="95"/>
      <c r="E447" s="95"/>
      <c r="F447" s="95"/>
      <c r="G447" s="95"/>
      <c r="H447" s="95"/>
      <c r="I447" s="49"/>
    </row>
    <row r="448" spans="1:9" ht="15" x14ac:dyDescent="0.25">
      <c r="A448" s="95"/>
      <c r="B448" s="95"/>
      <c r="C448" s="95"/>
      <c r="D448" s="95"/>
      <c r="E448" s="95"/>
      <c r="F448" s="95"/>
      <c r="G448" s="95"/>
      <c r="H448" s="95"/>
      <c r="I448" s="49"/>
    </row>
    <row r="449" spans="1:9" ht="15" x14ac:dyDescent="0.25">
      <c r="A449" s="95"/>
      <c r="B449" s="95"/>
      <c r="C449" s="95"/>
      <c r="D449" s="95"/>
      <c r="E449" s="95"/>
      <c r="F449" s="95"/>
      <c r="G449" s="95"/>
      <c r="H449" s="95"/>
      <c r="I449" s="49"/>
    </row>
    <row r="450" spans="1:9" ht="15" x14ac:dyDescent="0.25">
      <c r="A450" s="95"/>
      <c r="B450" s="95"/>
      <c r="C450" s="95"/>
      <c r="D450" s="95"/>
      <c r="E450" s="95"/>
      <c r="F450" s="95"/>
      <c r="G450" s="95"/>
      <c r="H450" s="95"/>
      <c r="I450" s="49"/>
    </row>
    <row r="451" spans="1:9" ht="15" x14ac:dyDescent="0.25">
      <c r="A451" s="95"/>
      <c r="B451" s="95"/>
      <c r="C451" s="95"/>
      <c r="D451" s="95"/>
      <c r="E451" s="95"/>
      <c r="F451" s="95"/>
      <c r="G451" s="95"/>
      <c r="H451" s="95"/>
      <c r="I451" s="49"/>
    </row>
    <row r="452" spans="1:9" ht="15" x14ac:dyDescent="0.25">
      <c r="A452" s="95"/>
      <c r="B452" s="95"/>
      <c r="C452" s="95"/>
      <c r="D452" s="95"/>
      <c r="E452" s="95"/>
      <c r="F452" s="95"/>
      <c r="G452" s="95"/>
      <c r="H452" s="95"/>
      <c r="I452" s="49"/>
    </row>
    <row r="453" spans="1:9" ht="15" x14ac:dyDescent="0.25">
      <c r="A453" s="95"/>
      <c r="B453" s="95"/>
      <c r="C453" s="95"/>
      <c r="D453" s="95"/>
      <c r="E453" s="95"/>
      <c r="F453" s="95"/>
      <c r="G453" s="95"/>
      <c r="H453" s="95"/>
      <c r="I453" s="49"/>
    </row>
    <row r="454" spans="1:9" ht="15" x14ac:dyDescent="0.25">
      <c r="A454" s="95"/>
      <c r="B454" s="95"/>
      <c r="C454" s="95"/>
      <c r="D454" s="95"/>
      <c r="E454" s="95"/>
      <c r="F454" s="95"/>
      <c r="G454" s="95"/>
      <c r="H454" s="95"/>
      <c r="I454" s="49"/>
    </row>
    <row r="455" spans="1:9" ht="15" x14ac:dyDescent="0.25">
      <c r="A455" s="95"/>
      <c r="B455" s="95"/>
      <c r="C455" s="95"/>
      <c r="D455" s="95"/>
      <c r="E455" s="95"/>
      <c r="F455" s="95"/>
      <c r="G455" s="95"/>
      <c r="H455" s="95"/>
      <c r="I455" s="49"/>
    </row>
    <row r="456" spans="1:9" ht="15" x14ac:dyDescent="0.25">
      <c r="A456" s="95"/>
      <c r="B456" s="95"/>
      <c r="C456" s="95"/>
      <c r="D456" s="95"/>
      <c r="E456" s="95"/>
      <c r="F456" s="95"/>
      <c r="G456" s="95"/>
      <c r="H456" s="95"/>
      <c r="I456" s="49"/>
    </row>
    <row r="457" spans="1:9" ht="15" x14ac:dyDescent="0.25">
      <c r="A457" s="95"/>
      <c r="B457" s="95"/>
      <c r="C457" s="95"/>
      <c r="D457" s="95"/>
      <c r="E457" s="95"/>
      <c r="F457" s="95"/>
      <c r="G457" s="95"/>
      <c r="H457" s="95"/>
      <c r="I457" s="49"/>
    </row>
    <row r="458" spans="1:9" ht="15" x14ac:dyDescent="0.25">
      <c r="A458" s="95"/>
      <c r="B458" s="95"/>
      <c r="C458" s="95"/>
      <c r="D458" s="95"/>
      <c r="E458" s="95"/>
      <c r="F458" s="95"/>
      <c r="G458" s="95"/>
      <c r="H458" s="95"/>
      <c r="I458" s="49"/>
    </row>
    <row r="459" spans="1:9" ht="15" x14ac:dyDescent="0.25">
      <c r="A459" s="95"/>
      <c r="B459" s="95"/>
      <c r="C459" s="95"/>
      <c r="D459" s="95"/>
      <c r="E459" s="95"/>
      <c r="F459" s="95"/>
      <c r="G459" s="95"/>
      <c r="H459" s="95"/>
      <c r="I459" s="49"/>
    </row>
    <row r="460" spans="1:9" ht="15" x14ac:dyDescent="0.25">
      <c r="A460" s="95"/>
      <c r="B460" s="95"/>
      <c r="C460" s="95"/>
      <c r="D460" s="95"/>
      <c r="E460" s="95"/>
      <c r="F460" s="95"/>
      <c r="G460" s="95"/>
      <c r="H460" s="95"/>
      <c r="I460" s="49"/>
    </row>
    <row r="461" spans="1:9" ht="15" x14ac:dyDescent="0.25">
      <c r="A461" s="95"/>
      <c r="B461" s="95"/>
      <c r="C461" s="95"/>
      <c r="D461" s="95"/>
      <c r="E461" s="95"/>
      <c r="F461" s="95"/>
      <c r="G461" s="95"/>
      <c r="H461" s="95"/>
      <c r="I461" s="49"/>
    </row>
    <row r="462" spans="1:9" ht="15" x14ac:dyDescent="0.25">
      <c r="A462" s="95"/>
      <c r="B462" s="95"/>
      <c r="C462" s="95"/>
      <c r="D462" s="95"/>
      <c r="E462" s="95"/>
      <c r="F462" s="95"/>
      <c r="G462" s="95"/>
      <c r="H462" s="95"/>
      <c r="I462" s="49"/>
    </row>
    <row r="463" spans="1:9" ht="15" x14ac:dyDescent="0.25">
      <c r="A463" s="95"/>
      <c r="B463" s="95"/>
      <c r="C463" s="95"/>
      <c r="D463" s="95"/>
      <c r="E463" s="95"/>
      <c r="F463" s="95"/>
      <c r="G463" s="95"/>
      <c r="H463" s="95"/>
      <c r="I463" s="49"/>
    </row>
    <row r="464" spans="1:9" ht="15" x14ac:dyDescent="0.25">
      <c r="A464" s="95"/>
      <c r="B464" s="95"/>
      <c r="C464" s="95"/>
      <c r="D464" s="95"/>
      <c r="E464" s="95"/>
      <c r="F464" s="95"/>
      <c r="G464" s="95"/>
      <c r="H464" s="95"/>
      <c r="I464" s="49"/>
    </row>
    <row r="465" spans="1:9" ht="15" x14ac:dyDescent="0.25">
      <c r="A465" s="95"/>
      <c r="B465" s="95"/>
      <c r="C465" s="95"/>
      <c r="D465" s="95"/>
      <c r="E465" s="95"/>
      <c r="F465" s="95"/>
      <c r="G465" s="95"/>
      <c r="H465" s="95"/>
      <c r="I465" s="49"/>
    </row>
    <row r="466" spans="1:9" ht="15" x14ac:dyDescent="0.25">
      <c r="A466" s="95"/>
      <c r="B466" s="95"/>
      <c r="C466" s="95"/>
      <c r="D466" s="95"/>
      <c r="E466" s="95"/>
      <c r="F466" s="95"/>
      <c r="G466" s="95"/>
      <c r="H466" s="95"/>
      <c r="I466" s="49"/>
    </row>
    <row r="467" spans="1:9" ht="15" x14ac:dyDescent="0.25">
      <c r="A467" s="95"/>
      <c r="B467" s="95"/>
      <c r="C467" s="95"/>
      <c r="D467" s="95"/>
      <c r="E467" s="95"/>
      <c r="F467" s="95"/>
      <c r="G467" s="95"/>
      <c r="H467" s="95"/>
      <c r="I467" s="49"/>
    </row>
    <row r="468" spans="1:9" ht="15" x14ac:dyDescent="0.25">
      <c r="A468" s="95"/>
      <c r="B468" s="95"/>
      <c r="C468" s="95"/>
      <c r="D468" s="95"/>
      <c r="E468" s="95"/>
      <c r="F468" s="95"/>
      <c r="G468" s="95"/>
      <c r="H468" s="95"/>
      <c r="I468" s="49"/>
    </row>
    <row r="469" spans="1:9" ht="15" x14ac:dyDescent="0.25">
      <c r="A469" s="95"/>
      <c r="B469" s="95"/>
      <c r="C469" s="95"/>
      <c r="D469" s="95"/>
      <c r="E469" s="95"/>
      <c r="F469" s="95"/>
      <c r="G469" s="95"/>
      <c r="H469" s="95"/>
      <c r="I469" s="49"/>
    </row>
    <row r="470" spans="1:9" ht="15" x14ac:dyDescent="0.25">
      <c r="A470" s="95"/>
      <c r="B470" s="95"/>
      <c r="C470" s="95"/>
      <c r="D470" s="95"/>
      <c r="E470" s="95"/>
      <c r="F470" s="95"/>
      <c r="G470" s="95"/>
      <c r="H470" s="95"/>
      <c r="I470" s="49"/>
    </row>
    <row r="471" spans="1:9" ht="15" x14ac:dyDescent="0.25">
      <c r="A471" s="95"/>
      <c r="B471" s="95"/>
      <c r="C471" s="95"/>
      <c r="D471" s="95"/>
      <c r="E471" s="95"/>
      <c r="F471" s="95"/>
      <c r="G471" s="95"/>
      <c r="H471" s="95"/>
      <c r="I471" s="49"/>
    </row>
    <row r="472" spans="1:9" ht="15" x14ac:dyDescent="0.25">
      <c r="A472" s="95"/>
      <c r="B472" s="95"/>
      <c r="C472" s="95"/>
      <c r="D472" s="95"/>
      <c r="E472" s="95"/>
      <c r="F472" s="95"/>
      <c r="G472" s="95"/>
      <c r="H472" s="95"/>
      <c r="I472" s="49"/>
    </row>
    <row r="473" spans="1:9" ht="15" x14ac:dyDescent="0.25">
      <c r="A473" s="95"/>
      <c r="B473" s="95"/>
      <c r="C473" s="95"/>
      <c r="D473" s="95"/>
      <c r="E473" s="95"/>
      <c r="F473" s="95"/>
      <c r="G473" s="95"/>
      <c r="H473" s="95"/>
      <c r="I473" s="49"/>
    </row>
    <row r="474" spans="1:9" ht="15" x14ac:dyDescent="0.25">
      <c r="A474" s="95"/>
      <c r="B474" s="95"/>
      <c r="C474" s="95"/>
      <c r="D474" s="95"/>
      <c r="E474" s="95"/>
      <c r="F474" s="95"/>
      <c r="G474" s="95"/>
      <c r="H474" s="95"/>
      <c r="I474" s="49"/>
    </row>
    <row r="475" spans="1:9" ht="15" x14ac:dyDescent="0.25">
      <c r="A475" s="95"/>
      <c r="B475" s="95"/>
      <c r="C475" s="95"/>
      <c r="D475" s="95"/>
      <c r="E475" s="95"/>
      <c r="F475" s="95"/>
      <c r="G475" s="95"/>
      <c r="H475" s="95"/>
      <c r="I475" s="49"/>
    </row>
    <row r="476" spans="1:9" ht="15" x14ac:dyDescent="0.25">
      <c r="A476" s="95"/>
      <c r="B476" s="95"/>
      <c r="C476" s="95"/>
      <c r="D476" s="95"/>
      <c r="E476" s="95"/>
      <c r="F476" s="95"/>
      <c r="G476" s="95"/>
      <c r="H476" s="95"/>
      <c r="I476" s="49"/>
    </row>
    <row r="477" spans="1:9" ht="15" x14ac:dyDescent="0.25">
      <c r="A477" s="95"/>
      <c r="B477" s="95"/>
      <c r="C477" s="95"/>
      <c r="D477" s="95"/>
      <c r="E477" s="95"/>
      <c r="F477" s="95"/>
      <c r="G477" s="95"/>
      <c r="H477" s="95"/>
      <c r="I477" s="49"/>
    </row>
    <row r="478" spans="1:9" ht="15" x14ac:dyDescent="0.25">
      <c r="A478" s="95"/>
      <c r="B478" s="95"/>
      <c r="C478" s="95"/>
      <c r="D478" s="95"/>
      <c r="E478" s="95"/>
      <c r="F478" s="95"/>
      <c r="G478" s="95"/>
      <c r="H478" s="95"/>
      <c r="I478" s="49"/>
    </row>
    <row r="479" spans="1:9" ht="15" x14ac:dyDescent="0.25">
      <c r="A479" s="95"/>
      <c r="B479" s="95"/>
      <c r="C479" s="95"/>
      <c r="D479" s="95"/>
      <c r="E479" s="95"/>
      <c r="F479" s="95"/>
      <c r="G479" s="95"/>
      <c r="H479" s="95"/>
      <c r="I479" s="49"/>
    </row>
    <row r="480" spans="1:9" ht="15" x14ac:dyDescent="0.25">
      <c r="A480" s="95"/>
      <c r="B480" s="95"/>
      <c r="C480" s="95"/>
      <c r="D480" s="95"/>
      <c r="E480" s="95"/>
      <c r="F480" s="95"/>
      <c r="G480" s="95"/>
      <c r="H480" s="95"/>
      <c r="I480" s="49"/>
    </row>
    <row r="481" spans="1:9" ht="15" x14ac:dyDescent="0.25">
      <c r="A481" s="95"/>
      <c r="B481" s="95"/>
      <c r="C481" s="95"/>
      <c r="D481" s="95"/>
      <c r="E481" s="95"/>
      <c r="F481" s="95"/>
      <c r="G481" s="95"/>
      <c r="H481" s="95"/>
      <c r="I481" s="49"/>
    </row>
    <row r="482" spans="1:9" ht="15" x14ac:dyDescent="0.25">
      <c r="A482" s="95"/>
      <c r="B482" s="95"/>
      <c r="C482" s="95"/>
      <c r="D482" s="95"/>
      <c r="E482" s="95"/>
      <c r="F482" s="95"/>
      <c r="G482" s="95"/>
      <c r="H482" s="95"/>
      <c r="I482" s="49"/>
    </row>
    <row r="483" spans="1:9" ht="15" x14ac:dyDescent="0.25">
      <c r="A483" s="95"/>
      <c r="B483" s="95"/>
      <c r="C483" s="95"/>
      <c r="D483" s="95"/>
      <c r="E483" s="95"/>
      <c r="F483" s="95"/>
      <c r="G483" s="95"/>
      <c r="H483" s="95"/>
      <c r="I483" s="49"/>
    </row>
    <row r="484" spans="1:9" ht="15" x14ac:dyDescent="0.25">
      <c r="A484" s="95"/>
      <c r="B484" s="95"/>
      <c r="C484" s="95"/>
      <c r="D484" s="95"/>
      <c r="E484" s="95"/>
      <c r="F484" s="95"/>
      <c r="G484" s="95"/>
      <c r="H484" s="95"/>
      <c r="I484" s="49"/>
    </row>
    <row r="485" spans="1:9" ht="15" x14ac:dyDescent="0.25">
      <c r="A485" s="95"/>
      <c r="B485" s="95"/>
      <c r="C485" s="95"/>
      <c r="D485" s="95"/>
      <c r="E485" s="95"/>
      <c r="F485" s="95"/>
      <c r="G485" s="95"/>
      <c r="H485" s="95"/>
      <c r="I485" s="49"/>
    </row>
    <row r="486" spans="1:9" ht="15" x14ac:dyDescent="0.25">
      <c r="A486" s="95"/>
      <c r="B486" s="95"/>
      <c r="C486" s="95"/>
      <c r="D486" s="95"/>
      <c r="E486" s="95"/>
      <c r="F486" s="95"/>
      <c r="G486" s="95"/>
      <c r="H486" s="95"/>
      <c r="I486" s="49"/>
    </row>
    <row r="487" spans="1:9" ht="15" x14ac:dyDescent="0.25">
      <c r="A487" s="95"/>
      <c r="B487" s="95"/>
      <c r="C487" s="95"/>
      <c r="D487" s="95"/>
      <c r="E487" s="95"/>
      <c r="F487" s="95"/>
      <c r="G487" s="95"/>
      <c r="H487" s="95"/>
      <c r="I487" s="49"/>
    </row>
    <row r="488" spans="1:9" ht="15" x14ac:dyDescent="0.25">
      <c r="A488" s="95"/>
      <c r="B488" s="95"/>
      <c r="C488" s="95"/>
      <c r="D488" s="95"/>
      <c r="E488" s="95"/>
      <c r="F488" s="95"/>
      <c r="G488" s="95"/>
      <c r="H488" s="95"/>
      <c r="I488" s="49"/>
    </row>
    <row r="489" spans="1:9" ht="15" x14ac:dyDescent="0.25">
      <c r="A489" s="95"/>
      <c r="B489" s="95"/>
      <c r="C489" s="95"/>
      <c r="D489" s="95"/>
      <c r="E489" s="95"/>
      <c r="F489" s="95"/>
      <c r="G489" s="95"/>
      <c r="H489" s="95"/>
      <c r="I489" s="49"/>
    </row>
    <row r="490" spans="1:9" ht="15" x14ac:dyDescent="0.25">
      <c r="A490" s="95"/>
      <c r="B490" s="95"/>
      <c r="C490" s="95"/>
      <c r="D490" s="95"/>
      <c r="E490" s="95"/>
      <c r="F490" s="95"/>
      <c r="G490" s="95"/>
      <c r="H490" s="95"/>
      <c r="I490" s="49"/>
    </row>
    <row r="491" spans="1:9" ht="15" x14ac:dyDescent="0.25">
      <c r="A491" s="95"/>
      <c r="B491" s="95"/>
      <c r="C491" s="95"/>
      <c r="D491" s="95"/>
      <c r="E491" s="95"/>
      <c r="F491" s="95"/>
      <c r="G491" s="95"/>
      <c r="H491" s="95"/>
      <c r="I491" s="49"/>
    </row>
    <row r="492" spans="1:9" ht="15" x14ac:dyDescent="0.25">
      <c r="A492" s="95"/>
      <c r="B492" s="95"/>
      <c r="C492" s="95"/>
      <c r="D492" s="95"/>
      <c r="E492" s="95"/>
      <c r="F492" s="95"/>
      <c r="G492" s="95"/>
      <c r="H492" s="95"/>
      <c r="I492" s="49"/>
    </row>
    <row r="493" spans="1:9" ht="15" x14ac:dyDescent="0.25">
      <c r="A493" s="95"/>
      <c r="B493" s="95"/>
      <c r="C493" s="95"/>
      <c r="D493" s="95"/>
      <c r="E493" s="95"/>
      <c r="F493" s="95"/>
      <c r="G493" s="95"/>
      <c r="H493" s="95"/>
      <c r="I493" s="49"/>
    </row>
    <row r="494" spans="1:9" ht="15" x14ac:dyDescent="0.25">
      <c r="A494" s="95"/>
      <c r="B494" s="95"/>
      <c r="C494" s="95"/>
      <c r="D494" s="95"/>
      <c r="E494" s="95"/>
      <c r="F494" s="95"/>
      <c r="G494" s="95"/>
      <c r="H494" s="95"/>
      <c r="I494" s="49"/>
    </row>
    <row r="495" spans="1:9" ht="15" x14ac:dyDescent="0.25">
      <c r="A495" s="95"/>
      <c r="B495" s="95"/>
      <c r="C495" s="95"/>
      <c r="D495" s="95"/>
      <c r="E495" s="95"/>
      <c r="F495" s="95"/>
      <c r="G495" s="95"/>
      <c r="H495" s="95"/>
      <c r="I495" s="49"/>
    </row>
    <row r="496" spans="1:9" ht="15" x14ac:dyDescent="0.25">
      <c r="A496" s="95"/>
      <c r="B496" s="95"/>
      <c r="C496" s="95"/>
      <c r="D496" s="95"/>
      <c r="E496" s="95"/>
      <c r="F496" s="95"/>
      <c r="G496" s="95"/>
      <c r="H496" s="95"/>
      <c r="I496" s="49"/>
    </row>
    <row r="497" spans="1:9" ht="15" x14ac:dyDescent="0.25">
      <c r="A497" s="95"/>
      <c r="B497" s="95"/>
      <c r="C497" s="95"/>
      <c r="D497" s="95"/>
      <c r="E497" s="95"/>
      <c r="F497" s="95"/>
      <c r="G497" s="95"/>
      <c r="H497" s="95"/>
      <c r="I497" s="49"/>
    </row>
    <row r="498" spans="1:9" ht="15" x14ac:dyDescent="0.25">
      <c r="A498" s="95"/>
      <c r="B498" s="95"/>
      <c r="C498" s="95"/>
      <c r="D498" s="95"/>
      <c r="E498" s="95"/>
      <c r="F498" s="95"/>
      <c r="G498" s="95"/>
      <c r="H498" s="95"/>
      <c r="I498" s="49"/>
    </row>
    <row r="499" spans="1:9" ht="15" x14ac:dyDescent="0.25">
      <c r="A499" s="95"/>
      <c r="B499" s="95"/>
      <c r="C499" s="95"/>
      <c r="D499" s="95"/>
      <c r="E499" s="95"/>
      <c r="F499" s="95"/>
      <c r="G499" s="95"/>
      <c r="H499" s="95"/>
      <c r="I499" s="49"/>
    </row>
    <row r="500" spans="1:9" ht="15" x14ac:dyDescent="0.25">
      <c r="A500" s="95"/>
      <c r="B500" s="95"/>
      <c r="C500" s="95"/>
      <c r="D500" s="95"/>
      <c r="E500" s="95"/>
      <c r="F500" s="95"/>
      <c r="G500" s="95"/>
      <c r="H500" s="95"/>
      <c r="I500" s="49"/>
    </row>
    <row r="501" spans="1:9" ht="15" x14ac:dyDescent="0.25">
      <c r="A501" s="95"/>
      <c r="B501" s="95"/>
      <c r="C501" s="95"/>
      <c r="D501" s="95"/>
      <c r="E501" s="95"/>
      <c r="F501" s="95"/>
      <c r="G501" s="95"/>
      <c r="H501" s="95"/>
      <c r="I501" s="49"/>
    </row>
    <row r="502" spans="1:9" ht="15" x14ac:dyDescent="0.25">
      <c r="A502" s="95"/>
      <c r="B502" s="95"/>
      <c r="C502" s="95"/>
      <c r="D502" s="95"/>
      <c r="E502" s="95"/>
      <c r="F502" s="95"/>
      <c r="G502" s="95"/>
      <c r="H502" s="95"/>
      <c r="I502" s="49"/>
    </row>
    <row r="503" spans="1:9" ht="15" x14ac:dyDescent="0.25">
      <c r="A503" s="95"/>
      <c r="B503" s="95"/>
      <c r="C503" s="95"/>
      <c r="D503" s="95"/>
      <c r="E503" s="95"/>
      <c r="F503" s="95"/>
      <c r="G503" s="95"/>
      <c r="H503" s="95"/>
      <c r="I503" s="49"/>
    </row>
    <row r="504" spans="1:9" ht="15" x14ac:dyDescent="0.25">
      <c r="A504" s="95"/>
      <c r="B504" s="95"/>
      <c r="C504" s="95"/>
      <c r="D504" s="95"/>
      <c r="E504" s="95"/>
      <c r="F504" s="95"/>
      <c r="G504" s="95"/>
      <c r="H504" s="95"/>
      <c r="I504" s="49"/>
    </row>
    <row r="505" spans="1:9" ht="15" x14ac:dyDescent="0.25">
      <c r="A505" s="95"/>
      <c r="B505" s="95"/>
      <c r="C505" s="95"/>
      <c r="D505" s="95"/>
      <c r="E505" s="95"/>
      <c r="F505" s="95"/>
      <c r="G505" s="95"/>
      <c r="H505" s="95"/>
      <c r="I505" s="49"/>
    </row>
    <row r="506" spans="1:9" ht="15" x14ac:dyDescent="0.25">
      <c r="A506" s="95"/>
      <c r="B506" s="95"/>
      <c r="C506" s="95"/>
      <c r="D506" s="95"/>
      <c r="E506" s="95"/>
      <c r="F506" s="95"/>
      <c r="G506" s="95"/>
      <c r="H506" s="95"/>
      <c r="I506" s="49"/>
    </row>
    <row r="507" spans="1:9" ht="15" x14ac:dyDescent="0.25">
      <c r="A507" s="95"/>
      <c r="B507" s="95"/>
      <c r="C507" s="95"/>
      <c r="D507" s="95"/>
      <c r="E507" s="95"/>
      <c r="F507" s="95"/>
      <c r="G507" s="95"/>
      <c r="H507" s="95"/>
      <c r="I507" s="49"/>
    </row>
    <row r="508" spans="1:9" ht="15" x14ac:dyDescent="0.25">
      <c r="A508" s="95"/>
      <c r="B508" s="95"/>
      <c r="C508" s="95"/>
      <c r="D508" s="95"/>
      <c r="E508" s="95"/>
      <c r="F508" s="95"/>
      <c r="G508" s="95"/>
      <c r="H508" s="95"/>
      <c r="I508" s="49"/>
    </row>
    <row r="509" spans="1:9" ht="15" x14ac:dyDescent="0.25">
      <c r="A509" s="95"/>
      <c r="B509" s="95"/>
      <c r="C509" s="95"/>
      <c r="D509" s="95"/>
      <c r="E509" s="95"/>
      <c r="F509" s="95"/>
      <c r="G509" s="95"/>
      <c r="H509" s="95"/>
      <c r="I509" s="49"/>
    </row>
    <row r="510" spans="1:9" ht="15" x14ac:dyDescent="0.25">
      <c r="A510" s="95"/>
      <c r="B510" s="95"/>
      <c r="C510" s="95"/>
      <c r="D510" s="95"/>
      <c r="E510" s="95"/>
      <c r="F510" s="95"/>
      <c r="G510" s="95"/>
      <c r="H510" s="95"/>
      <c r="I510" s="49"/>
    </row>
    <row r="511" spans="1:9" ht="15" x14ac:dyDescent="0.25">
      <c r="A511" s="95"/>
      <c r="B511" s="95"/>
      <c r="C511" s="95"/>
      <c r="D511" s="95"/>
      <c r="E511" s="95"/>
      <c r="F511" s="95"/>
      <c r="G511" s="95"/>
      <c r="H511" s="95"/>
      <c r="I511" s="49"/>
    </row>
    <row r="512" spans="1:9" ht="15" x14ac:dyDescent="0.25">
      <c r="A512" s="95"/>
      <c r="B512" s="95"/>
      <c r="C512" s="95"/>
      <c r="D512" s="95"/>
      <c r="E512" s="95"/>
      <c r="F512" s="95"/>
      <c r="G512" s="95"/>
      <c r="H512" s="95"/>
      <c r="I512" s="49"/>
    </row>
    <row r="513" spans="1:9" ht="15" x14ac:dyDescent="0.25">
      <c r="A513" s="95"/>
      <c r="B513" s="95"/>
      <c r="C513" s="95"/>
      <c r="D513" s="95"/>
      <c r="E513" s="95"/>
      <c r="F513" s="95"/>
      <c r="G513" s="95"/>
      <c r="H513" s="95"/>
      <c r="I513" s="49"/>
    </row>
    <row r="514" spans="1:9" ht="15" x14ac:dyDescent="0.25">
      <c r="A514" s="95"/>
      <c r="B514" s="95"/>
      <c r="C514" s="95"/>
      <c r="D514" s="95"/>
      <c r="E514" s="95"/>
      <c r="F514" s="95"/>
      <c r="G514" s="95"/>
      <c r="H514" s="95"/>
      <c r="I514" s="49"/>
    </row>
    <row r="515" spans="1:9" ht="15" x14ac:dyDescent="0.25">
      <c r="A515" s="95"/>
      <c r="B515" s="95"/>
      <c r="C515" s="95"/>
      <c r="D515" s="95"/>
      <c r="E515" s="95"/>
      <c r="F515" s="95"/>
      <c r="G515" s="95"/>
      <c r="H515" s="95"/>
      <c r="I515" s="49"/>
    </row>
    <row r="516" spans="1:9" ht="15" x14ac:dyDescent="0.25">
      <c r="A516" s="95"/>
      <c r="B516" s="95"/>
      <c r="C516" s="95"/>
      <c r="D516" s="95"/>
      <c r="E516" s="95"/>
      <c r="F516" s="95"/>
      <c r="G516" s="95"/>
      <c r="H516" s="95"/>
      <c r="I516" s="49"/>
    </row>
    <row r="517" spans="1:9" ht="15" x14ac:dyDescent="0.25">
      <c r="A517" s="95"/>
      <c r="B517" s="95"/>
      <c r="C517" s="95"/>
      <c r="D517" s="95"/>
      <c r="E517" s="95"/>
      <c r="F517" s="95"/>
      <c r="G517" s="95"/>
      <c r="H517" s="95"/>
      <c r="I517" s="49"/>
    </row>
    <row r="518" spans="1:9" ht="15" x14ac:dyDescent="0.25">
      <c r="A518" s="95"/>
      <c r="B518" s="95"/>
      <c r="C518" s="95"/>
      <c r="D518" s="95"/>
      <c r="E518" s="95"/>
      <c r="F518" s="95"/>
      <c r="G518" s="95"/>
      <c r="H518" s="95"/>
      <c r="I518" s="49"/>
    </row>
    <row r="519" spans="1:9" ht="15" x14ac:dyDescent="0.25">
      <c r="A519" s="95"/>
      <c r="B519" s="95"/>
      <c r="C519" s="95"/>
      <c r="D519" s="95"/>
      <c r="E519" s="95"/>
      <c r="F519" s="95"/>
      <c r="G519" s="95"/>
      <c r="H519" s="95"/>
      <c r="I519" s="49"/>
    </row>
    <row r="520" spans="1:9" ht="15" x14ac:dyDescent="0.25">
      <c r="A520" s="95"/>
      <c r="B520" s="95"/>
      <c r="C520" s="95"/>
      <c r="D520" s="95"/>
      <c r="E520" s="95"/>
      <c r="F520" s="95"/>
      <c r="G520" s="95"/>
      <c r="H520" s="95"/>
      <c r="I520" s="49"/>
    </row>
    <row r="521" spans="1:9" ht="15" x14ac:dyDescent="0.25">
      <c r="A521" s="95"/>
      <c r="B521" s="95"/>
      <c r="C521" s="95"/>
      <c r="D521" s="95"/>
      <c r="E521" s="95"/>
      <c r="F521" s="95"/>
      <c r="G521" s="95"/>
      <c r="H521" s="95"/>
      <c r="I521" s="49"/>
    </row>
    <row r="522" spans="1:9" ht="15" x14ac:dyDescent="0.25">
      <c r="A522" s="95"/>
      <c r="B522" s="95"/>
      <c r="C522" s="95"/>
      <c r="D522" s="95"/>
      <c r="E522" s="95"/>
      <c r="F522" s="95"/>
      <c r="G522" s="95"/>
      <c r="H522" s="95"/>
      <c r="I522" s="49"/>
    </row>
    <row r="523" spans="1:9" ht="15" x14ac:dyDescent="0.25">
      <c r="A523" s="95"/>
      <c r="B523" s="95"/>
      <c r="C523" s="95"/>
      <c r="D523" s="95"/>
      <c r="E523" s="95"/>
      <c r="F523" s="95"/>
      <c r="G523" s="95"/>
      <c r="H523" s="95"/>
      <c r="I523" s="49"/>
    </row>
    <row r="524" spans="1:9" ht="15" x14ac:dyDescent="0.25">
      <c r="A524" s="95"/>
      <c r="B524" s="95"/>
      <c r="C524" s="95"/>
      <c r="D524" s="95"/>
      <c r="E524" s="95"/>
      <c r="F524" s="95"/>
      <c r="G524" s="95"/>
      <c r="H524" s="95"/>
      <c r="I524" s="49"/>
    </row>
    <row r="525" spans="1:9" ht="15" x14ac:dyDescent="0.25">
      <c r="A525" s="95"/>
      <c r="B525" s="95"/>
      <c r="C525" s="95"/>
      <c r="D525" s="95"/>
      <c r="E525" s="95"/>
      <c r="F525" s="95"/>
      <c r="G525" s="95"/>
      <c r="H525" s="95"/>
      <c r="I525" s="49"/>
    </row>
    <row r="526" spans="1:9" ht="15" x14ac:dyDescent="0.25">
      <c r="A526" s="95"/>
      <c r="B526" s="95"/>
      <c r="C526" s="95"/>
      <c r="D526" s="95"/>
      <c r="E526" s="95"/>
      <c r="F526" s="95"/>
      <c r="G526" s="95"/>
      <c r="H526" s="95"/>
      <c r="I526" s="49"/>
    </row>
    <row r="527" spans="1:9" ht="15" x14ac:dyDescent="0.25">
      <c r="A527" s="95"/>
      <c r="B527" s="95"/>
      <c r="C527" s="95"/>
      <c r="D527" s="95"/>
      <c r="E527" s="95"/>
      <c r="F527" s="95"/>
      <c r="G527" s="95"/>
      <c r="H527" s="95"/>
      <c r="I527" s="49"/>
    </row>
    <row r="528" spans="1:9" ht="15" x14ac:dyDescent="0.25">
      <c r="A528" s="95"/>
      <c r="B528" s="95"/>
      <c r="C528" s="95"/>
      <c r="D528" s="95"/>
      <c r="E528" s="95"/>
      <c r="F528" s="95"/>
      <c r="G528" s="95"/>
      <c r="H528" s="95"/>
      <c r="I528" s="49"/>
    </row>
    <row r="529" spans="1:9" ht="15" x14ac:dyDescent="0.25">
      <c r="A529" s="95"/>
      <c r="B529" s="95"/>
      <c r="C529" s="95"/>
      <c r="D529" s="95"/>
      <c r="E529" s="95"/>
      <c r="F529" s="95"/>
      <c r="G529" s="95"/>
      <c r="H529" s="95"/>
      <c r="I529" s="49"/>
    </row>
    <row r="530" spans="1:9" ht="15" x14ac:dyDescent="0.25">
      <c r="A530" s="95"/>
      <c r="B530" s="95"/>
      <c r="C530" s="95"/>
      <c r="D530" s="95"/>
      <c r="E530" s="95"/>
      <c r="F530" s="95"/>
      <c r="G530" s="95"/>
      <c r="H530" s="95"/>
      <c r="I530" s="49"/>
    </row>
    <row r="531" spans="1:9" ht="15" x14ac:dyDescent="0.25">
      <c r="A531" s="95"/>
      <c r="B531" s="95"/>
      <c r="C531" s="95"/>
      <c r="D531" s="95"/>
      <c r="E531" s="95"/>
      <c r="F531" s="95"/>
      <c r="G531" s="95"/>
      <c r="H531" s="95"/>
      <c r="I531" s="49"/>
    </row>
    <row r="532" spans="1:9" ht="15" x14ac:dyDescent="0.25">
      <c r="A532" s="95"/>
      <c r="B532" s="95"/>
      <c r="C532" s="95"/>
      <c r="D532" s="95"/>
      <c r="E532" s="95"/>
      <c r="F532" s="95"/>
      <c r="G532" s="95"/>
      <c r="H532" s="95"/>
      <c r="I532" s="49"/>
    </row>
    <row r="533" spans="1:9" ht="15" x14ac:dyDescent="0.25">
      <c r="A533" s="95"/>
      <c r="B533" s="95"/>
      <c r="C533" s="95"/>
      <c r="D533" s="95"/>
      <c r="E533" s="95"/>
      <c r="F533" s="95"/>
      <c r="G533" s="95"/>
      <c r="H533" s="95"/>
      <c r="I533" s="49"/>
    </row>
    <row r="534" spans="1:9" ht="15" x14ac:dyDescent="0.25">
      <c r="A534" s="95"/>
      <c r="B534" s="95"/>
      <c r="C534" s="95"/>
      <c r="D534" s="95"/>
      <c r="E534" s="95"/>
      <c r="F534" s="95"/>
      <c r="G534" s="95"/>
      <c r="H534" s="95"/>
      <c r="I534" s="49"/>
    </row>
    <row r="535" spans="1:9" ht="15" x14ac:dyDescent="0.25">
      <c r="A535" s="95"/>
      <c r="B535" s="95"/>
      <c r="C535" s="95"/>
      <c r="D535" s="95"/>
      <c r="E535" s="95"/>
      <c r="F535" s="95"/>
      <c r="G535" s="95"/>
      <c r="H535" s="95"/>
      <c r="I535" s="49"/>
    </row>
    <row r="536" spans="1:9" ht="15" x14ac:dyDescent="0.25">
      <c r="A536" s="95"/>
      <c r="B536" s="95"/>
      <c r="C536" s="95"/>
      <c r="D536" s="95"/>
      <c r="E536" s="95"/>
      <c r="F536" s="95"/>
      <c r="G536" s="95"/>
      <c r="H536" s="95"/>
      <c r="I536" s="49"/>
    </row>
    <row r="537" spans="1:9" ht="15" x14ac:dyDescent="0.25">
      <c r="A537" s="95"/>
      <c r="B537" s="95"/>
      <c r="C537" s="95"/>
      <c r="D537" s="95"/>
      <c r="E537" s="95"/>
      <c r="F537" s="95"/>
      <c r="G537" s="95"/>
      <c r="H537" s="95"/>
      <c r="I537" s="49"/>
    </row>
    <row r="538" spans="1:9" ht="15" x14ac:dyDescent="0.25">
      <c r="A538" s="95"/>
      <c r="B538" s="95"/>
      <c r="C538" s="95"/>
      <c r="D538" s="95"/>
      <c r="E538" s="95"/>
      <c r="F538" s="95"/>
      <c r="G538" s="95"/>
      <c r="H538" s="95"/>
      <c r="I538" s="49"/>
    </row>
    <row r="539" spans="1:9" ht="15" x14ac:dyDescent="0.25">
      <c r="A539" s="95"/>
      <c r="B539" s="95"/>
      <c r="C539" s="95"/>
      <c r="D539" s="95"/>
      <c r="E539" s="95"/>
      <c r="F539" s="95"/>
      <c r="G539" s="95"/>
      <c r="H539" s="95"/>
      <c r="I539" s="49"/>
    </row>
    <row r="540" spans="1:9" ht="15" x14ac:dyDescent="0.25">
      <c r="A540" s="95"/>
      <c r="B540" s="95"/>
      <c r="C540" s="95"/>
      <c r="D540" s="95"/>
      <c r="E540" s="95"/>
      <c r="F540" s="95"/>
      <c r="G540" s="95"/>
      <c r="H540" s="95"/>
      <c r="I540" s="49"/>
    </row>
    <row r="541" spans="1:9" ht="15" x14ac:dyDescent="0.25">
      <c r="A541" s="95"/>
      <c r="B541" s="95"/>
      <c r="C541" s="95"/>
      <c r="D541" s="95"/>
      <c r="E541" s="95"/>
      <c r="F541" s="95"/>
      <c r="G541" s="95"/>
      <c r="H541" s="95"/>
      <c r="I541" s="49"/>
    </row>
    <row r="542" spans="1:9" ht="15" x14ac:dyDescent="0.25">
      <c r="A542" s="95"/>
      <c r="B542" s="95"/>
      <c r="C542" s="95"/>
      <c r="D542" s="95"/>
      <c r="E542" s="95"/>
      <c r="F542" s="95"/>
      <c r="G542" s="95"/>
      <c r="H542" s="95"/>
      <c r="I542" s="49"/>
    </row>
    <row r="543" spans="1:9" ht="15" x14ac:dyDescent="0.25">
      <c r="A543" s="95"/>
      <c r="B543" s="95"/>
      <c r="C543" s="95"/>
      <c r="D543" s="95"/>
      <c r="E543" s="95"/>
      <c r="F543" s="95"/>
      <c r="G543" s="95"/>
      <c r="H543" s="95"/>
      <c r="I543" s="49"/>
    </row>
    <row r="544" spans="1:9" ht="15" x14ac:dyDescent="0.25">
      <c r="A544" s="95"/>
      <c r="B544" s="95"/>
      <c r="C544" s="95"/>
      <c r="D544" s="95"/>
      <c r="E544" s="95"/>
      <c r="F544" s="95"/>
      <c r="G544" s="95"/>
      <c r="H544" s="95"/>
      <c r="I544" s="49"/>
    </row>
    <row r="545" spans="1:9" ht="15" x14ac:dyDescent="0.25">
      <c r="A545" s="95"/>
      <c r="B545" s="95"/>
      <c r="C545" s="95"/>
      <c r="D545" s="95"/>
      <c r="E545" s="95"/>
      <c r="F545" s="95"/>
      <c r="G545" s="95"/>
      <c r="H545" s="95"/>
      <c r="I545" s="49"/>
    </row>
    <row r="546" spans="1:9" ht="15" x14ac:dyDescent="0.25">
      <c r="A546" s="95"/>
      <c r="B546" s="95"/>
      <c r="C546" s="95"/>
      <c r="D546" s="95"/>
      <c r="E546" s="95"/>
      <c r="F546" s="95"/>
      <c r="G546" s="95"/>
      <c r="H546" s="95"/>
      <c r="I546" s="49"/>
    </row>
    <row r="547" spans="1:9" ht="15" x14ac:dyDescent="0.25">
      <c r="A547" s="95"/>
      <c r="B547" s="95"/>
      <c r="C547" s="95"/>
      <c r="D547" s="95"/>
      <c r="E547" s="95"/>
      <c r="F547" s="95"/>
      <c r="G547" s="95"/>
      <c r="H547" s="95"/>
      <c r="I547" s="49"/>
    </row>
    <row r="548" spans="1:9" ht="15" x14ac:dyDescent="0.25">
      <c r="A548" s="95"/>
      <c r="B548" s="95"/>
      <c r="C548" s="95"/>
      <c r="D548" s="95"/>
      <c r="E548" s="95"/>
      <c r="F548" s="95"/>
      <c r="G548" s="95"/>
      <c r="H548" s="95"/>
      <c r="I548" s="49"/>
    </row>
    <row r="549" spans="1:9" ht="15" x14ac:dyDescent="0.25">
      <c r="A549" s="95"/>
      <c r="B549" s="95"/>
      <c r="C549" s="95"/>
      <c r="D549" s="95"/>
      <c r="E549" s="95"/>
      <c r="F549" s="95"/>
      <c r="G549" s="95"/>
      <c r="H549" s="95"/>
      <c r="I549" s="49"/>
    </row>
    <row r="550" spans="1:9" ht="15" x14ac:dyDescent="0.25">
      <c r="A550" s="95"/>
      <c r="B550" s="95"/>
      <c r="C550" s="95"/>
      <c r="D550" s="95"/>
      <c r="E550" s="95"/>
      <c r="F550" s="95"/>
      <c r="G550" s="95"/>
      <c r="H550" s="95"/>
      <c r="I550" s="49"/>
    </row>
    <row r="551" spans="1:9" ht="15" x14ac:dyDescent="0.25">
      <c r="A551" s="95"/>
      <c r="B551" s="95"/>
      <c r="C551" s="95"/>
      <c r="D551" s="95"/>
      <c r="E551" s="95"/>
      <c r="F551" s="95"/>
      <c r="G551" s="95"/>
      <c r="H551" s="95"/>
      <c r="I551" s="49"/>
    </row>
    <row r="552" spans="1:9" ht="15" x14ac:dyDescent="0.25">
      <c r="A552" s="95"/>
      <c r="B552" s="95"/>
      <c r="C552" s="95"/>
      <c r="D552" s="95"/>
      <c r="E552" s="95"/>
      <c r="F552" s="95"/>
      <c r="G552" s="95"/>
      <c r="H552" s="95"/>
      <c r="I552" s="49"/>
    </row>
    <row r="553" spans="1:9" ht="15" x14ac:dyDescent="0.25">
      <c r="A553" s="95"/>
      <c r="B553" s="95"/>
      <c r="C553" s="95"/>
      <c r="D553" s="95"/>
      <c r="E553" s="95"/>
      <c r="F553" s="95"/>
      <c r="G553" s="95"/>
      <c r="H553" s="95"/>
      <c r="I553" s="49"/>
    </row>
    <row r="554" spans="1:9" ht="15" x14ac:dyDescent="0.25">
      <c r="A554" s="95"/>
      <c r="B554" s="95"/>
      <c r="C554" s="95"/>
      <c r="D554" s="95"/>
      <c r="E554" s="95"/>
      <c r="F554" s="95"/>
      <c r="G554" s="95"/>
      <c r="H554" s="95"/>
      <c r="I554" s="49"/>
    </row>
    <row r="555" spans="1:9" ht="15" x14ac:dyDescent="0.25">
      <c r="A555" s="95"/>
      <c r="B555" s="95"/>
      <c r="C555" s="95"/>
      <c r="D555" s="95"/>
      <c r="E555" s="95"/>
      <c r="F555" s="95"/>
      <c r="G555" s="95"/>
      <c r="H555" s="95"/>
      <c r="I555" s="49"/>
    </row>
    <row r="556" spans="1:9" ht="15" x14ac:dyDescent="0.25">
      <c r="A556" s="95"/>
      <c r="B556" s="95"/>
      <c r="C556" s="95"/>
      <c r="D556" s="95"/>
      <c r="E556" s="95"/>
      <c r="F556" s="95"/>
      <c r="G556" s="95"/>
      <c r="H556" s="95"/>
      <c r="I556" s="49"/>
    </row>
    <row r="557" spans="1:9" ht="15" x14ac:dyDescent="0.25">
      <c r="A557" s="95"/>
      <c r="B557" s="95"/>
      <c r="C557" s="95"/>
      <c r="D557" s="95"/>
      <c r="E557" s="95"/>
      <c r="F557" s="95"/>
      <c r="G557" s="95"/>
      <c r="H557" s="95"/>
      <c r="I557" s="49"/>
    </row>
    <row r="558" spans="1:9" ht="15" x14ac:dyDescent="0.25">
      <c r="A558" s="95"/>
      <c r="B558" s="95"/>
      <c r="C558" s="95"/>
      <c r="D558" s="95"/>
      <c r="E558" s="95"/>
      <c r="F558" s="95"/>
      <c r="G558" s="95"/>
      <c r="H558" s="95"/>
      <c r="I558" s="49"/>
    </row>
    <row r="559" spans="1:9" ht="15" x14ac:dyDescent="0.25">
      <c r="A559" s="95"/>
      <c r="B559" s="95"/>
      <c r="C559" s="95"/>
      <c r="D559" s="95"/>
      <c r="E559" s="95"/>
      <c r="F559" s="95"/>
      <c r="G559" s="95"/>
      <c r="H559" s="95"/>
      <c r="I559" s="49"/>
    </row>
    <row r="560" spans="1:9" ht="15" x14ac:dyDescent="0.25">
      <c r="A560" s="95"/>
      <c r="B560" s="95"/>
      <c r="C560" s="95"/>
      <c r="D560" s="95"/>
      <c r="E560" s="95"/>
      <c r="F560" s="95"/>
      <c r="G560" s="95"/>
      <c r="H560" s="95"/>
      <c r="I560" s="49"/>
    </row>
    <row r="561" spans="1:9" ht="15" x14ac:dyDescent="0.25">
      <c r="A561" s="95"/>
      <c r="B561" s="95"/>
      <c r="C561" s="95"/>
      <c r="D561" s="95"/>
      <c r="E561" s="95"/>
      <c r="F561" s="95"/>
      <c r="G561" s="95"/>
      <c r="H561" s="95"/>
      <c r="I561" s="49"/>
    </row>
    <row r="562" spans="1:9" ht="15" x14ac:dyDescent="0.25">
      <c r="A562" s="95"/>
      <c r="B562" s="95"/>
      <c r="C562" s="95"/>
      <c r="D562" s="95"/>
      <c r="E562" s="95"/>
      <c r="F562" s="95"/>
      <c r="G562" s="95"/>
      <c r="H562" s="95"/>
      <c r="I562" s="49"/>
    </row>
    <row r="563" spans="1:9" ht="15" x14ac:dyDescent="0.25">
      <c r="A563" s="95"/>
      <c r="B563" s="95"/>
      <c r="C563" s="95"/>
      <c r="D563" s="95"/>
      <c r="E563" s="95"/>
      <c r="F563" s="95"/>
      <c r="G563" s="95"/>
      <c r="H563" s="95"/>
      <c r="I563" s="49"/>
    </row>
    <row r="564" spans="1:9" ht="15" x14ac:dyDescent="0.25">
      <c r="A564" s="95"/>
      <c r="B564" s="95"/>
      <c r="C564" s="95"/>
      <c r="D564" s="95"/>
      <c r="E564" s="95"/>
      <c r="F564" s="95"/>
      <c r="G564" s="95"/>
      <c r="H564" s="95"/>
      <c r="I564" s="49"/>
    </row>
    <row r="565" spans="1:9" ht="15" x14ac:dyDescent="0.25">
      <c r="A565" s="95"/>
      <c r="B565" s="95"/>
      <c r="C565" s="95"/>
      <c r="D565" s="95"/>
      <c r="E565" s="95"/>
      <c r="F565" s="95"/>
      <c r="G565" s="95"/>
      <c r="H565" s="95"/>
      <c r="I565" s="49"/>
    </row>
    <row r="566" spans="1:9" ht="15" x14ac:dyDescent="0.25">
      <c r="A566" s="95"/>
      <c r="B566" s="95"/>
      <c r="C566" s="95"/>
      <c r="D566" s="95"/>
      <c r="E566" s="95"/>
      <c r="F566" s="95"/>
      <c r="G566" s="95"/>
      <c r="H566" s="95"/>
      <c r="I566" s="49"/>
    </row>
    <row r="567" spans="1:9" ht="15" x14ac:dyDescent="0.25">
      <c r="A567" s="95"/>
      <c r="B567" s="95"/>
      <c r="C567" s="95"/>
      <c r="D567" s="95"/>
      <c r="E567" s="95"/>
      <c r="F567" s="95"/>
      <c r="G567" s="95"/>
      <c r="H567" s="95"/>
      <c r="I567" s="49"/>
    </row>
    <row r="568" spans="1:9" ht="15" x14ac:dyDescent="0.25">
      <c r="A568" s="95"/>
      <c r="B568" s="95"/>
      <c r="C568" s="95"/>
      <c r="D568" s="95"/>
      <c r="E568" s="95"/>
      <c r="F568" s="95"/>
      <c r="G568" s="95"/>
      <c r="H568" s="95"/>
      <c r="I568" s="49"/>
    </row>
    <row r="569" spans="1:9" ht="15" x14ac:dyDescent="0.25">
      <c r="A569" s="95"/>
      <c r="B569" s="95"/>
      <c r="C569" s="95"/>
      <c r="D569" s="95"/>
      <c r="E569" s="95"/>
      <c r="F569" s="95"/>
      <c r="G569" s="95"/>
      <c r="H569" s="95"/>
      <c r="I569" s="49"/>
    </row>
    <row r="570" spans="1:9" ht="15" x14ac:dyDescent="0.25">
      <c r="A570" s="95"/>
      <c r="B570" s="95"/>
      <c r="C570" s="95"/>
      <c r="D570" s="95"/>
      <c r="E570" s="95"/>
      <c r="F570" s="95"/>
      <c r="G570" s="95"/>
      <c r="H570" s="95"/>
      <c r="I570" s="49"/>
    </row>
    <row r="571" spans="1:9" ht="15" x14ac:dyDescent="0.25">
      <c r="A571" s="95"/>
      <c r="B571" s="95"/>
      <c r="C571" s="95"/>
      <c r="D571" s="95"/>
      <c r="E571" s="95"/>
      <c r="F571" s="95"/>
      <c r="G571" s="95"/>
      <c r="H571" s="95"/>
      <c r="I571" s="49"/>
    </row>
    <row r="572" spans="1:9" ht="15" x14ac:dyDescent="0.25">
      <c r="A572" s="95"/>
      <c r="B572" s="95"/>
      <c r="C572" s="95"/>
      <c r="D572" s="95"/>
      <c r="E572" s="95"/>
      <c r="F572" s="95"/>
      <c r="G572" s="95"/>
      <c r="H572" s="95"/>
      <c r="I572" s="49"/>
    </row>
    <row r="573" spans="1:9" ht="15" x14ac:dyDescent="0.25">
      <c r="A573" s="95"/>
      <c r="B573" s="95"/>
      <c r="C573" s="95"/>
      <c r="D573" s="95"/>
      <c r="E573" s="95"/>
      <c r="F573" s="95"/>
      <c r="G573" s="95"/>
      <c r="H573" s="95"/>
      <c r="I573" s="49"/>
    </row>
    <row r="574" spans="1:9" ht="15" x14ac:dyDescent="0.25">
      <c r="A574" s="95"/>
      <c r="B574" s="95"/>
      <c r="C574" s="95"/>
      <c r="D574" s="95"/>
      <c r="E574" s="95"/>
      <c r="F574" s="95"/>
      <c r="G574" s="95"/>
      <c r="H574" s="95"/>
      <c r="I574" s="49"/>
    </row>
    <row r="575" spans="1:9" ht="15" x14ac:dyDescent="0.25">
      <c r="A575" s="95"/>
      <c r="B575" s="95"/>
      <c r="C575" s="95"/>
      <c r="D575" s="95"/>
      <c r="E575" s="95"/>
      <c r="F575" s="95"/>
      <c r="G575" s="95"/>
      <c r="H575" s="95"/>
      <c r="I575" s="49"/>
    </row>
    <row r="576" spans="1:9" ht="15" x14ac:dyDescent="0.25">
      <c r="A576" s="95"/>
      <c r="B576" s="95"/>
      <c r="C576" s="95"/>
      <c r="D576" s="95"/>
      <c r="E576" s="95"/>
      <c r="F576" s="95"/>
      <c r="G576" s="95"/>
      <c r="H576" s="95"/>
      <c r="I576" s="49"/>
    </row>
    <row r="577" spans="1:9" ht="15" x14ac:dyDescent="0.25">
      <c r="A577" s="95"/>
      <c r="B577" s="95"/>
      <c r="C577" s="95"/>
      <c r="D577" s="95"/>
      <c r="E577" s="95"/>
      <c r="F577" s="95"/>
      <c r="G577" s="95"/>
      <c r="H577" s="95"/>
      <c r="I577" s="49"/>
    </row>
    <row r="578" spans="1:9" ht="15" x14ac:dyDescent="0.25">
      <c r="A578" s="95"/>
      <c r="B578" s="95"/>
      <c r="C578" s="95"/>
      <c r="D578" s="95"/>
      <c r="E578" s="95"/>
      <c r="F578" s="95"/>
      <c r="G578" s="95"/>
      <c r="H578" s="95"/>
      <c r="I578" s="49"/>
    </row>
    <row r="579" spans="1:9" ht="15" x14ac:dyDescent="0.25">
      <c r="A579" s="95"/>
      <c r="B579" s="95"/>
      <c r="C579" s="95"/>
      <c r="D579" s="95"/>
      <c r="E579" s="95"/>
      <c r="F579" s="95"/>
      <c r="G579" s="95"/>
      <c r="H579" s="95"/>
      <c r="I579" s="49"/>
    </row>
    <row r="580" spans="1:9" ht="15" x14ac:dyDescent="0.25">
      <c r="A580" s="95"/>
      <c r="B580" s="95"/>
      <c r="C580" s="95"/>
      <c r="D580" s="95"/>
      <c r="E580" s="95"/>
      <c r="F580" s="95"/>
      <c r="G580" s="95"/>
      <c r="H580" s="95"/>
      <c r="I580" s="49"/>
    </row>
    <row r="581" spans="1:9" ht="15" x14ac:dyDescent="0.25">
      <c r="A581" s="95"/>
      <c r="B581" s="95"/>
      <c r="C581" s="95"/>
      <c r="D581" s="95"/>
      <c r="E581" s="95"/>
      <c r="F581" s="95"/>
      <c r="G581" s="95"/>
      <c r="H581" s="95"/>
      <c r="I581" s="49"/>
    </row>
    <row r="582" spans="1:9" ht="15" x14ac:dyDescent="0.25">
      <c r="A582" s="95"/>
      <c r="B582" s="95"/>
      <c r="C582" s="95"/>
      <c r="D582" s="95"/>
      <c r="E582" s="95"/>
      <c r="F582" s="95"/>
      <c r="G582" s="95"/>
      <c r="H582" s="95"/>
      <c r="I582" s="49"/>
    </row>
    <row r="583" spans="1:9" ht="15" x14ac:dyDescent="0.25">
      <c r="A583" s="95"/>
      <c r="B583" s="95"/>
      <c r="C583" s="95"/>
      <c r="D583" s="95"/>
      <c r="E583" s="95"/>
      <c r="F583" s="95"/>
      <c r="G583" s="95"/>
      <c r="H583" s="95"/>
      <c r="I583" s="49"/>
    </row>
    <row r="584" spans="1:9" ht="15" x14ac:dyDescent="0.25">
      <c r="A584" s="95"/>
      <c r="B584" s="95"/>
      <c r="C584" s="95"/>
      <c r="D584" s="95"/>
      <c r="E584" s="95"/>
      <c r="F584" s="95"/>
      <c r="G584" s="95"/>
      <c r="H584" s="95"/>
      <c r="I584" s="49"/>
    </row>
    <row r="585" spans="1:9" ht="15" x14ac:dyDescent="0.25">
      <c r="A585" s="95"/>
      <c r="B585" s="95"/>
      <c r="C585" s="95"/>
      <c r="D585" s="95"/>
      <c r="E585" s="95"/>
      <c r="F585" s="95"/>
      <c r="G585" s="95"/>
      <c r="H585" s="95"/>
      <c r="I585" s="49"/>
    </row>
    <row r="586" spans="1:9" ht="15" x14ac:dyDescent="0.25">
      <c r="A586" s="95"/>
      <c r="B586" s="95"/>
      <c r="C586" s="95"/>
      <c r="D586" s="95"/>
      <c r="E586" s="95"/>
      <c r="F586" s="95"/>
      <c r="G586" s="95"/>
      <c r="H586" s="95"/>
      <c r="I586" s="49"/>
    </row>
    <row r="587" spans="1:9" ht="15" x14ac:dyDescent="0.25">
      <c r="A587" s="95"/>
      <c r="B587" s="95"/>
      <c r="C587" s="95"/>
      <c r="D587" s="95"/>
      <c r="E587" s="95"/>
      <c r="F587" s="95"/>
      <c r="G587" s="95"/>
      <c r="H587" s="95"/>
      <c r="I587" s="49"/>
    </row>
    <row r="588" spans="1:9" ht="15" x14ac:dyDescent="0.25">
      <c r="A588" s="95"/>
      <c r="B588" s="95"/>
      <c r="C588" s="95"/>
      <c r="D588" s="95"/>
      <c r="E588" s="95"/>
      <c r="F588" s="95"/>
      <c r="G588" s="95"/>
      <c r="H588" s="95"/>
      <c r="I588" s="49"/>
    </row>
    <row r="589" spans="1:9" ht="15" x14ac:dyDescent="0.25">
      <c r="A589" s="95"/>
      <c r="B589" s="95"/>
      <c r="C589" s="95"/>
      <c r="D589" s="95"/>
      <c r="E589" s="95"/>
      <c r="F589" s="95"/>
      <c r="G589" s="95"/>
      <c r="H589" s="95"/>
      <c r="I589" s="49"/>
    </row>
    <row r="590" spans="1:9" ht="15" x14ac:dyDescent="0.25">
      <c r="A590" s="95"/>
      <c r="B590" s="95"/>
      <c r="C590" s="95"/>
      <c r="D590" s="95"/>
      <c r="E590" s="95"/>
      <c r="F590" s="95"/>
      <c r="G590" s="95"/>
      <c r="H590" s="95"/>
      <c r="I590" s="49"/>
    </row>
    <row r="591" spans="1:9" ht="15" x14ac:dyDescent="0.25">
      <c r="A591" s="95"/>
      <c r="B591" s="95"/>
      <c r="C591" s="95"/>
      <c r="D591" s="95"/>
      <c r="E591" s="95"/>
      <c r="F591" s="95"/>
      <c r="G591" s="95"/>
      <c r="H591" s="95"/>
      <c r="I591" s="49"/>
    </row>
    <row r="592" spans="1:9" ht="15" x14ac:dyDescent="0.25">
      <c r="A592" s="95"/>
      <c r="B592" s="95"/>
      <c r="C592" s="95"/>
      <c r="D592" s="95"/>
      <c r="E592" s="95"/>
      <c r="F592" s="95"/>
      <c r="G592" s="95"/>
      <c r="H592" s="95"/>
      <c r="I592" s="49"/>
    </row>
    <row r="593" spans="1:9" ht="15" x14ac:dyDescent="0.25">
      <c r="A593" s="95"/>
      <c r="B593" s="95"/>
      <c r="C593" s="95"/>
      <c r="D593" s="95"/>
      <c r="E593" s="95"/>
      <c r="F593" s="95"/>
      <c r="G593" s="95"/>
      <c r="H593" s="95"/>
      <c r="I593" s="49"/>
    </row>
    <row r="594" spans="1:9" ht="15" x14ac:dyDescent="0.25">
      <c r="A594" s="95"/>
      <c r="B594" s="95"/>
      <c r="C594" s="95"/>
      <c r="D594" s="95"/>
      <c r="E594" s="95"/>
      <c r="F594" s="95"/>
      <c r="G594" s="95"/>
      <c r="H594" s="95"/>
      <c r="I594" s="49"/>
    </row>
    <row r="595" spans="1:9" ht="15" x14ac:dyDescent="0.25">
      <c r="A595" s="95"/>
      <c r="B595" s="95"/>
      <c r="C595" s="95"/>
      <c r="D595" s="95"/>
      <c r="E595" s="95"/>
      <c r="F595" s="95"/>
      <c r="G595" s="95"/>
      <c r="H595" s="95"/>
      <c r="I595" s="49"/>
    </row>
    <row r="596" spans="1:9" ht="15" x14ac:dyDescent="0.25">
      <c r="A596" s="95"/>
      <c r="B596" s="95"/>
      <c r="C596" s="95"/>
      <c r="D596" s="95"/>
      <c r="E596" s="95"/>
      <c r="F596" s="95"/>
      <c r="G596" s="95"/>
      <c r="H596" s="95"/>
      <c r="I596" s="49"/>
    </row>
    <row r="597" spans="1:9" ht="15" x14ac:dyDescent="0.25">
      <c r="A597" s="95"/>
      <c r="B597" s="95"/>
      <c r="C597" s="95"/>
      <c r="D597" s="95"/>
      <c r="E597" s="95"/>
      <c r="F597" s="95"/>
      <c r="G597" s="95"/>
      <c r="H597" s="95"/>
      <c r="I597" s="49"/>
    </row>
    <row r="598" spans="1:9" ht="15" x14ac:dyDescent="0.25">
      <c r="A598" s="95"/>
      <c r="B598" s="95"/>
      <c r="C598" s="95"/>
      <c r="D598" s="95"/>
      <c r="E598" s="95"/>
      <c r="F598" s="95"/>
      <c r="G598" s="95"/>
      <c r="H598" s="95"/>
      <c r="I598" s="49"/>
    </row>
    <row r="599" spans="1:9" ht="15" x14ac:dyDescent="0.25">
      <c r="A599" s="95"/>
      <c r="B599" s="95"/>
      <c r="C599" s="95"/>
      <c r="D599" s="95"/>
      <c r="E599" s="95"/>
      <c r="F599" s="95"/>
      <c r="G599" s="95"/>
      <c r="H599" s="95"/>
      <c r="I599" s="49"/>
    </row>
    <row r="600" spans="1:9" ht="15" x14ac:dyDescent="0.25">
      <c r="A600" s="95"/>
      <c r="B600" s="95"/>
      <c r="C600" s="95"/>
      <c r="D600" s="95"/>
      <c r="E600" s="95"/>
      <c r="F600" s="95"/>
      <c r="G600" s="95"/>
      <c r="H600" s="95"/>
      <c r="I600" s="49"/>
    </row>
    <row r="601" spans="1:9" ht="15" x14ac:dyDescent="0.25">
      <c r="A601" s="95"/>
      <c r="B601" s="95"/>
      <c r="C601" s="95"/>
      <c r="D601" s="95"/>
      <c r="E601" s="95"/>
      <c r="F601" s="95"/>
      <c r="G601" s="95"/>
      <c r="H601" s="95"/>
      <c r="I601" s="49"/>
    </row>
    <row r="602" spans="1:9" ht="15" x14ac:dyDescent="0.25">
      <c r="A602" s="95"/>
      <c r="B602" s="95"/>
      <c r="C602" s="95"/>
      <c r="D602" s="95"/>
      <c r="E602" s="95"/>
      <c r="F602" s="95"/>
      <c r="G602" s="95"/>
      <c r="H602" s="95"/>
      <c r="I602" s="49"/>
    </row>
    <row r="603" spans="1:9" ht="15" x14ac:dyDescent="0.25">
      <c r="A603" s="95"/>
      <c r="B603" s="95"/>
      <c r="C603" s="95"/>
      <c r="D603" s="95"/>
      <c r="E603" s="95"/>
      <c r="F603" s="95"/>
      <c r="G603" s="95"/>
      <c r="H603" s="95"/>
      <c r="I603" s="49"/>
    </row>
    <row r="604" spans="1:9" ht="15" x14ac:dyDescent="0.25">
      <c r="A604" s="95"/>
      <c r="B604" s="95"/>
      <c r="C604" s="95"/>
      <c r="D604" s="95"/>
      <c r="E604" s="95"/>
      <c r="F604" s="95"/>
      <c r="G604" s="95"/>
      <c r="H604" s="95"/>
      <c r="I604" s="49"/>
    </row>
    <row r="605" spans="1:9" ht="15" x14ac:dyDescent="0.25">
      <c r="A605" s="95"/>
      <c r="B605" s="95"/>
      <c r="C605" s="95"/>
      <c r="D605" s="95"/>
      <c r="E605" s="95"/>
      <c r="F605" s="95"/>
      <c r="G605" s="95"/>
      <c r="H605" s="95"/>
      <c r="I605" s="49"/>
    </row>
    <row r="606" spans="1:9" ht="15" x14ac:dyDescent="0.25">
      <c r="A606" s="95"/>
      <c r="B606" s="95"/>
      <c r="C606" s="95"/>
      <c r="D606" s="95"/>
      <c r="E606" s="95"/>
      <c r="F606" s="95"/>
      <c r="G606" s="95"/>
      <c r="H606" s="95"/>
      <c r="I606" s="49"/>
    </row>
    <row r="607" spans="1:9" ht="15" x14ac:dyDescent="0.25">
      <c r="A607" s="95"/>
      <c r="B607" s="95"/>
      <c r="C607" s="95"/>
      <c r="D607" s="95"/>
      <c r="E607" s="95"/>
      <c r="F607" s="95"/>
      <c r="G607" s="95"/>
      <c r="H607" s="95"/>
      <c r="I607" s="49"/>
    </row>
    <row r="608" spans="1:9" ht="15" x14ac:dyDescent="0.25">
      <c r="A608" s="97"/>
      <c r="B608" s="97"/>
      <c r="C608" s="97"/>
      <c r="D608" s="97"/>
      <c r="E608" s="97"/>
      <c r="F608" s="97"/>
      <c r="G608" s="97"/>
      <c r="H608" s="97"/>
      <c r="I608" s="98"/>
    </row>
    <row r="609" spans="1:9" ht="15" x14ac:dyDescent="0.25">
      <c r="A609" s="97"/>
      <c r="B609" s="97"/>
      <c r="C609" s="97"/>
      <c r="D609" s="97"/>
      <c r="E609" s="97"/>
      <c r="F609" s="97"/>
      <c r="G609" s="97"/>
      <c r="H609" s="97"/>
      <c r="I609" s="98"/>
    </row>
    <row r="610" spans="1:9" ht="15" x14ac:dyDescent="0.25">
      <c r="A610" s="97"/>
      <c r="B610" s="97"/>
      <c r="C610" s="97"/>
      <c r="D610" s="97"/>
      <c r="E610" s="97"/>
      <c r="F610" s="97"/>
      <c r="G610" s="97"/>
      <c r="H610" s="97"/>
      <c r="I610" s="98"/>
    </row>
    <row r="611" spans="1:9" ht="15" x14ac:dyDescent="0.25">
      <c r="A611" s="97"/>
      <c r="B611" s="97"/>
      <c r="C611" s="97"/>
      <c r="D611" s="97"/>
      <c r="E611" s="97"/>
      <c r="F611" s="97"/>
      <c r="G611" s="97"/>
      <c r="H611" s="97"/>
      <c r="I611" s="98"/>
    </row>
    <row r="612" spans="1:9" ht="15" x14ac:dyDescent="0.25">
      <c r="A612" s="97"/>
      <c r="B612" s="97"/>
      <c r="C612" s="97"/>
      <c r="D612" s="97"/>
      <c r="E612" s="97"/>
      <c r="F612" s="97"/>
      <c r="G612" s="97"/>
      <c r="H612" s="97"/>
      <c r="I612" s="98"/>
    </row>
    <row r="613" spans="1:9" ht="15" x14ac:dyDescent="0.25">
      <c r="A613" s="95"/>
      <c r="B613" s="95"/>
      <c r="C613" s="95"/>
      <c r="D613" s="95"/>
      <c r="E613" s="95"/>
      <c r="F613" s="95"/>
      <c r="G613" s="95"/>
      <c r="H613" s="95"/>
      <c r="I613" s="49"/>
    </row>
    <row r="614" spans="1:9" ht="15" x14ac:dyDescent="0.25">
      <c r="A614" s="95"/>
      <c r="B614" s="95"/>
      <c r="C614" s="95"/>
      <c r="D614" s="95"/>
      <c r="E614" s="95"/>
      <c r="F614" s="95"/>
      <c r="G614" s="95"/>
      <c r="H614" s="95"/>
      <c r="I614" s="49"/>
    </row>
    <row r="615" spans="1:9" ht="15" x14ac:dyDescent="0.25">
      <c r="A615" s="95"/>
      <c r="B615" s="95"/>
      <c r="C615" s="95"/>
      <c r="D615" s="95"/>
      <c r="E615" s="95"/>
      <c r="F615" s="95"/>
      <c r="G615" s="95"/>
      <c r="H615" s="95"/>
      <c r="I615" s="49"/>
    </row>
    <row r="616" spans="1:9" ht="15" x14ac:dyDescent="0.25">
      <c r="A616" s="95"/>
      <c r="B616" s="95"/>
      <c r="C616" s="95"/>
      <c r="D616" s="95"/>
      <c r="E616" s="95"/>
      <c r="F616" s="95"/>
      <c r="G616" s="95"/>
      <c r="H616" s="95"/>
      <c r="I616" s="49"/>
    </row>
    <row r="617" spans="1:9" ht="15" x14ac:dyDescent="0.25">
      <c r="A617" s="95"/>
      <c r="B617" s="95"/>
      <c r="C617" s="95"/>
      <c r="D617" s="95"/>
      <c r="E617" s="95"/>
      <c r="F617" s="95"/>
      <c r="G617" s="95"/>
      <c r="H617" s="95"/>
      <c r="I617" s="49"/>
    </row>
    <row r="618" spans="1:9" ht="15" x14ac:dyDescent="0.25">
      <c r="A618" s="95"/>
      <c r="B618" s="95"/>
      <c r="C618" s="95"/>
      <c r="D618" s="95"/>
      <c r="E618" s="95"/>
      <c r="F618" s="95"/>
      <c r="G618" s="95"/>
      <c r="H618" s="95"/>
      <c r="I618" s="49"/>
    </row>
    <row r="619" spans="1:9" ht="15" x14ac:dyDescent="0.25">
      <c r="A619" s="95"/>
      <c r="B619" s="95"/>
      <c r="C619" s="95"/>
      <c r="D619" s="95"/>
      <c r="E619" s="95"/>
      <c r="F619" s="95"/>
      <c r="G619" s="95"/>
      <c r="H619" s="95"/>
      <c r="I619" s="49"/>
    </row>
    <row r="620" spans="1:9" ht="15" x14ac:dyDescent="0.25">
      <c r="A620" s="95"/>
      <c r="B620" s="95"/>
      <c r="C620" s="95"/>
      <c r="D620" s="95"/>
      <c r="E620" s="95"/>
      <c r="F620" s="95"/>
      <c r="G620" s="95"/>
      <c r="H620" s="95"/>
      <c r="I620" s="49"/>
    </row>
    <row r="621" spans="1:9" ht="15" x14ac:dyDescent="0.25">
      <c r="A621" s="95"/>
      <c r="B621" s="95"/>
      <c r="C621" s="95"/>
      <c r="D621" s="95"/>
      <c r="E621" s="95"/>
      <c r="F621" s="95"/>
      <c r="G621" s="95"/>
      <c r="H621" s="95"/>
      <c r="I621" s="49"/>
    </row>
    <row r="622" spans="1:9" ht="15" x14ac:dyDescent="0.25">
      <c r="A622" s="95"/>
      <c r="B622" s="95"/>
      <c r="C622" s="95"/>
      <c r="D622" s="95"/>
      <c r="E622" s="95"/>
      <c r="F622" s="95"/>
      <c r="G622" s="95"/>
      <c r="H622" s="95"/>
      <c r="I622" s="49"/>
    </row>
    <row r="623" spans="1:9" ht="15" x14ac:dyDescent="0.25">
      <c r="A623" s="95"/>
      <c r="B623" s="95"/>
      <c r="C623" s="95"/>
      <c r="D623" s="95"/>
      <c r="E623" s="95"/>
      <c r="F623" s="95"/>
      <c r="G623" s="95"/>
      <c r="H623" s="95"/>
      <c r="I623" s="49"/>
    </row>
    <row r="624" spans="1:9" ht="15" x14ac:dyDescent="0.25">
      <c r="A624" s="95"/>
      <c r="B624" s="95"/>
      <c r="C624" s="95"/>
      <c r="D624" s="95"/>
      <c r="E624" s="95"/>
      <c r="F624" s="95"/>
      <c r="G624" s="95"/>
      <c r="H624" s="95"/>
      <c r="I624" s="49"/>
    </row>
    <row r="625" spans="1:9" ht="15" x14ac:dyDescent="0.25">
      <c r="A625" s="95"/>
      <c r="B625" s="95"/>
      <c r="C625" s="95"/>
      <c r="D625" s="95"/>
      <c r="E625" s="95"/>
      <c r="F625" s="95"/>
      <c r="G625" s="95"/>
      <c r="H625" s="95"/>
      <c r="I625" s="49"/>
    </row>
    <row r="626" spans="1:9" ht="15" x14ac:dyDescent="0.25">
      <c r="A626" s="95"/>
      <c r="B626" s="95"/>
      <c r="C626" s="95"/>
      <c r="D626" s="95"/>
      <c r="E626" s="95"/>
      <c r="F626" s="95"/>
      <c r="G626" s="95"/>
      <c r="H626" s="95"/>
      <c r="I626" s="49"/>
    </row>
    <row r="627" spans="1:9" ht="15" x14ac:dyDescent="0.25">
      <c r="A627" s="95"/>
      <c r="B627" s="95"/>
      <c r="C627" s="95"/>
      <c r="D627" s="95"/>
      <c r="E627" s="95"/>
      <c r="F627" s="95"/>
      <c r="G627" s="95"/>
      <c r="H627" s="95"/>
      <c r="I627" s="49"/>
    </row>
    <row r="628" spans="1:9" ht="15" x14ac:dyDescent="0.25">
      <c r="A628" s="95"/>
      <c r="B628" s="95"/>
      <c r="C628" s="95"/>
      <c r="D628" s="95"/>
      <c r="E628" s="95"/>
      <c r="F628" s="95"/>
      <c r="G628" s="95"/>
      <c r="H628" s="95"/>
      <c r="I628" s="49"/>
    </row>
    <row r="629" spans="1:9" ht="15" x14ac:dyDescent="0.25">
      <c r="A629" s="95"/>
      <c r="B629" s="95"/>
      <c r="C629" s="95"/>
      <c r="D629" s="95"/>
      <c r="E629" s="95"/>
      <c r="F629" s="95"/>
      <c r="G629" s="95"/>
      <c r="H629" s="95"/>
      <c r="I629" s="49"/>
    </row>
    <row r="630" spans="1:9" ht="15" x14ac:dyDescent="0.25">
      <c r="A630" s="95"/>
      <c r="B630" s="95"/>
      <c r="C630" s="95"/>
      <c r="D630" s="95"/>
      <c r="E630" s="95"/>
      <c r="F630" s="95"/>
      <c r="G630" s="95"/>
      <c r="H630" s="95"/>
      <c r="I630" s="49"/>
    </row>
    <row r="631" spans="1:9" ht="15" x14ac:dyDescent="0.25">
      <c r="A631" s="95"/>
      <c r="B631" s="95"/>
      <c r="C631" s="95"/>
      <c r="D631" s="95"/>
      <c r="E631" s="95"/>
      <c r="F631" s="95"/>
      <c r="G631" s="95"/>
      <c r="H631" s="95"/>
      <c r="I631" s="49"/>
    </row>
    <row r="632" spans="1:9" ht="15" x14ac:dyDescent="0.25">
      <c r="A632" s="95"/>
      <c r="B632" s="95"/>
      <c r="C632" s="95"/>
      <c r="D632" s="95"/>
      <c r="E632" s="95"/>
      <c r="F632" s="95"/>
      <c r="G632" s="95"/>
      <c r="H632" s="95"/>
      <c r="I632" s="49"/>
    </row>
    <row r="633" spans="1:9" ht="15" x14ac:dyDescent="0.25">
      <c r="A633" s="95"/>
      <c r="B633" s="95"/>
      <c r="C633" s="95"/>
      <c r="D633" s="95"/>
      <c r="E633" s="95"/>
      <c r="F633" s="95"/>
      <c r="G633" s="95"/>
      <c r="H633" s="95"/>
      <c r="I633" s="49"/>
    </row>
    <row r="634" spans="1:9" ht="15" x14ac:dyDescent="0.25">
      <c r="A634" s="95"/>
      <c r="B634" s="95"/>
      <c r="C634" s="95"/>
      <c r="D634" s="95"/>
      <c r="E634" s="95"/>
      <c r="F634" s="95"/>
      <c r="G634" s="95"/>
      <c r="H634" s="95"/>
      <c r="I634" s="49"/>
    </row>
    <row r="635" spans="1:9" ht="15" x14ac:dyDescent="0.25">
      <c r="A635" s="95"/>
      <c r="B635" s="95"/>
      <c r="C635" s="95"/>
      <c r="D635" s="95"/>
      <c r="E635" s="95"/>
      <c r="F635" s="95"/>
      <c r="G635" s="95"/>
      <c r="H635" s="95"/>
      <c r="I635" s="49"/>
    </row>
    <row r="636" spans="1:9" ht="15" x14ac:dyDescent="0.25">
      <c r="A636" s="95"/>
      <c r="B636" s="95"/>
      <c r="C636" s="95"/>
      <c r="D636" s="95"/>
      <c r="E636" s="95"/>
      <c r="F636" s="95"/>
      <c r="G636" s="95"/>
      <c r="H636" s="95"/>
      <c r="I636" s="49"/>
    </row>
    <row r="637" spans="1:9" ht="15" x14ac:dyDescent="0.25">
      <c r="A637" s="95"/>
      <c r="B637" s="95"/>
      <c r="C637" s="95"/>
      <c r="D637" s="95"/>
      <c r="E637" s="95"/>
      <c r="F637" s="95"/>
      <c r="G637" s="95"/>
      <c r="H637" s="95"/>
      <c r="I637" s="49"/>
    </row>
    <row r="638" spans="1:9" ht="15" x14ac:dyDescent="0.25">
      <c r="A638" s="95"/>
      <c r="B638" s="95"/>
      <c r="C638" s="95"/>
      <c r="D638" s="95"/>
      <c r="E638" s="95"/>
      <c r="F638" s="95"/>
      <c r="G638" s="95"/>
      <c r="H638" s="95"/>
      <c r="I638" s="49"/>
    </row>
    <row r="639" spans="1:9" ht="15" x14ac:dyDescent="0.25">
      <c r="A639" s="95"/>
      <c r="B639" s="95"/>
      <c r="C639" s="95"/>
      <c r="D639" s="95"/>
      <c r="E639" s="95"/>
      <c r="F639" s="95"/>
      <c r="G639" s="95"/>
      <c r="H639" s="95"/>
      <c r="I639" s="49"/>
    </row>
    <row r="640" spans="1:9" ht="15" x14ac:dyDescent="0.25">
      <c r="A640" s="95"/>
      <c r="B640" s="95"/>
      <c r="C640" s="95"/>
      <c r="D640" s="95"/>
      <c r="E640" s="95"/>
      <c r="F640" s="95"/>
      <c r="G640" s="95"/>
      <c r="H640" s="95"/>
      <c r="I640" s="49"/>
    </row>
    <row r="641" spans="1:9" ht="15" x14ac:dyDescent="0.25">
      <c r="A641" s="95"/>
      <c r="B641" s="95"/>
      <c r="C641" s="95"/>
      <c r="D641" s="95"/>
      <c r="E641" s="95"/>
      <c r="F641" s="95"/>
      <c r="G641" s="95"/>
      <c r="H641" s="95"/>
      <c r="I641" s="49"/>
    </row>
    <row r="642" spans="1:9" ht="15" x14ac:dyDescent="0.25">
      <c r="A642" s="95"/>
      <c r="B642" s="95"/>
      <c r="C642" s="95"/>
      <c r="D642" s="95"/>
      <c r="E642" s="95"/>
      <c r="F642" s="95"/>
      <c r="G642" s="95"/>
      <c r="H642" s="95"/>
      <c r="I642" s="49"/>
    </row>
    <row r="643" spans="1:9" ht="15" x14ac:dyDescent="0.25">
      <c r="A643" s="95"/>
      <c r="B643" s="95"/>
      <c r="C643" s="95"/>
      <c r="D643" s="95"/>
      <c r="E643" s="95"/>
      <c r="F643" s="95"/>
      <c r="G643" s="95"/>
      <c r="H643" s="95"/>
      <c r="I643" s="49"/>
    </row>
    <row r="644" spans="1:9" ht="15" x14ac:dyDescent="0.25">
      <c r="A644" s="95"/>
      <c r="B644" s="95"/>
      <c r="C644" s="95"/>
      <c r="D644" s="95"/>
      <c r="E644" s="95"/>
      <c r="F644" s="95"/>
      <c r="G644" s="95"/>
      <c r="H644" s="95"/>
      <c r="I644" s="49"/>
    </row>
    <row r="645" spans="1:9" ht="15" x14ac:dyDescent="0.25">
      <c r="A645" s="95"/>
      <c r="B645" s="95"/>
      <c r="C645" s="95"/>
      <c r="D645" s="95"/>
      <c r="E645" s="95"/>
      <c r="F645" s="95"/>
      <c r="G645" s="95"/>
      <c r="H645" s="95"/>
      <c r="I645" s="49"/>
    </row>
    <row r="646" spans="1:9" ht="15" x14ac:dyDescent="0.25">
      <c r="A646" s="95"/>
      <c r="B646" s="95"/>
      <c r="C646" s="95"/>
      <c r="D646" s="95"/>
      <c r="E646" s="95"/>
      <c r="F646" s="95"/>
      <c r="G646" s="95"/>
      <c r="H646" s="95"/>
      <c r="I646" s="49"/>
    </row>
    <row r="647" spans="1:9" ht="15" x14ac:dyDescent="0.25">
      <c r="A647" s="95"/>
      <c r="B647" s="95"/>
      <c r="C647" s="95"/>
      <c r="D647" s="95"/>
      <c r="E647" s="95"/>
      <c r="F647" s="95"/>
      <c r="G647" s="95"/>
      <c r="H647" s="95"/>
      <c r="I647" s="49"/>
    </row>
    <row r="648" spans="1:9" ht="15" x14ac:dyDescent="0.25">
      <c r="A648" s="95"/>
      <c r="B648" s="95"/>
      <c r="C648" s="95"/>
      <c r="D648" s="95"/>
      <c r="E648" s="95"/>
      <c r="F648" s="95"/>
      <c r="G648" s="95"/>
      <c r="H648" s="95"/>
      <c r="I648" s="49"/>
    </row>
    <row r="649" spans="1:9" ht="15" x14ac:dyDescent="0.25">
      <c r="A649" s="95"/>
      <c r="B649" s="95"/>
      <c r="C649" s="95"/>
      <c r="D649" s="95"/>
      <c r="E649" s="95"/>
      <c r="F649" s="95"/>
      <c r="G649" s="95"/>
      <c r="H649" s="95"/>
      <c r="I649" s="49"/>
    </row>
    <row r="650" spans="1:9" ht="15" x14ac:dyDescent="0.25">
      <c r="A650" s="95"/>
      <c r="B650" s="95"/>
      <c r="C650" s="95"/>
      <c r="D650" s="95"/>
      <c r="E650" s="95"/>
      <c r="F650" s="95"/>
      <c r="G650" s="95"/>
      <c r="H650" s="95"/>
      <c r="I650" s="49"/>
    </row>
    <row r="651" spans="1:9" ht="15" x14ac:dyDescent="0.25">
      <c r="A651" s="95"/>
      <c r="B651" s="95"/>
      <c r="C651" s="95"/>
      <c r="D651" s="95"/>
      <c r="E651" s="95"/>
      <c r="F651" s="95"/>
      <c r="G651" s="95"/>
      <c r="H651" s="95"/>
      <c r="I651" s="49"/>
    </row>
    <row r="652" spans="1:9" ht="15" x14ac:dyDescent="0.25">
      <c r="A652" s="95"/>
      <c r="B652" s="95"/>
      <c r="C652" s="95"/>
      <c r="D652" s="95"/>
      <c r="E652" s="95"/>
      <c r="F652" s="95"/>
      <c r="G652" s="95"/>
      <c r="H652" s="95"/>
      <c r="I652" s="49"/>
    </row>
    <row r="653" spans="1:9" ht="15" x14ac:dyDescent="0.25">
      <c r="A653" s="95"/>
      <c r="B653" s="95"/>
      <c r="C653" s="95"/>
      <c r="D653" s="95"/>
      <c r="E653" s="95"/>
      <c r="F653" s="95"/>
      <c r="G653" s="95"/>
      <c r="H653" s="95"/>
      <c r="I653" s="49"/>
    </row>
    <row r="654" spans="1:9" ht="15" x14ac:dyDescent="0.25">
      <c r="A654" s="95"/>
      <c r="B654" s="95"/>
      <c r="C654" s="95"/>
      <c r="D654" s="95"/>
      <c r="E654" s="95"/>
      <c r="F654" s="95"/>
      <c r="G654" s="95"/>
      <c r="H654" s="95"/>
      <c r="I654" s="49"/>
    </row>
    <row r="655" spans="1:9" ht="15" x14ac:dyDescent="0.25">
      <c r="A655" s="95"/>
      <c r="B655" s="95"/>
      <c r="C655" s="95"/>
      <c r="D655" s="95"/>
      <c r="E655" s="95"/>
      <c r="F655" s="95"/>
      <c r="G655" s="95"/>
      <c r="H655" s="95"/>
      <c r="I655" s="49"/>
    </row>
    <row r="656" spans="1:9" ht="15" x14ac:dyDescent="0.25">
      <c r="A656" s="95"/>
      <c r="B656" s="95"/>
      <c r="C656" s="95"/>
      <c r="D656" s="95"/>
      <c r="E656" s="95"/>
      <c r="F656" s="95"/>
      <c r="G656" s="95"/>
      <c r="H656" s="95"/>
      <c r="I656" s="49"/>
    </row>
    <row r="657" spans="1:9" ht="15" x14ac:dyDescent="0.25">
      <c r="A657" s="95"/>
      <c r="B657" s="95"/>
      <c r="C657" s="95"/>
      <c r="D657" s="95"/>
      <c r="E657" s="95"/>
      <c r="F657" s="95"/>
      <c r="G657" s="95"/>
      <c r="H657" s="95"/>
      <c r="I657" s="49"/>
    </row>
    <row r="658" spans="1:9" ht="15" x14ac:dyDescent="0.25">
      <c r="A658" s="95"/>
      <c r="B658" s="95"/>
      <c r="C658" s="95"/>
      <c r="D658" s="95"/>
      <c r="E658" s="95"/>
      <c r="F658" s="95"/>
      <c r="G658" s="95"/>
      <c r="H658" s="95"/>
      <c r="I658" s="49"/>
    </row>
    <row r="659" spans="1:9" ht="15" x14ac:dyDescent="0.25">
      <c r="A659" s="95"/>
      <c r="B659" s="95"/>
      <c r="C659" s="95"/>
      <c r="D659" s="95"/>
      <c r="E659" s="95"/>
      <c r="F659" s="95"/>
      <c r="G659" s="95"/>
      <c r="H659" s="95"/>
      <c r="I659" s="49"/>
    </row>
    <row r="660" spans="1:9" ht="15" x14ac:dyDescent="0.25">
      <c r="A660" s="95"/>
      <c r="B660" s="95"/>
      <c r="C660" s="95"/>
      <c r="D660" s="95"/>
      <c r="E660" s="95"/>
      <c r="F660" s="95"/>
      <c r="G660" s="95"/>
      <c r="H660" s="95"/>
      <c r="I660" s="49"/>
    </row>
    <row r="661" spans="1:9" ht="15" x14ac:dyDescent="0.25">
      <c r="A661" s="95"/>
      <c r="B661" s="95"/>
      <c r="C661" s="95"/>
      <c r="D661" s="95"/>
      <c r="E661" s="95"/>
      <c r="F661" s="95"/>
      <c r="G661" s="95"/>
      <c r="H661" s="95"/>
      <c r="I661" s="49"/>
    </row>
    <row r="662" spans="1:9" ht="15" x14ac:dyDescent="0.25">
      <c r="A662" s="95"/>
      <c r="B662" s="95"/>
      <c r="C662" s="95"/>
      <c r="D662" s="95"/>
      <c r="E662" s="95"/>
      <c r="F662" s="95"/>
      <c r="G662" s="95"/>
      <c r="H662" s="95"/>
      <c r="I662" s="49"/>
    </row>
    <row r="663" spans="1:9" ht="15" x14ac:dyDescent="0.25">
      <c r="A663" s="95"/>
      <c r="B663" s="95"/>
      <c r="C663" s="95"/>
      <c r="D663" s="95"/>
      <c r="E663" s="95"/>
      <c r="F663" s="95"/>
      <c r="G663" s="95"/>
      <c r="H663" s="95"/>
      <c r="I663" s="49"/>
    </row>
    <row r="664" spans="1:9" ht="15" x14ac:dyDescent="0.25">
      <c r="A664" s="95"/>
      <c r="B664" s="95"/>
      <c r="C664" s="95"/>
      <c r="D664" s="95"/>
      <c r="E664" s="95"/>
      <c r="F664" s="95"/>
      <c r="G664" s="95"/>
      <c r="H664" s="95"/>
      <c r="I664" s="49"/>
    </row>
    <row r="665" spans="1:9" ht="15" x14ac:dyDescent="0.25">
      <c r="A665" s="95"/>
      <c r="B665" s="95"/>
      <c r="C665" s="95"/>
      <c r="D665" s="95"/>
      <c r="E665" s="95"/>
      <c r="F665" s="95"/>
      <c r="G665" s="95"/>
      <c r="H665" s="95"/>
      <c r="I665" s="49"/>
    </row>
    <row r="666" spans="1:9" ht="15" x14ac:dyDescent="0.25">
      <c r="A666" s="95"/>
      <c r="B666" s="95"/>
      <c r="C666" s="95"/>
      <c r="D666" s="95"/>
      <c r="E666" s="95"/>
      <c r="F666" s="95"/>
      <c r="G666" s="95"/>
      <c r="H666" s="95"/>
      <c r="I666" s="49"/>
    </row>
    <row r="667" spans="1:9" ht="15" x14ac:dyDescent="0.25">
      <c r="A667" s="95"/>
      <c r="B667" s="95"/>
      <c r="C667" s="95"/>
      <c r="D667" s="95"/>
      <c r="E667" s="95"/>
      <c r="F667" s="95"/>
      <c r="G667" s="95"/>
      <c r="H667" s="95"/>
      <c r="I667" s="49"/>
    </row>
    <row r="668" spans="1:9" ht="15" x14ac:dyDescent="0.25">
      <c r="A668" s="95"/>
      <c r="B668" s="95"/>
      <c r="C668" s="95"/>
      <c r="D668" s="95"/>
      <c r="E668" s="95"/>
      <c r="F668" s="95"/>
      <c r="G668" s="95"/>
      <c r="H668" s="95"/>
      <c r="I668" s="49"/>
    </row>
    <row r="669" spans="1:9" ht="15" x14ac:dyDescent="0.25">
      <c r="A669" s="95"/>
      <c r="B669" s="95"/>
      <c r="C669" s="95"/>
      <c r="D669" s="95"/>
      <c r="E669" s="95"/>
      <c r="F669" s="95"/>
      <c r="G669" s="95"/>
      <c r="H669" s="95"/>
      <c r="I669" s="49"/>
    </row>
    <row r="670" spans="1:9" ht="15" x14ac:dyDescent="0.25">
      <c r="A670" s="95"/>
      <c r="B670" s="95"/>
      <c r="C670" s="95"/>
      <c r="D670" s="95"/>
      <c r="E670" s="95"/>
      <c r="F670" s="95"/>
      <c r="G670" s="95"/>
      <c r="H670" s="95"/>
      <c r="I670" s="49"/>
    </row>
    <row r="671" spans="1:9" ht="15" x14ac:dyDescent="0.25">
      <c r="A671" s="95"/>
      <c r="B671" s="95"/>
      <c r="C671" s="95"/>
      <c r="D671" s="95"/>
      <c r="E671" s="95"/>
      <c r="F671" s="95"/>
      <c r="G671" s="95"/>
      <c r="H671" s="95"/>
      <c r="I671" s="49"/>
    </row>
    <row r="672" spans="1:9" ht="15" x14ac:dyDescent="0.25">
      <c r="A672" s="95"/>
      <c r="B672" s="95"/>
      <c r="C672" s="95"/>
      <c r="D672" s="95"/>
      <c r="E672" s="95"/>
      <c r="F672" s="95"/>
      <c r="G672" s="95"/>
      <c r="H672" s="95"/>
      <c r="I672" s="49"/>
    </row>
    <row r="673" spans="1:9" ht="15" x14ac:dyDescent="0.25">
      <c r="A673" s="95"/>
      <c r="B673" s="95"/>
      <c r="C673" s="95"/>
      <c r="D673" s="95"/>
      <c r="E673" s="95"/>
      <c r="F673" s="95"/>
      <c r="G673" s="95"/>
      <c r="H673" s="95"/>
      <c r="I673" s="49"/>
    </row>
    <row r="674" spans="1:9" ht="15" x14ac:dyDescent="0.25">
      <c r="A674" s="95"/>
      <c r="B674" s="95"/>
      <c r="C674" s="95"/>
      <c r="D674" s="95"/>
      <c r="E674" s="95"/>
      <c r="F674" s="95"/>
      <c r="G674" s="95"/>
      <c r="H674" s="95"/>
      <c r="I674" s="49"/>
    </row>
    <row r="675" spans="1:9" ht="15" x14ac:dyDescent="0.25">
      <c r="A675" s="95"/>
      <c r="B675" s="95"/>
      <c r="C675" s="95"/>
      <c r="D675" s="95"/>
      <c r="E675" s="95"/>
      <c r="F675" s="95"/>
      <c r="G675" s="95"/>
      <c r="H675" s="95"/>
      <c r="I675" s="49"/>
    </row>
    <row r="676" spans="1:9" ht="15" x14ac:dyDescent="0.25">
      <c r="A676" s="95"/>
      <c r="B676" s="95"/>
      <c r="C676" s="95"/>
      <c r="D676" s="95"/>
      <c r="E676" s="95"/>
      <c r="F676" s="95"/>
      <c r="G676" s="95"/>
      <c r="H676" s="95"/>
      <c r="I676" s="49"/>
    </row>
    <row r="677" spans="1:9" ht="15" x14ac:dyDescent="0.25">
      <c r="A677" s="95"/>
      <c r="B677" s="95"/>
      <c r="C677" s="95"/>
      <c r="D677" s="95"/>
      <c r="E677" s="95"/>
      <c r="F677" s="95"/>
      <c r="G677" s="95"/>
      <c r="H677" s="95"/>
      <c r="I677" s="49"/>
    </row>
    <row r="678" spans="1:9" ht="15" x14ac:dyDescent="0.25">
      <c r="A678" s="95"/>
      <c r="B678" s="95"/>
      <c r="C678" s="95"/>
      <c r="D678" s="95"/>
      <c r="E678" s="95"/>
      <c r="F678" s="95"/>
      <c r="G678" s="95"/>
      <c r="H678" s="95"/>
      <c r="I678" s="49"/>
    </row>
    <row r="679" spans="1:9" ht="15" x14ac:dyDescent="0.25">
      <c r="A679" s="95"/>
      <c r="B679" s="95"/>
      <c r="C679" s="95"/>
      <c r="D679" s="95"/>
      <c r="E679" s="95"/>
      <c r="F679" s="95"/>
      <c r="G679" s="95"/>
      <c r="H679" s="95"/>
      <c r="I679" s="49"/>
    </row>
    <row r="680" spans="1:9" ht="15" x14ac:dyDescent="0.25">
      <c r="A680" s="95"/>
      <c r="B680" s="95"/>
      <c r="C680" s="95"/>
      <c r="D680" s="95"/>
      <c r="E680" s="95"/>
      <c r="F680" s="95"/>
      <c r="G680" s="95"/>
      <c r="H680" s="95"/>
      <c r="I680" s="49"/>
    </row>
    <row r="681" spans="1:9" ht="15" x14ac:dyDescent="0.25">
      <c r="A681" s="95"/>
      <c r="B681" s="95"/>
      <c r="C681" s="95"/>
      <c r="D681" s="95"/>
      <c r="E681" s="95"/>
      <c r="F681" s="95"/>
      <c r="G681" s="95"/>
      <c r="H681" s="95"/>
      <c r="I681" s="49"/>
    </row>
    <row r="682" spans="1:9" ht="15" x14ac:dyDescent="0.25">
      <c r="A682" s="95"/>
      <c r="B682" s="95"/>
      <c r="C682" s="95"/>
      <c r="D682" s="95"/>
      <c r="E682" s="95"/>
      <c r="F682" s="95"/>
      <c r="G682" s="95"/>
      <c r="H682" s="95"/>
      <c r="I682" s="49"/>
    </row>
    <row r="683" spans="1:9" ht="15" x14ac:dyDescent="0.25">
      <c r="A683" s="95"/>
      <c r="B683" s="95"/>
      <c r="C683" s="95"/>
      <c r="D683" s="95"/>
      <c r="E683" s="95"/>
      <c r="F683" s="95"/>
      <c r="G683" s="95"/>
      <c r="H683" s="95"/>
      <c r="I683" s="49"/>
    </row>
    <row r="684" spans="1:9" ht="15" x14ac:dyDescent="0.25">
      <c r="A684" s="95"/>
      <c r="B684" s="95"/>
      <c r="C684" s="95"/>
      <c r="D684" s="95"/>
      <c r="E684" s="95"/>
      <c r="F684" s="95"/>
      <c r="G684" s="95"/>
      <c r="H684" s="95"/>
      <c r="I684" s="49"/>
    </row>
    <row r="685" spans="1:9" ht="15" x14ac:dyDescent="0.25">
      <c r="A685" s="95"/>
      <c r="B685" s="95"/>
      <c r="C685" s="95"/>
      <c r="D685" s="95"/>
      <c r="E685" s="95"/>
      <c r="F685" s="95"/>
      <c r="G685" s="95"/>
      <c r="H685" s="95"/>
      <c r="I685" s="49"/>
    </row>
    <row r="686" spans="1:9" ht="15" x14ac:dyDescent="0.25">
      <c r="A686" s="95"/>
      <c r="B686" s="95"/>
      <c r="C686" s="95"/>
      <c r="D686" s="95"/>
      <c r="E686" s="95"/>
      <c r="F686" s="95"/>
      <c r="G686" s="95"/>
      <c r="H686" s="95"/>
      <c r="I686" s="49"/>
    </row>
    <row r="687" spans="1:9" ht="15" x14ac:dyDescent="0.25">
      <c r="A687" s="95"/>
      <c r="B687" s="95"/>
      <c r="C687" s="95"/>
      <c r="D687" s="95"/>
      <c r="E687" s="95"/>
      <c r="F687" s="95"/>
      <c r="G687" s="95"/>
      <c r="H687" s="95"/>
      <c r="I687" s="49"/>
    </row>
    <row r="688" spans="1:9" ht="15" x14ac:dyDescent="0.25">
      <c r="A688" s="95"/>
      <c r="B688" s="95"/>
      <c r="C688" s="95"/>
      <c r="D688" s="95"/>
      <c r="E688" s="95"/>
      <c r="F688" s="95"/>
      <c r="G688" s="95"/>
      <c r="H688" s="95"/>
      <c r="I688" s="49"/>
    </row>
    <row r="689" spans="1:9" ht="15" x14ac:dyDescent="0.25">
      <c r="A689" s="95"/>
      <c r="B689" s="95"/>
      <c r="C689" s="95"/>
      <c r="D689" s="95"/>
      <c r="E689" s="95"/>
      <c r="F689" s="95"/>
      <c r="G689" s="95"/>
      <c r="H689" s="95"/>
      <c r="I689" s="49"/>
    </row>
    <row r="690" spans="1:9" ht="15" x14ac:dyDescent="0.25">
      <c r="A690" s="95"/>
      <c r="B690" s="95"/>
      <c r="C690" s="95"/>
      <c r="D690" s="95"/>
      <c r="E690" s="95"/>
      <c r="F690" s="95"/>
      <c r="G690" s="95"/>
      <c r="H690" s="95"/>
      <c r="I690" s="49"/>
    </row>
    <row r="691" spans="1:9" ht="15" x14ac:dyDescent="0.25">
      <c r="A691" s="95"/>
      <c r="B691" s="95"/>
      <c r="C691" s="95"/>
      <c r="D691" s="95"/>
      <c r="E691" s="95"/>
      <c r="F691" s="95"/>
      <c r="G691" s="95"/>
      <c r="H691" s="95"/>
      <c r="I691" s="49"/>
    </row>
    <row r="692" spans="1:9" ht="15" x14ac:dyDescent="0.25">
      <c r="A692" s="95"/>
      <c r="B692" s="95"/>
      <c r="C692" s="95"/>
      <c r="D692" s="95"/>
      <c r="E692" s="95"/>
      <c r="F692" s="95"/>
      <c r="G692" s="95"/>
      <c r="H692" s="95"/>
      <c r="I692" s="49"/>
    </row>
    <row r="693" spans="1:9" ht="15" x14ac:dyDescent="0.25">
      <c r="A693" s="95"/>
      <c r="B693" s="95"/>
      <c r="C693" s="95"/>
      <c r="D693" s="95"/>
      <c r="E693" s="95"/>
      <c r="F693" s="95"/>
      <c r="G693" s="95"/>
      <c r="H693" s="95"/>
      <c r="I693" s="49"/>
    </row>
    <row r="694" spans="1:9" ht="15" x14ac:dyDescent="0.25">
      <c r="A694" s="95"/>
      <c r="B694" s="95"/>
      <c r="C694" s="95"/>
      <c r="D694" s="95"/>
      <c r="E694" s="95"/>
      <c r="F694" s="95"/>
      <c r="G694" s="95"/>
      <c r="H694" s="95"/>
      <c r="I694" s="49"/>
    </row>
    <row r="695" spans="1:9" ht="15" x14ac:dyDescent="0.25">
      <c r="A695" s="95"/>
      <c r="B695" s="95"/>
      <c r="C695" s="95"/>
      <c r="D695" s="95"/>
      <c r="E695" s="95"/>
      <c r="F695" s="95"/>
      <c r="G695" s="95"/>
      <c r="H695" s="95"/>
      <c r="I695" s="49"/>
    </row>
    <row r="696" spans="1:9" ht="15" x14ac:dyDescent="0.25">
      <c r="A696" s="95"/>
      <c r="B696" s="95"/>
      <c r="C696" s="95"/>
      <c r="D696" s="95"/>
      <c r="E696" s="95"/>
      <c r="F696" s="95"/>
      <c r="G696" s="95"/>
      <c r="H696" s="95"/>
      <c r="I696" s="49"/>
    </row>
    <row r="697" spans="1:9" ht="15" x14ac:dyDescent="0.25">
      <c r="A697" s="95"/>
      <c r="B697" s="95"/>
      <c r="C697" s="95"/>
      <c r="D697" s="95"/>
      <c r="E697" s="95"/>
      <c r="F697" s="95"/>
      <c r="G697" s="95"/>
      <c r="H697" s="95"/>
      <c r="I697" s="49"/>
    </row>
    <row r="698" spans="1:9" ht="15" x14ac:dyDescent="0.25">
      <c r="A698" s="95"/>
      <c r="B698" s="95"/>
      <c r="C698" s="95"/>
      <c r="D698" s="95"/>
      <c r="E698" s="95"/>
      <c r="F698" s="95"/>
      <c r="G698" s="95"/>
      <c r="H698" s="95"/>
      <c r="I698" s="49"/>
    </row>
    <row r="699" spans="1:9" ht="15" x14ac:dyDescent="0.25">
      <c r="A699" s="95"/>
      <c r="B699" s="95"/>
      <c r="C699" s="95"/>
      <c r="D699" s="95"/>
      <c r="E699" s="95"/>
      <c r="F699" s="95"/>
      <c r="G699" s="95"/>
      <c r="H699" s="95"/>
      <c r="I699" s="49"/>
    </row>
    <row r="700" spans="1:9" ht="15" x14ac:dyDescent="0.25">
      <c r="A700" s="95"/>
      <c r="B700" s="95"/>
      <c r="C700" s="95"/>
      <c r="D700" s="95"/>
      <c r="E700" s="95"/>
      <c r="F700" s="95"/>
      <c r="G700" s="95"/>
      <c r="H700" s="95"/>
      <c r="I700" s="49"/>
    </row>
    <row r="701" spans="1:9" ht="15" x14ac:dyDescent="0.25">
      <c r="A701" s="95"/>
      <c r="B701" s="95"/>
      <c r="C701" s="95"/>
      <c r="D701" s="95"/>
      <c r="E701" s="95"/>
      <c r="F701" s="95"/>
      <c r="G701" s="95"/>
      <c r="H701" s="95"/>
      <c r="I701" s="49"/>
    </row>
    <row r="702" spans="1:9" ht="15" x14ac:dyDescent="0.25">
      <c r="A702" s="95"/>
      <c r="B702" s="95"/>
      <c r="C702" s="95"/>
      <c r="D702" s="95"/>
      <c r="E702" s="95"/>
      <c r="F702" s="95"/>
      <c r="G702" s="95"/>
      <c r="H702" s="95"/>
      <c r="I702" s="49"/>
    </row>
    <row r="703" spans="1:9" ht="15" x14ac:dyDescent="0.25">
      <c r="A703" s="95"/>
      <c r="B703" s="95"/>
      <c r="C703" s="95"/>
      <c r="D703" s="95"/>
      <c r="E703" s="95"/>
      <c r="F703" s="95"/>
      <c r="G703" s="95"/>
      <c r="H703" s="95"/>
      <c r="I703" s="49"/>
    </row>
    <row r="704" spans="1:9" ht="15" x14ac:dyDescent="0.25">
      <c r="A704" s="95"/>
      <c r="B704" s="95"/>
      <c r="C704" s="95"/>
      <c r="D704" s="95"/>
      <c r="E704" s="95"/>
      <c r="F704" s="95"/>
      <c r="G704" s="95"/>
      <c r="H704" s="95"/>
      <c r="I704" s="49"/>
    </row>
    <row r="705" spans="1:9" ht="15" x14ac:dyDescent="0.25">
      <c r="A705" s="95"/>
      <c r="B705" s="95"/>
      <c r="C705" s="95"/>
      <c r="D705" s="95"/>
      <c r="E705" s="95"/>
      <c r="F705" s="95"/>
      <c r="G705" s="95"/>
      <c r="H705" s="95"/>
      <c r="I705" s="49"/>
    </row>
    <row r="706" spans="1:9" ht="15" x14ac:dyDescent="0.25">
      <c r="A706" s="95"/>
      <c r="B706" s="95"/>
      <c r="C706" s="95"/>
      <c r="D706" s="95"/>
      <c r="E706" s="95"/>
      <c r="F706" s="95"/>
      <c r="G706" s="95"/>
      <c r="H706" s="95"/>
      <c r="I706" s="49"/>
    </row>
    <row r="707" spans="1:9" ht="15" x14ac:dyDescent="0.25">
      <c r="A707" s="95"/>
      <c r="B707" s="95"/>
      <c r="C707" s="95"/>
      <c r="D707" s="95"/>
      <c r="E707" s="95"/>
      <c r="F707" s="95"/>
      <c r="G707" s="95"/>
      <c r="H707" s="95"/>
      <c r="I707" s="49"/>
    </row>
    <row r="708" spans="1:9" ht="15" x14ac:dyDescent="0.25">
      <c r="A708" s="95"/>
      <c r="B708" s="95"/>
      <c r="C708" s="95"/>
      <c r="D708" s="95"/>
      <c r="E708" s="95"/>
      <c r="F708" s="95"/>
      <c r="G708" s="95"/>
      <c r="H708" s="95"/>
      <c r="I708" s="49"/>
    </row>
    <row r="709" spans="1:9" ht="15" x14ac:dyDescent="0.25">
      <c r="A709" s="95"/>
      <c r="B709" s="95"/>
      <c r="C709" s="95"/>
      <c r="D709" s="95"/>
      <c r="E709" s="95"/>
      <c r="F709" s="95"/>
      <c r="G709" s="95"/>
      <c r="H709" s="95"/>
      <c r="I709" s="49"/>
    </row>
    <row r="710" spans="1:9" ht="15" x14ac:dyDescent="0.25">
      <c r="A710" s="95"/>
      <c r="B710" s="95"/>
      <c r="C710" s="95"/>
      <c r="D710" s="95"/>
      <c r="E710" s="95"/>
      <c r="F710" s="95"/>
      <c r="G710" s="95"/>
      <c r="H710" s="95"/>
      <c r="I710" s="49"/>
    </row>
    <row r="711" spans="1:9" ht="15" x14ac:dyDescent="0.25">
      <c r="A711" s="95"/>
      <c r="B711" s="95"/>
      <c r="C711" s="95"/>
      <c r="D711" s="95"/>
      <c r="E711" s="95"/>
      <c r="F711" s="95"/>
      <c r="G711" s="95"/>
      <c r="H711" s="95"/>
      <c r="I711" s="49"/>
    </row>
    <row r="712" spans="1:9" ht="15" x14ac:dyDescent="0.25">
      <c r="A712" s="95"/>
      <c r="B712" s="95"/>
      <c r="C712" s="95"/>
      <c r="D712" s="95"/>
      <c r="E712" s="95"/>
      <c r="F712" s="95"/>
      <c r="G712" s="95"/>
      <c r="H712" s="95"/>
      <c r="I712" s="49"/>
    </row>
    <row r="713" spans="1:9" ht="15" x14ac:dyDescent="0.25">
      <c r="A713" s="95"/>
      <c r="B713" s="95"/>
      <c r="C713" s="95"/>
      <c r="D713" s="95"/>
      <c r="E713" s="95"/>
      <c r="F713" s="95"/>
      <c r="G713" s="95"/>
      <c r="H713" s="95"/>
      <c r="I713" s="49"/>
    </row>
    <row r="714" spans="1:9" ht="15" x14ac:dyDescent="0.25">
      <c r="A714" s="95"/>
      <c r="B714" s="95"/>
      <c r="C714" s="95"/>
      <c r="D714" s="95"/>
      <c r="E714" s="95"/>
      <c r="F714" s="95"/>
      <c r="G714" s="95"/>
      <c r="H714" s="95"/>
      <c r="I714" s="49"/>
    </row>
    <row r="715" spans="1:9" ht="15" x14ac:dyDescent="0.25">
      <c r="A715" s="95"/>
      <c r="B715" s="95"/>
      <c r="C715" s="95"/>
      <c r="D715" s="95"/>
      <c r="E715" s="95"/>
      <c r="F715" s="95"/>
      <c r="G715" s="95"/>
      <c r="H715" s="95"/>
      <c r="I715" s="49"/>
    </row>
    <row r="716" spans="1:9" ht="15" x14ac:dyDescent="0.25">
      <c r="A716" s="95"/>
      <c r="B716" s="95"/>
      <c r="C716" s="95"/>
      <c r="D716" s="95"/>
      <c r="E716" s="95"/>
      <c r="F716" s="95"/>
      <c r="G716" s="95"/>
      <c r="H716" s="95"/>
      <c r="I716" s="49"/>
    </row>
    <row r="717" spans="1:9" ht="15" x14ac:dyDescent="0.25">
      <c r="A717" s="95"/>
      <c r="B717" s="95"/>
      <c r="C717" s="95"/>
      <c r="D717" s="95"/>
      <c r="E717" s="95"/>
      <c r="F717" s="95"/>
      <c r="G717" s="95"/>
      <c r="H717" s="95"/>
      <c r="I717" s="49"/>
    </row>
    <row r="718" spans="1:9" ht="15" x14ac:dyDescent="0.25">
      <c r="A718" s="95"/>
      <c r="B718" s="95"/>
      <c r="C718" s="95"/>
      <c r="D718" s="95"/>
      <c r="E718" s="95"/>
      <c r="F718" s="95"/>
      <c r="G718" s="95"/>
      <c r="H718" s="95"/>
      <c r="I718" s="49"/>
    </row>
    <row r="719" spans="1:9" ht="15" x14ac:dyDescent="0.25">
      <c r="A719" s="95"/>
      <c r="B719" s="95"/>
      <c r="C719" s="95"/>
      <c r="D719" s="95"/>
      <c r="E719" s="95"/>
      <c r="F719" s="95"/>
      <c r="G719" s="95"/>
      <c r="H719" s="95"/>
      <c r="I719" s="49"/>
    </row>
    <row r="720" spans="1:9" ht="15" x14ac:dyDescent="0.25">
      <c r="A720" s="95"/>
      <c r="B720" s="95"/>
      <c r="C720" s="95"/>
      <c r="D720" s="95"/>
      <c r="E720" s="95"/>
      <c r="F720" s="95"/>
      <c r="G720" s="95"/>
      <c r="H720" s="95"/>
      <c r="I720" s="49"/>
    </row>
    <row r="721" spans="1:9" ht="15" x14ac:dyDescent="0.25">
      <c r="A721" s="95"/>
      <c r="B721" s="95"/>
      <c r="C721" s="95"/>
      <c r="D721" s="95"/>
      <c r="E721" s="95"/>
      <c r="F721" s="95"/>
      <c r="G721" s="95"/>
      <c r="H721" s="95"/>
      <c r="I721" s="49"/>
    </row>
    <row r="722" spans="1:9" ht="15" x14ac:dyDescent="0.25">
      <c r="A722" s="95"/>
      <c r="B722" s="95"/>
      <c r="C722" s="95"/>
      <c r="D722" s="95"/>
      <c r="E722" s="95"/>
      <c r="F722" s="95"/>
      <c r="G722" s="95"/>
      <c r="H722" s="95"/>
      <c r="I722" s="49"/>
    </row>
    <row r="723" spans="1:9" ht="15" x14ac:dyDescent="0.25">
      <c r="A723" s="95"/>
      <c r="B723" s="95"/>
      <c r="C723" s="95"/>
      <c r="D723" s="95"/>
      <c r="E723" s="95"/>
      <c r="F723" s="95"/>
      <c r="G723" s="95"/>
      <c r="H723" s="95"/>
      <c r="I723" s="49"/>
    </row>
    <row r="724" spans="1:9" ht="15" x14ac:dyDescent="0.25">
      <c r="A724" s="95"/>
      <c r="B724" s="95"/>
      <c r="C724" s="95"/>
      <c r="D724" s="95"/>
      <c r="E724" s="95"/>
      <c r="F724" s="95"/>
      <c r="G724" s="95"/>
      <c r="H724" s="95"/>
      <c r="I724" s="49"/>
    </row>
    <row r="725" spans="1:9" ht="15" x14ac:dyDescent="0.25">
      <c r="A725" s="95"/>
      <c r="B725" s="95"/>
      <c r="C725" s="95"/>
      <c r="D725" s="95"/>
      <c r="E725" s="95"/>
      <c r="F725" s="95"/>
      <c r="G725" s="95"/>
      <c r="H725" s="95"/>
      <c r="I725" s="49"/>
    </row>
    <row r="726" spans="1:9" ht="15" x14ac:dyDescent="0.25">
      <c r="A726" s="95"/>
      <c r="B726" s="95"/>
      <c r="C726" s="95"/>
      <c r="D726" s="95"/>
      <c r="E726" s="95"/>
      <c r="F726" s="95"/>
      <c r="G726" s="95"/>
      <c r="H726" s="95"/>
      <c r="I726" s="49"/>
    </row>
    <row r="727" spans="1:9" ht="15" x14ac:dyDescent="0.25">
      <c r="A727" s="95"/>
      <c r="B727" s="95"/>
      <c r="C727" s="95"/>
      <c r="D727" s="95"/>
      <c r="E727" s="95"/>
      <c r="F727" s="95"/>
      <c r="G727" s="95"/>
      <c r="H727" s="95"/>
      <c r="I727" s="49"/>
    </row>
    <row r="728" spans="1:9" ht="15" x14ac:dyDescent="0.25">
      <c r="A728" s="95"/>
      <c r="B728" s="95"/>
      <c r="C728" s="95"/>
      <c r="D728" s="95"/>
      <c r="E728" s="95"/>
      <c r="F728" s="95"/>
      <c r="G728" s="95"/>
      <c r="H728" s="95"/>
      <c r="I728" s="49"/>
    </row>
    <row r="729" spans="1:9" ht="15" x14ac:dyDescent="0.25">
      <c r="A729" s="95"/>
      <c r="B729" s="95"/>
      <c r="C729" s="95"/>
      <c r="D729" s="95"/>
      <c r="E729" s="95"/>
      <c r="F729" s="95"/>
      <c r="G729" s="95"/>
      <c r="H729" s="95"/>
      <c r="I729" s="49"/>
    </row>
    <row r="730" spans="1:9" ht="15" x14ac:dyDescent="0.25">
      <c r="A730" s="95"/>
      <c r="B730" s="95"/>
      <c r="C730" s="95"/>
      <c r="D730" s="95"/>
      <c r="E730" s="95"/>
      <c r="F730" s="95"/>
      <c r="G730" s="95"/>
      <c r="H730" s="95"/>
      <c r="I730" s="49"/>
    </row>
    <row r="731" spans="1:9" ht="15" x14ac:dyDescent="0.25">
      <c r="A731" s="95"/>
      <c r="B731" s="95"/>
      <c r="C731" s="95"/>
      <c r="D731" s="95"/>
      <c r="E731" s="95"/>
      <c r="F731" s="95"/>
      <c r="G731" s="95"/>
      <c r="H731" s="95"/>
      <c r="I731" s="49"/>
    </row>
    <row r="732" spans="1:9" ht="15" x14ac:dyDescent="0.25">
      <c r="A732" s="95"/>
      <c r="B732" s="95"/>
      <c r="C732" s="95"/>
      <c r="D732" s="95"/>
      <c r="E732" s="95"/>
      <c r="F732" s="95"/>
      <c r="G732" s="95"/>
      <c r="H732" s="95"/>
      <c r="I732" s="49"/>
    </row>
    <row r="733" spans="1:9" ht="15" x14ac:dyDescent="0.25">
      <c r="A733" s="95"/>
      <c r="B733" s="95"/>
      <c r="C733" s="95"/>
      <c r="D733" s="95"/>
      <c r="E733" s="95"/>
      <c r="F733" s="95"/>
      <c r="G733" s="95"/>
      <c r="H733" s="95"/>
      <c r="I733" s="49"/>
    </row>
    <row r="734" spans="1:9" ht="15" x14ac:dyDescent="0.25">
      <c r="A734" s="95"/>
      <c r="B734" s="95"/>
      <c r="C734" s="95"/>
      <c r="D734" s="95"/>
      <c r="E734" s="95"/>
      <c r="F734" s="95"/>
      <c r="G734" s="95"/>
      <c r="H734" s="95"/>
      <c r="I734" s="49"/>
    </row>
    <row r="735" spans="1:9" ht="15" x14ac:dyDescent="0.25">
      <c r="A735" s="95"/>
      <c r="B735" s="95"/>
      <c r="C735" s="95"/>
      <c r="D735" s="95"/>
      <c r="E735" s="95"/>
      <c r="F735" s="95"/>
      <c r="G735" s="95"/>
      <c r="H735" s="95"/>
      <c r="I735" s="49"/>
    </row>
    <row r="736" spans="1:9" ht="15" x14ac:dyDescent="0.25">
      <c r="A736" s="95"/>
      <c r="B736" s="95"/>
      <c r="C736" s="95"/>
      <c r="D736" s="95"/>
      <c r="E736" s="95"/>
      <c r="F736" s="95"/>
      <c r="G736" s="95"/>
      <c r="H736" s="95"/>
      <c r="I736" s="49"/>
    </row>
    <row r="737" spans="1:9" ht="15" x14ac:dyDescent="0.25">
      <c r="A737" s="95"/>
      <c r="B737" s="95"/>
      <c r="C737" s="95"/>
      <c r="D737" s="95"/>
      <c r="E737" s="95"/>
      <c r="F737" s="95"/>
      <c r="G737" s="95"/>
      <c r="H737" s="95"/>
      <c r="I737" s="49"/>
    </row>
    <row r="738" spans="1:9" ht="15" x14ac:dyDescent="0.25">
      <c r="A738" s="95"/>
      <c r="B738" s="95"/>
      <c r="C738" s="95"/>
      <c r="D738" s="95"/>
      <c r="E738" s="95"/>
      <c r="F738" s="95"/>
      <c r="G738" s="95"/>
      <c r="H738" s="95"/>
      <c r="I738" s="49"/>
    </row>
    <row r="739" spans="1:9" ht="15" x14ac:dyDescent="0.25">
      <c r="A739" s="95"/>
      <c r="B739" s="95"/>
      <c r="C739" s="95"/>
      <c r="D739" s="95"/>
      <c r="E739" s="95"/>
      <c r="F739" s="95"/>
      <c r="G739" s="95"/>
      <c r="H739" s="95"/>
      <c r="I739" s="49"/>
    </row>
    <row r="740" spans="1:9" ht="15" x14ac:dyDescent="0.25">
      <c r="A740" s="95"/>
      <c r="B740" s="95"/>
      <c r="C740" s="95"/>
      <c r="D740" s="95"/>
      <c r="E740" s="95"/>
      <c r="F740" s="95"/>
      <c r="G740" s="95"/>
      <c r="H740" s="95"/>
      <c r="I740" s="49"/>
    </row>
    <row r="741" spans="1:9" ht="15" x14ac:dyDescent="0.25">
      <c r="A741" s="95"/>
      <c r="B741" s="95"/>
      <c r="C741" s="95"/>
      <c r="D741" s="95"/>
      <c r="E741" s="95"/>
      <c r="F741" s="95"/>
      <c r="G741" s="95"/>
      <c r="H741" s="95"/>
      <c r="I741" s="49"/>
    </row>
    <row r="742" spans="1:9" ht="15" x14ac:dyDescent="0.25">
      <c r="A742" s="95"/>
      <c r="B742" s="95"/>
      <c r="C742" s="95"/>
      <c r="D742" s="95"/>
      <c r="E742" s="95"/>
      <c r="F742" s="95"/>
      <c r="G742" s="95"/>
      <c r="H742" s="95"/>
      <c r="I742" s="49"/>
    </row>
    <row r="743" spans="1:9" ht="15" x14ac:dyDescent="0.25">
      <c r="A743" s="95"/>
      <c r="B743" s="95"/>
      <c r="C743" s="95"/>
      <c r="D743" s="95"/>
      <c r="E743" s="95"/>
      <c r="F743" s="95"/>
      <c r="G743" s="95"/>
      <c r="H743" s="95"/>
      <c r="I743" s="49"/>
    </row>
    <row r="744" spans="1:9" ht="15" x14ac:dyDescent="0.25">
      <c r="A744" s="95"/>
      <c r="B744" s="95"/>
      <c r="C744" s="95"/>
      <c r="D744" s="95"/>
      <c r="E744" s="95"/>
      <c r="F744" s="95"/>
      <c r="G744" s="95"/>
      <c r="H744" s="95"/>
      <c r="I744" s="49"/>
    </row>
    <row r="745" spans="1:9" ht="15" x14ac:dyDescent="0.25">
      <c r="A745" s="95"/>
      <c r="B745" s="95"/>
      <c r="C745" s="95"/>
      <c r="D745" s="95"/>
      <c r="E745" s="95"/>
      <c r="F745" s="95"/>
      <c r="G745" s="95"/>
      <c r="H745" s="95"/>
      <c r="I745" s="49"/>
    </row>
    <row r="746" spans="1:9" ht="15" x14ac:dyDescent="0.25">
      <c r="A746" s="95"/>
      <c r="B746" s="95"/>
      <c r="C746" s="95"/>
      <c r="D746" s="95"/>
      <c r="E746" s="95"/>
      <c r="F746" s="95"/>
      <c r="G746" s="95"/>
      <c r="H746" s="95"/>
      <c r="I746" s="49"/>
    </row>
    <row r="747" spans="1:9" ht="15" x14ac:dyDescent="0.25">
      <c r="A747" s="95"/>
      <c r="B747" s="95"/>
      <c r="C747" s="95"/>
      <c r="D747" s="95"/>
      <c r="E747" s="95"/>
      <c r="F747" s="95"/>
      <c r="G747" s="95"/>
      <c r="H747" s="95"/>
      <c r="I747" s="49"/>
    </row>
    <row r="748" spans="1:9" ht="15" x14ac:dyDescent="0.25">
      <c r="A748" s="95"/>
      <c r="B748" s="95"/>
      <c r="C748" s="95"/>
      <c r="D748" s="95"/>
      <c r="E748" s="95"/>
      <c r="F748" s="95"/>
      <c r="G748" s="95"/>
      <c r="H748" s="95"/>
      <c r="I748" s="49"/>
    </row>
    <row r="749" spans="1:9" ht="15" x14ac:dyDescent="0.25">
      <c r="A749" s="95"/>
      <c r="B749" s="95"/>
      <c r="C749" s="95"/>
      <c r="D749" s="95"/>
      <c r="E749" s="95"/>
      <c r="F749" s="95"/>
      <c r="G749" s="95"/>
      <c r="H749" s="95"/>
      <c r="I749" s="49"/>
    </row>
    <row r="750" spans="1:9" ht="15" x14ac:dyDescent="0.25">
      <c r="A750" s="95"/>
      <c r="B750" s="95"/>
      <c r="C750" s="95"/>
      <c r="D750" s="95"/>
      <c r="E750" s="95"/>
      <c r="F750" s="95"/>
      <c r="G750" s="95"/>
      <c r="H750" s="95"/>
      <c r="I750" s="49"/>
    </row>
    <row r="751" spans="1:9" ht="15" x14ac:dyDescent="0.25">
      <c r="A751" s="95"/>
      <c r="B751" s="95"/>
      <c r="C751" s="95"/>
      <c r="D751" s="95"/>
      <c r="E751" s="95"/>
      <c r="F751" s="95"/>
      <c r="G751" s="95"/>
      <c r="H751" s="95"/>
      <c r="I751" s="49"/>
    </row>
    <row r="752" spans="1:9" ht="15" x14ac:dyDescent="0.25">
      <c r="A752" s="95"/>
      <c r="B752" s="95"/>
      <c r="C752" s="95"/>
      <c r="D752" s="95"/>
      <c r="E752" s="95"/>
      <c r="F752" s="95"/>
      <c r="G752" s="95"/>
      <c r="H752" s="95"/>
      <c r="I752" s="49"/>
    </row>
    <row r="753" spans="1:9" ht="15" x14ac:dyDescent="0.25">
      <c r="A753" s="95"/>
      <c r="B753" s="95"/>
      <c r="C753" s="95"/>
      <c r="D753" s="95"/>
      <c r="E753" s="95"/>
      <c r="F753" s="95"/>
      <c r="G753" s="95"/>
      <c r="H753" s="95"/>
      <c r="I753" s="49"/>
    </row>
    <row r="754" spans="1:9" ht="15" x14ac:dyDescent="0.25">
      <c r="A754" s="95"/>
      <c r="B754" s="95"/>
      <c r="C754" s="95"/>
      <c r="D754" s="95"/>
      <c r="E754" s="95"/>
      <c r="F754" s="95"/>
      <c r="G754" s="95"/>
      <c r="H754" s="95"/>
      <c r="I754" s="49"/>
    </row>
    <row r="755" spans="1:9" ht="15" x14ac:dyDescent="0.25">
      <c r="A755" s="95"/>
      <c r="B755" s="95"/>
      <c r="C755" s="95"/>
      <c r="D755" s="95"/>
      <c r="E755" s="95"/>
      <c r="F755" s="95"/>
      <c r="G755" s="95"/>
      <c r="H755" s="95"/>
      <c r="I755" s="49"/>
    </row>
    <row r="756" spans="1:9" ht="15" x14ac:dyDescent="0.25">
      <c r="A756" s="95"/>
      <c r="B756" s="95"/>
      <c r="C756" s="95"/>
      <c r="D756" s="95"/>
      <c r="E756" s="95"/>
      <c r="F756" s="95"/>
      <c r="G756" s="95"/>
      <c r="H756" s="95"/>
      <c r="I756" s="49"/>
    </row>
    <row r="757" spans="1:9" ht="15" x14ac:dyDescent="0.25">
      <c r="A757" s="95"/>
      <c r="B757" s="95"/>
      <c r="C757" s="95"/>
      <c r="D757" s="95"/>
      <c r="E757" s="95"/>
      <c r="F757" s="95"/>
      <c r="G757" s="95"/>
      <c r="H757" s="95"/>
      <c r="I757" s="49"/>
    </row>
    <row r="758" spans="1:9" ht="15" x14ac:dyDescent="0.25">
      <c r="A758" s="95"/>
      <c r="B758" s="95"/>
      <c r="C758" s="95"/>
      <c r="D758" s="95"/>
      <c r="E758" s="95"/>
      <c r="F758" s="95"/>
      <c r="G758" s="95"/>
      <c r="H758" s="95"/>
      <c r="I758" s="49"/>
    </row>
    <row r="759" spans="1:9" ht="15" x14ac:dyDescent="0.25">
      <c r="A759" s="95"/>
      <c r="B759" s="95"/>
      <c r="C759" s="95"/>
      <c r="D759" s="95"/>
      <c r="E759" s="95"/>
      <c r="F759" s="95"/>
      <c r="G759" s="95"/>
      <c r="H759" s="95"/>
      <c r="I759" s="49"/>
    </row>
    <row r="760" spans="1:9" ht="15" x14ac:dyDescent="0.25">
      <c r="A760" s="95"/>
      <c r="B760" s="95"/>
      <c r="C760" s="95"/>
      <c r="D760" s="95"/>
      <c r="E760" s="95"/>
      <c r="F760" s="95"/>
      <c r="G760" s="95"/>
      <c r="H760" s="95"/>
      <c r="I760" s="49"/>
    </row>
    <row r="761" spans="1:9" ht="15" x14ac:dyDescent="0.25">
      <c r="A761" s="95"/>
      <c r="B761" s="95"/>
      <c r="C761" s="95"/>
      <c r="D761" s="95"/>
      <c r="E761" s="95"/>
      <c r="F761" s="95"/>
      <c r="G761" s="95"/>
      <c r="H761" s="95"/>
      <c r="I761" s="49"/>
    </row>
    <row r="762" spans="1:9" ht="15" x14ac:dyDescent="0.25">
      <c r="A762" s="95"/>
      <c r="B762" s="95"/>
      <c r="C762" s="95"/>
      <c r="D762" s="95"/>
      <c r="E762" s="95"/>
      <c r="F762" s="95"/>
      <c r="G762" s="95"/>
      <c r="H762" s="95"/>
      <c r="I762" s="49"/>
    </row>
    <row r="763" spans="1:9" ht="15" x14ac:dyDescent="0.25">
      <c r="A763" s="95"/>
      <c r="B763" s="95"/>
      <c r="C763" s="95"/>
      <c r="D763" s="95"/>
      <c r="E763" s="95"/>
      <c r="F763" s="95"/>
      <c r="G763" s="95"/>
      <c r="H763" s="95"/>
      <c r="I763" s="49"/>
    </row>
    <row r="764" spans="1:9" ht="15" x14ac:dyDescent="0.25">
      <c r="A764" s="95"/>
      <c r="B764" s="95"/>
      <c r="C764" s="95"/>
      <c r="D764" s="95"/>
      <c r="E764" s="95"/>
      <c r="F764" s="95"/>
      <c r="G764" s="95"/>
      <c r="H764" s="95"/>
      <c r="I764" s="49"/>
    </row>
    <row r="765" spans="1:9" ht="15" x14ac:dyDescent="0.25">
      <c r="A765" s="95"/>
      <c r="B765" s="95"/>
      <c r="C765" s="95"/>
      <c r="D765" s="95"/>
      <c r="E765" s="95"/>
      <c r="F765" s="95"/>
      <c r="G765" s="95"/>
      <c r="H765" s="95"/>
      <c r="I765" s="49"/>
    </row>
    <row r="766" spans="1:9" ht="15" x14ac:dyDescent="0.25">
      <c r="A766" s="95"/>
      <c r="B766" s="95"/>
      <c r="C766" s="95"/>
      <c r="D766" s="95"/>
      <c r="E766" s="95"/>
      <c r="F766" s="95"/>
      <c r="G766" s="95"/>
      <c r="H766" s="95"/>
      <c r="I766" s="49"/>
    </row>
    <row r="767" spans="1:9" ht="15" x14ac:dyDescent="0.25">
      <c r="A767" s="95"/>
      <c r="B767" s="95"/>
      <c r="C767" s="95"/>
      <c r="D767" s="95"/>
      <c r="E767" s="95"/>
      <c r="F767" s="95"/>
      <c r="G767" s="95"/>
      <c r="H767" s="95"/>
      <c r="I767" s="49"/>
    </row>
    <row r="768" spans="1:9" ht="15" x14ac:dyDescent="0.25">
      <c r="A768" s="95"/>
      <c r="B768" s="95"/>
      <c r="C768" s="95"/>
      <c r="D768" s="95"/>
      <c r="E768" s="95"/>
      <c r="F768" s="95"/>
      <c r="G768" s="95"/>
      <c r="H768" s="95"/>
      <c r="I768" s="49"/>
    </row>
    <row r="769" spans="1:9" ht="15" x14ac:dyDescent="0.25">
      <c r="A769" s="95"/>
      <c r="B769" s="95"/>
      <c r="C769" s="95"/>
      <c r="D769" s="95"/>
      <c r="E769" s="95"/>
      <c r="F769" s="95"/>
      <c r="G769" s="95"/>
      <c r="H769" s="95"/>
      <c r="I769" s="49"/>
    </row>
    <row r="770" spans="1:9" ht="15" x14ac:dyDescent="0.25">
      <c r="A770" s="95"/>
      <c r="B770" s="95"/>
      <c r="C770" s="95"/>
      <c r="D770" s="95"/>
      <c r="E770" s="95"/>
      <c r="F770" s="95"/>
      <c r="G770" s="95"/>
      <c r="H770" s="95"/>
      <c r="I770" s="49"/>
    </row>
    <row r="771" spans="1:9" ht="15" x14ac:dyDescent="0.25">
      <c r="A771" s="95"/>
      <c r="B771" s="95"/>
      <c r="C771" s="95"/>
      <c r="D771" s="95"/>
      <c r="E771" s="95"/>
      <c r="F771" s="95"/>
      <c r="G771" s="95"/>
      <c r="H771" s="95"/>
      <c r="I771" s="49"/>
    </row>
    <row r="772" spans="1:9" ht="15" x14ac:dyDescent="0.25">
      <c r="A772" s="95"/>
      <c r="B772" s="95"/>
      <c r="C772" s="95"/>
      <c r="D772" s="95"/>
      <c r="E772" s="95"/>
      <c r="F772" s="95"/>
      <c r="G772" s="95"/>
      <c r="H772" s="95"/>
      <c r="I772" s="49"/>
    </row>
    <row r="773" spans="1:9" ht="15" x14ac:dyDescent="0.25">
      <c r="A773" s="95"/>
      <c r="B773" s="95"/>
      <c r="C773" s="95"/>
      <c r="D773" s="95"/>
      <c r="E773" s="95"/>
      <c r="F773" s="95"/>
      <c r="G773" s="95"/>
      <c r="H773" s="95"/>
      <c r="I773" s="49"/>
    </row>
    <row r="774" spans="1:9" ht="15" x14ac:dyDescent="0.25">
      <c r="A774" s="95"/>
      <c r="B774" s="95"/>
      <c r="C774" s="95"/>
      <c r="D774" s="95"/>
      <c r="E774" s="95"/>
      <c r="F774" s="95"/>
      <c r="G774" s="95"/>
      <c r="H774" s="95"/>
      <c r="I774" s="49"/>
    </row>
    <row r="775" spans="1:9" ht="15" x14ac:dyDescent="0.25">
      <c r="A775" s="95"/>
      <c r="B775" s="95"/>
      <c r="C775" s="95"/>
      <c r="D775" s="95"/>
      <c r="E775" s="95"/>
      <c r="F775" s="95"/>
      <c r="G775" s="95"/>
      <c r="H775" s="95"/>
      <c r="I775" s="49"/>
    </row>
    <row r="776" spans="1:9" ht="15" x14ac:dyDescent="0.25">
      <c r="A776" s="95"/>
      <c r="B776" s="95"/>
      <c r="C776" s="95"/>
      <c r="D776" s="95"/>
      <c r="E776" s="95"/>
      <c r="F776" s="95"/>
      <c r="G776" s="95"/>
      <c r="H776" s="95"/>
      <c r="I776" s="49"/>
    </row>
    <row r="777" spans="1:9" ht="15" x14ac:dyDescent="0.25">
      <c r="A777" s="95"/>
      <c r="B777" s="95"/>
      <c r="C777" s="95"/>
      <c r="D777" s="95"/>
      <c r="E777" s="95"/>
      <c r="F777" s="95"/>
      <c r="G777" s="95"/>
      <c r="H777" s="95"/>
      <c r="I777" s="49"/>
    </row>
    <row r="778" spans="1:9" ht="15" x14ac:dyDescent="0.25">
      <c r="A778" s="95"/>
      <c r="B778" s="95"/>
      <c r="C778" s="95"/>
      <c r="D778" s="95"/>
      <c r="E778" s="95"/>
      <c r="F778" s="95"/>
      <c r="G778" s="95"/>
      <c r="H778" s="95"/>
      <c r="I778" s="49"/>
    </row>
    <row r="779" spans="1:9" ht="15" x14ac:dyDescent="0.25">
      <c r="A779" s="95"/>
      <c r="B779" s="95"/>
      <c r="C779" s="95"/>
      <c r="D779" s="95"/>
      <c r="E779" s="95"/>
      <c r="F779" s="95"/>
      <c r="G779" s="95"/>
      <c r="H779" s="95"/>
      <c r="I779" s="49"/>
    </row>
    <row r="780" spans="1:9" ht="15" x14ac:dyDescent="0.25">
      <c r="A780" s="95"/>
      <c r="B780" s="95"/>
      <c r="C780" s="95"/>
      <c r="D780" s="95"/>
      <c r="E780" s="95"/>
      <c r="F780" s="95"/>
      <c r="G780" s="95"/>
      <c r="H780" s="95"/>
      <c r="I780" s="49"/>
    </row>
    <row r="781" spans="1:9" ht="15" x14ac:dyDescent="0.25">
      <c r="A781" s="95"/>
      <c r="B781" s="95"/>
      <c r="C781" s="95"/>
      <c r="D781" s="95"/>
      <c r="E781" s="95"/>
      <c r="F781" s="95"/>
      <c r="G781" s="95"/>
      <c r="H781" s="95"/>
      <c r="I781" s="49"/>
    </row>
    <row r="782" spans="1:9" ht="15" x14ac:dyDescent="0.25">
      <c r="A782" s="95"/>
      <c r="B782" s="95"/>
      <c r="C782" s="95"/>
      <c r="D782" s="95"/>
      <c r="E782" s="95"/>
      <c r="F782" s="95"/>
      <c r="G782" s="95"/>
      <c r="H782" s="95"/>
      <c r="I782" s="49"/>
    </row>
    <row r="783" spans="1:9" ht="15" x14ac:dyDescent="0.25">
      <c r="A783" s="95"/>
      <c r="B783" s="95"/>
      <c r="C783" s="95"/>
      <c r="D783" s="95"/>
      <c r="E783" s="95"/>
      <c r="F783" s="95"/>
      <c r="G783" s="95"/>
      <c r="H783" s="95"/>
      <c r="I783" s="49"/>
    </row>
    <row r="784" spans="1:9" ht="15" x14ac:dyDescent="0.25">
      <c r="A784" s="95"/>
      <c r="B784" s="95"/>
      <c r="C784" s="95"/>
      <c r="D784" s="95"/>
      <c r="E784" s="95"/>
      <c r="F784" s="95"/>
      <c r="G784" s="95"/>
      <c r="H784" s="95"/>
      <c r="I784" s="49"/>
    </row>
    <row r="785" spans="1:9" ht="15" x14ac:dyDescent="0.25">
      <c r="A785" s="95"/>
      <c r="B785" s="95"/>
      <c r="C785" s="95"/>
      <c r="D785" s="95"/>
      <c r="E785" s="95"/>
      <c r="F785" s="95"/>
      <c r="G785" s="95"/>
      <c r="H785" s="95"/>
      <c r="I785" s="49"/>
    </row>
    <row r="786" spans="1:9" ht="15" x14ac:dyDescent="0.25">
      <c r="A786" s="95"/>
      <c r="B786" s="95"/>
      <c r="C786" s="95"/>
      <c r="D786" s="95"/>
      <c r="E786" s="95"/>
      <c r="F786" s="95"/>
      <c r="G786" s="95"/>
      <c r="H786" s="95"/>
      <c r="I786" s="49"/>
    </row>
    <row r="787" spans="1:9" ht="15" x14ac:dyDescent="0.25">
      <c r="A787" s="95"/>
      <c r="B787" s="95"/>
      <c r="C787" s="95"/>
      <c r="D787" s="95"/>
      <c r="E787" s="95"/>
      <c r="F787" s="95"/>
      <c r="G787" s="95"/>
      <c r="H787" s="95"/>
      <c r="I787" s="49"/>
    </row>
    <row r="788" spans="1:9" ht="15" x14ac:dyDescent="0.25">
      <c r="A788" s="95"/>
      <c r="B788" s="95"/>
      <c r="C788" s="95"/>
      <c r="D788" s="95"/>
      <c r="E788" s="95"/>
      <c r="F788" s="95"/>
      <c r="G788" s="95"/>
      <c r="H788" s="95"/>
      <c r="I788" s="49"/>
    </row>
    <row r="789" spans="1:9" ht="15" x14ac:dyDescent="0.25">
      <c r="A789" s="95"/>
      <c r="B789" s="95"/>
      <c r="C789" s="95"/>
      <c r="D789" s="95"/>
      <c r="E789" s="95"/>
      <c r="F789" s="95"/>
      <c r="G789" s="95"/>
      <c r="H789" s="95"/>
      <c r="I789" s="49"/>
    </row>
    <row r="790" spans="1:9" ht="15" x14ac:dyDescent="0.25">
      <c r="A790" s="95"/>
      <c r="B790" s="95"/>
      <c r="C790" s="95"/>
      <c r="D790" s="95"/>
      <c r="E790" s="95"/>
      <c r="F790" s="95"/>
      <c r="G790" s="95"/>
      <c r="H790" s="95"/>
      <c r="I790" s="49"/>
    </row>
    <row r="791" spans="1:9" ht="15" x14ac:dyDescent="0.25">
      <c r="A791" s="95"/>
      <c r="B791" s="95"/>
      <c r="C791" s="95"/>
      <c r="D791" s="95"/>
      <c r="E791" s="95"/>
      <c r="F791" s="95"/>
      <c r="G791" s="95"/>
      <c r="H791" s="95"/>
      <c r="I791" s="49"/>
    </row>
    <row r="792" spans="1:9" ht="15" x14ac:dyDescent="0.25">
      <c r="A792" s="95"/>
      <c r="B792" s="95"/>
      <c r="C792" s="95"/>
      <c r="D792" s="95"/>
      <c r="E792" s="95"/>
      <c r="F792" s="95"/>
      <c r="G792" s="95"/>
      <c r="H792" s="95"/>
      <c r="I792" s="49"/>
    </row>
    <row r="793" spans="1:9" ht="15" x14ac:dyDescent="0.25">
      <c r="A793" s="95"/>
      <c r="B793" s="95"/>
      <c r="C793" s="95"/>
      <c r="D793" s="95"/>
      <c r="E793" s="95"/>
      <c r="F793" s="95"/>
      <c r="G793" s="95"/>
      <c r="H793" s="95"/>
      <c r="I793" s="49"/>
    </row>
    <row r="794" spans="1:9" ht="15" x14ac:dyDescent="0.25">
      <c r="A794" s="95"/>
      <c r="B794" s="95"/>
      <c r="C794" s="95"/>
      <c r="D794" s="95"/>
      <c r="E794" s="95"/>
      <c r="F794" s="95"/>
      <c r="G794" s="95"/>
      <c r="H794" s="95"/>
      <c r="I794" s="49"/>
    </row>
    <row r="795" spans="1:9" ht="15" x14ac:dyDescent="0.25">
      <c r="A795" s="95"/>
      <c r="B795" s="95"/>
      <c r="C795" s="95"/>
      <c r="D795" s="95"/>
      <c r="E795" s="95"/>
      <c r="F795" s="95"/>
      <c r="G795" s="95"/>
      <c r="H795" s="95"/>
      <c r="I795" s="49"/>
    </row>
    <row r="796" spans="1:9" ht="15" x14ac:dyDescent="0.25">
      <c r="A796" s="95"/>
      <c r="B796" s="95"/>
      <c r="C796" s="95"/>
      <c r="D796" s="95"/>
      <c r="E796" s="95"/>
      <c r="F796" s="95"/>
      <c r="G796" s="95"/>
      <c r="H796" s="95"/>
      <c r="I796" s="49"/>
    </row>
    <row r="797" spans="1:9" ht="15" x14ac:dyDescent="0.25">
      <c r="A797" s="95"/>
      <c r="B797" s="95"/>
      <c r="C797" s="95"/>
      <c r="D797" s="95"/>
      <c r="E797" s="95"/>
      <c r="F797" s="95"/>
      <c r="G797" s="95"/>
      <c r="H797" s="95"/>
      <c r="I797" s="49"/>
    </row>
    <row r="798" spans="1:9" ht="15" x14ac:dyDescent="0.25">
      <c r="A798" s="95"/>
      <c r="B798" s="95"/>
      <c r="C798" s="95"/>
      <c r="D798" s="95"/>
      <c r="E798" s="95"/>
      <c r="F798" s="95"/>
      <c r="G798" s="95"/>
      <c r="H798" s="95"/>
      <c r="I798" s="49"/>
    </row>
    <row r="799" spans="1:9" ht="15" x14ac:dyDescent="0.25">
      <c r="A799" s="95"/>
      <c r="B799" s="95"/>
      <c r="C799" s="95"/>
      <c r="D799" s="95"/>
      <c r="E799" s="95"/>
      <c r="F799" s="95"/>
      <c r="G799" s="95"/>
      <c r="H799" s="95"/>
      <c r="I799" s="49"/>
    </row>
    <row r="800" spans="1:9" ht="15" x14ac:dyDescent="0.25">
      <c r="A800" s="95"/>
      <c r="B800" s="95"/>
      <c r="C800" s="95"/>
      <c r="D800" s="95"/>
      <c r="E800" s="95"/>
      <c r="F800" s="95"/>
      <c r="G800" s="95"/>
      <c r="H800" s="95"/>
      <c r="I800" s="49"/>
    </row>
    <row r="801" spans="1:9" ht="15" x14ac:dyDescent="0.25">
      <c r="A801" s="95"/>
      <c r="B801" s="95"/>
      <c r="C801" s="95"/>
      <c r="D801" s="95"/>
      <c r="E801" s="95"/>
      <c r="F801" s="95"/>
      <c r="G801" s="95"/>
      <c r="H801" s="95"/>
      <c r="I801" s="49"/>
    </row>
    <row r="802" spans="1:9" ht="15" x14ac:dyDescent="0.25">
      <c r="A802" s="95"/>
      <c r="B802" s="95"/>
      <c r="C802" s="95"/>
      <c r="D802" s="95"/>
      <c r="E802" s="95"/>
      <c r="F802" s="95"/>
      <c r="G802" s="95"/>
      <c r="H802" s="95"/>
      <c r="I802" s="49"/>
    </row>
    <row r="803" spans="1:9" ht="15" x14ac:dyDescent="0.25">
      <c r="A803" s="95"/>
      <c r="B803" s="95"/>
      <c r="C803" s="95"/>
      <c r="D803" s="95"/>
      <c r="E803" s="95"/>
      <c r="F803" s="95"/>
      <c r="G803" s="95"/>
      <c r="H803" s="95"/>
      <c r="I803" s="49"/>
    </row>
    <row r="804" spans="1:9" ht="15" x14ac:dyDescent="0.25">
      <c r="A804" s="95"/>
      <c r="B804" s="95"/>
      <c r="C804" s="95"/>
      <c r="D804" s="95"/>
      <c r="E804" s="95"/>
      <c r="F804" s="95"/>
      <c r="G804" s="95"/>
      <c r="H804" s="95"/>
      <c r="I804" s="49"/>
    </row>
    <row r="805" spans="1:9" ht="15" x14ac:dyDescent="0.25">
      <c r="A805" s="95"/>
      <c r="B805" s="95"/>
      <c r="C805" s="95"/>
      <c r="D805" s="95"/>
      <c r="E805" s="95"/>
      <c r="F805" s="95"/>
      <c r="G805" s="95"/>
      <c r="H805" s="95"/>
      <c r="I805" s="49"/>
    </row>
    <row r="806" spans="1:9" ht="15" x14ac:dyDescent="0.25">
      <c r="A806" s="95"/>
      <c r="B806" s="95"/>
      <c r="C806" s="95"/>
      <c r="D806" s="95"/>
      <c r="E806" s="95"/>
      <c r="F806" s="95"/>
      <c r="G806" s="95"/>
      <c r="H806" s="95"/>
      <c r="I806" s="49"/>
    </row>
    <row r="807" spans="1:9" ht="15" x14ac:dyDescent="0.25">
      <c r="A807" s="95"/>
      <c r="B807" s="95"/>
      <c r="C807" s="95"/>
      <c r="D807" s="95"/>
      <c r="E807" s="95"/>
      <c r="F807" s="95"/>
      <c r="G807" s="95"/>
      <c r="H807" s="95"/>
      <c r="I807" s="49"/>
    </row>
    <row r="808" spans="1:9" ht="15" x14ac:dyDescent="0.25">
      <c r="A808" s="95"/>
      <c r="B808" s="95"/>
      <c r="C808" s="95"/>
      <c r="D808" s="95"/>
      <c r="E808" s="95"/>
      <c r="F808" s="95"/>
      <c r="G808" s="95"/>
      <c r="H808" s="95"/>
      <c r="I808" s="49"/>
    </row>
    <row r="809" spans="1:9" ht="15" x14ac:dyDescent="0.25">
      <c r="A809" s="95"/>
      <c r="B809" s="95"/>
      <c r="C809" s="95"/>
      <c r="D809" s="95"/>
      <c r="E809" s="95"/>
      <c r="F809" s="95"/>
      <c r="G809" s="95"/>
      <c r="H809" s="95"/>
      <c r="I809" s="49"/>
    </row>
    <row r="810" spans="1:9" ht="15" x14ac:dyDescent="0.25">
      <c r="A810" s="95"/>
      <c r="B810" s="95"/>
      <c r="C810" s="95"/>
      <c r="D810" s="95"/>
      <c r="E810" s="95"/>
      <c r="F810" s="95"/>
      <c r="G810" s="95"/>
      <c r="H810" s="95"/>
      <c r="I810" s="49"/>
    </row>
    <row r="811" spans="1:9" ht="15" x14ac:dyDescent="0.25">
      <c r="A811" s="95"/>
      <c r="B811" s="95"/>
      <c r="C811" s="95"/>
      <c r="D811" s="95"/>
      <c r="E811" s="95"/>
      <c r="F811" s="95"/>
      <c r="G811" s="95"/>
      <c r="H811" s="95"/>
      <c r="I811" s="49"/>
    </row>
    <row r="812" spans="1:9" ht="15" x14ac:dyDescent="0.25">
      <c r="A812" s="95"/>
      <c r="B812" s="95"/>
      <c r="C812" s="95"/>
      <c r="D812" s="95"/>
      <c r="E812" s="95"/>
      <c r="F812" s="95"/>
      <c r="G812" s="95"/>
      <c r="H812" s="95"/>
      <c r="I812" s="49"/>
    </row>
    <row r="813" spans="1:9" ht="15" x14ac:dyDescent="0.25">
      <c r="A813" s="95"/>
      <c r="B813" s="95"/>
      <c r="C813" s="95"/>
      <c r="D813" s="95"/>
      <c r="E813" s="95"/>
      <c r="F813" s="95"/>
      <c r="G813" s="95"/>
      <c r="H813" s="95"/>
      <c r="I813" s="49"/>
    </row>
    <row r="814" spans="1:9" ht="15" x14ac:dyDescent="0.25">
      <c r="A814" s="95"/>
      <c r="B814" s="95"/>
      <c r="C814" s="95"/>
      <c r="D814" s="95"/>
      <c r="E814" s="95"/>
      <c r="F814" s="95"/>
      <c r="G814" s="95"/>
      <c r="H814" s="95"/>
      <c r="I814" s="49"/>
    </row>
    <row r="815" spans="1:9" ht="15" x14ac:dyDescent="0.25">
      <c r="A815" s="95"/>
      <c r="B815" s="95"/>
      <c r="C815" s="95"/>
      <c r="D815" s="95"/>
      <c r="E815" s="95"/>
      <c r="F815" s="95"/>
      <c r="G815" s="95"/>
      <c r="H815" s="95"/>
      <c r="I815" s="49"/>
    </row>
    <row r="816" spans="1:9" ht="15" x14ac:dyDescent="0.25">
      <c r="A816" s="95"/>
      <c r="B816" s="95"/>
      <c r="C816" s="95"/>
      <c r="D816" s="95"/>
      <c r="E816" s="95"/>
      <c r="F816" s="95"/>
      <c r="G816" s="95"/>
      <c r="H816" s="95"/>
      <c r="I816" s="49"/>
    </row>
    <row r="817" spans="1:9" ht="15" x14ac:dyDescent="0.25">
      <c r="A817" s="95"/>
      <c r="B817" s="95"/>
      <c r="C817" s="95"/>
      <c r="D817" s="95"/>
      <c r="E817" s="95"/>
      <c r="F817" s="95"/>
      <c r="G817" s="95"/>
      <c r="H817" s="95"/>
      <c r="I817" s="49"/>
    </row>
    <row r="818" spans="1:9" ht="15" x14ac:dyDescent="0.25">
      <c r="A818" s="95"/>
      <c r="B818" s="95"/>
      <c r="C818" s="95"/>
      <c r="D818" s="95"/>
      <c r="E818" s="95"/>
      <c r="F818" s="95"/>
      <c r="G818" s="95"/>
      <c r="H818" s="95"/>
      <c r="I818" s="49"/>
    </row>
    <row r="819" spans="1:9" ht="15" x14ac:dyDescent="0.25">
      <c r="A819" s="95"/>
      <c r="B819" s="95"/>
      <c r="C819" s="95"/>
      <c r="D819" s="95"/>
      <c r="E819" s="95"/>
      <c r="F819" s="95"/>
      <c r="G819" s="95"/>
      <c r="H819" s="95"/>
      <c r="I819" s="49"/>
    </row>
    <row r="820" spans="1:9" ht="15" x14ac:dyDescent="0.25">
      <c r="A820" s="95"/>
      <c r="B820" s="95"/>
      <c r="C820" s="95"/>
      <c r="D820" s="95"/>
      <c r="E820" s="95"/>
      <c r="F820" s="95"/>
      <c r="G820" s="95"/>
      <c r="H820" s="95"/>
      <c r="I820" s="49"/>
    </row>
    <row r="821" spans="1:9" ht="15" x14ac:dyDescent="0.25">
      <c r="A821" s="95"/>
      <c r="B821" s="95"/>
      <c r="C821" s="95"/>
      <c r="D821" s="95"/>
      <c r="E821" s="95"/>
      <c r="F821" s="95"/>
      <c r="G821" s="95"/>
      <c r="H821" s="95"/>
      <c r="I821" s="49"/>
    </row>
    <row r="822" spans="1:9" ht="15" x14ac:dyDescent="0.25">
      <c r="A822" s="95"/>
      <c r="B822" s="95"/>
      <c r="C822" s="95"/>
      <c r="D822" s="95"/>
      <c r="E822" s="95"/>
      <c r="F822" s="95"/>
      <c r="G822" s="95"/>
      <c r="H822" s="95"/>
      <c r="I822" s="49"/>
    </row>
    <row r="823" spans="1:9" ht="15" x14ac:dyDescent="0.25">
      <c r="A823" s="95"/>
      <c r="B823" s="95"/>
      <c r="C823" s="95"/>
      <c r="D823" s="95"/>
      <c r="E823" s="95"/>
      <c r="F823" s="95"/>
      <c r="G823" s="95"/>
      <c r="H823" s="95"/>
      <c r="I823" s="49"/>
    </row>
    <row r="824" spans="1:9" ht="15" x14ac:dyDescent="0.25">
      <c r="A824" s="95"/>
      <c r="B824" s="95"/>
      <c r="C824" s="95"/>
      <c r="D824" s="95"/>
      <c r="E824" s="95"/>
      <c r="F824" s="95"/>
      <c r="G824" s="95"/>
      <c r="H824" s="95"/>
      <c r="I824" s="49"/>
    </row>
    <row r="825" spans="1:9" ht="15" x14ac:dyDescent="0.25">
      <c r="A825" s="95"/>
      <c r="B825" s="95"/>
      <c r="C825" s="95"/>
      <c r="D825" s="95"/>
      <c r="E825" s="95"/>
      <c r="F825" s="95"/>
      <c r="G825" s="95"/>
      <c r="H825" s="95"/>
      <c r="I825" s="49"/>
    </row>
    <row r="826" spans="1:9" ht="15" x14ac:dyDescent="0.25">
      <c r="A826" s="95"/>
      <c r="B826" s="95"/>
      <c r="C826" s="95"/>
      <c r="D826" s="95"/>
      <c r="E826" s="95"/>
      <c r="F826" s="95"/>
      <c r="G826" s="95"/>
      <c r="H826" s="95"/>
      <c r="I826" s="49"/>
    </row>
    <row r="827" spans="1:9" ht="15" x14ac:dyDescent="0.25">
      <c r="A827" s="95"/>
      <c r="B827" s="95"/>
      <c r="C827" s="95"/>
      <c r="D827" s="95"/>
      <c r="E827" s="95"/>
      <c r="F827" s="95"/>
      <c r="G827" s="95"/>
      <c r="H827" s="95"/>
      <c r="I827" s="49"/>
    </row>
    <row r="828" spans="1:9" ht="15" x14ac:dyDescent="0.25">
      <c r="A828" s="95"/>
      <c r="B828" s="95"/>
      <c r="C828" s="95"/>
      <c r="D828" s="95"/>
      <c r="E828" s="95"/>
      <c r="F828" s="95"/>
      <c r="G828" s="95"/>
      <c r="H828" s="95"/>
      <c r="I828" s="49"/>
    </row>
    <row r="829" spans="1:9" ht="15" x14ac:dyDescent="0.25">
      <c r="A829" s="95"/>
      <c r="B829" s="95"/>
      <c r="C829" s="95"/>
      <c r="D829" s="95"/>
      <c r="E829" s="95"/>
      <c r="F829" s="95"/>
      <c r="G829" s="95"/>
      <c r="H829" s="95"/>
      <c r="I829" s="49"/>
    </row>
    <row r="830" spans="1:9" ht="15" x14ac:dyDescent="0.25">
      <c r="A830" s="95"/>
      <c r="B830" s="95"/>
      <c r="C830" s="95"/>
      <c r="D830" s="95"/>
      <c r="E830" s="95"/>
      <c r="F830" s="95"/>
      <c r="G830" s="95"/>
      <c r="H830" s="95"/>
      <c r="I830" s="49"/>
    </row>
    <row r="831" spans="1:9" ht="15" x14ac:dyDescent="0.25">
      <c r="A831" s="95"/>
      <c r="B831" s="95"/>
      <c r="C831" s="95"/>
      <c r="D831" s="95"/>
      <c r="E831" s="95"/>
      <c r="F831" s="95"/>
      <c r="G831" s="95"/>
      <c r="H831" s="95"/>
      <c r="I831" s="49"/>
    </row>
    <row r="832" spans="1:9" ht="15" x14ac:dyDescent="0.25">
      <c r="A832" s="95"/>
      <c r="B832" s="95"/>
      <c r="C832" s="95"/>
      <c r="D832" s="95"/>
      <c r="E832" s="95"/>
      <c r="F832" s="95"/>
      <c r="G832" s="95"/>
      <c r="H832" s="95"/>
      <c r="I832" s="49"/>
    </row>
    <row r="833" spans="1:9" ht="15" x14ac:dyDescent="0.25">
      <c r="A833" s="95"/>
      <c r="B833" s="95"/>
      <c r="C833" s="95"/>
      <c r="D833" s="95"/>
      <c r="E833" s="95"/>
      <c r="F833" s="95"/>
      <c r="G833" s="95"/>
      <c r="H833" s="95"/>
      <c r="I833" s="49"/>
    </row>
    <row r="834" spans="1:9" s="99" customFormat="1" ht="15" x14ac:dyDescent="0.25">
      <c r="A834" s="97"/>
      <c r="B834" s="97"/>
      <c r="C834" s="97"/>
      <c r="D834" s="97"/>
      <c r="E834" s="97"/>
      <c r="F834" s="97"/>
      <c r="G834" s="97"/>
      <c r="H834" s="97"/>
      <c r="I834" s="98"/>
    </row>
    <row r="835" spans="1:9" ht="15" x14ac:dyDescent="0.25">
      <c r="A835" s="95"/>
      <c r="B835" s="95"/>
      <c r="C835" s="95"/>
      <c r="D835" s="95"/>
      <c r="E835" s="95"/>
      <c r="F835" s="95"/>
      <c r="G835" s="95"/>
      <c r="H835" s="95"/>
      <c r="I835" s="49"/>
    </row>
    <row r="836" spans="1:9" ht="15" x14ac:dyDescent="0.25">
      <c r="A836" s="95"/>
      <c r="B836" s="95"/>
      <c r="C836" s="95"/>
      <c r="D836" s="95"/>
      <c r="E836" s="95"/>
      <c r="F836" s="95"/>
      <c r="G836" s="95"/>
      <c r="H836" s="95"/>
      <c r="I836" s="49"/>
    </row>
    <row r="837" spans="1:9" ht="15" x14ac:dyDescent="0.25">
      <c r="A837" s="95"/>
      <c r="B837" s="95"/>
      <c r="C837" s="95"/>
      <c r="D837" s="95"/>
      <c r="E837" s="95"/>
      <c r="F837" s="95"/>
      <c r="G837" s="95"/>
      <c r="H837" s="95"/>
      <c r="I837" s="49"/>
    </row>
    <row r="838" spans="1:9" ht="15" x14ac:dyDescent="0.25">
      <c r="A838" s="95"/>
      <c r="B838" s="95"/>
      <c r="C838" s="95"/>
      <c r="D838" s="95"/>
      <c r="E838" s="95"/>
      <c r="F838" s="95"/>
      <c r="G838" s="95"/>
      <c r="H838" s="95"/>
      <c r="I838" s="49"/>
    </row>
    <row r="839" spans="1:9" ht="15" x14ac:dyDescent="0.25">
      <c r="A839" s="95"/>
      <c r="B839" s="95"/>
      <c r="C839" s="95"/>
      <c r="D839" s="95"/>
      <c r="E839" s="95"/>
      <c r="F839" s="95"/>
      <c r="G839" s="95"/>
      <c r="H839" s="95"/>
      <c r="I839" s="49"/>
    </row>
    <row r="840" spans="1:9" ht="15" x14ac:dyDescent="0.25">
      <c r="A840" s="95"/>
      <c r="B840" s="95"/>
      <c r="C840" s="95"/>
      <c r="D840" s="95"/>
      <c r="E840" s="95"/>
      <c r="F840" s="95"/>
      <c r="G840" s="95"/>
      <c r="H840" s="95"/>
      <c r="I840" s="49"/>
    </row>
    <row r="841" spans="1:9" ht="15" x14ac:dyDescent="0.25">
      <c r="A841" s="95"/>
      <c r="B841" s="95"/>
      <c r="C841" s="95"/>
      <c r="D841" s="95"/>
      <c r="E841" s="95"/>
      <c r="F841" s="95"/>
      <c r="G841" s="95"/>
      <c r="H841" s="95"/>
      <c r="I841" s="49"/>
    </row>
    <row r="842" spans="1:9" ht="15" x14ac:dyDescent="0.25">
      <c r="A842" s="95"/>
      <c r="B842" s="95"/>
      <c r="C842" s="95"/>
      <c r="D842" s="95"/>
      <c r="E842" s="95"/>
      <c r="F842" s="95"/>
      <c r="G842" s="95"/>
      <c r="H842" s="95"/>
      <c r="I842" s="49"/>
    </row>
    <row r="843" spans="1:9" ht="15" x14ac:dyDescent="0.25">
      <c r="A843" s="95"/>
      <c r="B843" s="95"/>
      <c r="C843" s="95"/>
      <c r="D843" s="95"/>
      <c r="E843" s="95"/>
      <c r="F843" s="95"/>
      <c r="G843" s="95"/>
      <c r="H843" s="95"/>
      <c r="I843" s="49"/>
    </row>
    <row r="844" spans="1:9" ht="15" x14ac:dyDescent="0.25">
      <c r="A844" s="95"/>
      <c r="B844" s="95"/>
      <c r="C844" s="95"/>
      <c r="D844" s="95"/>
      <c r="E844" s="95"/>
      <c r="F844" s="95"/>
      <c r="G844" s="95"/>
      <c r="H844" s="95"/>
      <c r="I844" s="49"/>
    </row>
    <row r="845" spans="1:9" ht="15" x14ac:dyDescent="0.25">
      <c r="A845" s="95"/>
      <c r="B845" s="95"/>
      <c r="C845" s="95"/>
      <c r="D845" s="95"/>
      <c r="E845" s="95"/>
      <c r="F845" s="95"/>
      <c r="G845" s="95"/>
      <c r="H845" s="95"/>
      <c r="I845" s="49"/>
    </row>
    <row r="846" spans="1:9" ht="15" x14ac:dyDescent="0.25">
      <c r="A846" s="95"/>
      <c r="B846" s="95"/>
      <c r="C846" s="95"/>
      <c r="D846" s="95"/>
      <c r="E846" s="95"/>
      <c r="F846" s="95"/>
      <c r="G846" s="95"/>
      <c r="H846" s="95"/>
      <c r="I846" s="49"/>
    </row>
    <row r="847" spans="1:9" ht="15" x14ac:dyDescent="0.25">
      <c r="A847" s="95"/>
      <c r="B847" s="95"/>
      <c r="C847" s="95"/>
      <c r="D847" s="95"/>
      <c r="E847" s="95"/>
      <c r="F847" s="95"/>
      <c r="G847" s="95"/>
      <c r="H847" s="95"/>
      <c r="I847" s="49"/>
    </row>
    <row r="848" spans="1:9" ht="15" x14ac:dyDescent="0.25">
      <c r="A848" s="95"/>
      <c r="B848" s="95"/>
      <c r="C848" s="95"/>
      <c r="D848" s="95"/>
      <c r="E848" s="95"/>
      <c r="F848" s="95"/>
      <c r="G848" s="95"/>
      <c r="H848" s="95"/>
      <c r="I848" s="49"/>
    </row>
    <row r="849" spans="1:9" ht="15" x14ac:dyDescent="0.25">
      <c r="A849" s="95"/>
      <c r="B849" s="95"/>
      <c r="C849" s="95"/>
      <c r="D849" s="95"/>
      <c r="E849" s="95"/>
      <c r="F849" s="95"/>
      <c r="G849" s="95"/>
      <c r="H849" s="95"/>
      <c r="I849" s="49"/>
    </row>
    <row r="850" spans="1:9" ht="15" x14ac:dyDescent="0.25">
      <c r="A850" s="95"/>
      <c r="B850" s="95"/>
      <c r="C850" s="95"/>
      <c r="D850" s="95"/>
      <c r="E850" s="95"/>
      <c r="F850" s="95"/>
      <c r="G850" s="95"/>
      <c r="H850" s="95"/>
      <c r="I850" s="49"/>
    </row>
    <row r="851" spans="1:9" ht="15" x14ac:dyDescent="0.25">
      <c r="A851" s="95"/>
      <c r="B851" s="95"/>
      <c r="C851" s="95"/>
      <c r="D851" s="95"/>
      <c r="E851" s="95"/>
      <c r="F851" s="95"/>
      <c r="G851" s="95"/>
      <c r="H851" s="95"/>
      <c r="I851" s="49"/>
    </row>
    <row r="852" spans="1:9" ht="15" x14ac:dyDescent="0.25">
      <c r="A852" s="95"/>
      <c r="B852" s="95"/>
      <c r="C852" s="95"/>
      <c r="D852" s="95"/>
      <c r="E852" s="95"/>
      <c r="F852" s="95"/>
      <c r="G852" s="95"/>
      <c r="H852" s="95"/>
      <c r="I852" s="49"/>
    </row>
    <row r="853" spans="1:9" ht="15" x14ac:dyDescent="0.25">
      <c r="A853" s="95"/>
      <c r="B853" s="95"/>
      <c r="C853" s="95"/>
      <c r="D853" s="95"/>
      <c r="E853" s="95"/>
      <c r="F853" s="95"/>
      <c r="G853" s="95"/>
      <c r="H853" s="95"/>
      <c r="I853" s="49"/>
    </row>
    <row r="854" spans="1:9" ht="15" x14ac:dyDescent="0.25">
      <c r="A854" s="95"/>
      <c r="B854" s="95"/>
      <c r="C854" s="95"/>
      <c r="D854" s="95"/>
      <c r="E854" s="95"/>
      <c r="F854" s="95"/>
      <c r="G854" s="95"/>
      <c r="H854" s="95"/>
      <c r="I854" s="49"/>
    </row>
    <row r="855" spans="1:9" ht="15" x14ac:dyDescent="0.25">
      <c r="A855" s="100"/>
      <c r="B855" s="95"/>
      <c r="C855" s="95"/>
      <c r="D855" s="95"/>
      <c r="E855" s="95"/>
      <c r="F855" s="95"/>
      <c r="G855" s="95"/>
      <c r="H855" s="95"/>
      <c r="I855" s="49"/>
    </row>
    <row r="856" spans="1:9" ht="15" x14ac:dyDescent="0.25">
      <c r="A856" s="95"/>
      <c r="B856" s="95"/>
      <c r="C856" s="95"/>
      <c r="D856" s="95"/>
      <c r="E856" s="95"/>
      <c r="F856" s="95"/>
      <c r="G856" s="95"/>
      <c r="H856" s="95"/>
      <c r="I856" s="49"/>
    </row>
    <row r="857" spans="1:9" ht="15" x14ac:dyDescent="0.25">
      <c r="A857" s="95"/>
      <c r="B857" s="95"/>
      <c r="C857" s="95"/>
      <c r="D857" s="95"/>
      <c r="E857" s="95"/>
      <c r="F857" s="95"/>
      <c r="G857" s="95"/>
      <c r="H857" s="95"/>
      <c r="I857" s="49"/>
    </row>
    <row r="858" spans="1:9" ht="15" x14ac:dyDescent="0.25">
      <c r="A858" s="95"/>
      <c r="B858" s="95"/>
      <c r="C858" s="95"/>
      <c r="D858" s="95"/>
      <c r="E858" s="95"/>
      <c r="F858" s="95"/>
      <c r="G858" s="95"/>
      <c r="H858" s="95"/>
      <c r="I858" s="49"/>
    </row>
    <row r="859" spans="1:9" ht="15" x14ac:dyDescent="0.25">
      <c r="A859" s="95"/>
      <c r="B859" s="95"/>
      <c r="C859" s="95"/>
      <c r="D859" s="95"/>
      <c r="E859" s="95"/>
      <c r="F859" s="95"/>
      <c r="G859" s="95"/>
      <c r="H859" s="95"/>
      <c r="I859" s="49"/>
    </row>
    <row r="860" spans="1:9" ht="15" x14ac:dyDescent="0.25">
      <c r="A860" s="95"/>
      <c r="B860" s="95"/>
      <c r="C860" s="95"/>
      <c r="D860" s="95"/>
      <c r="E860" s="95"/>
      <c r="F860" s="95"/>
      <c r="G860" s="95"/>
      <c r="H860" s="95"/>
      <c r="I860" s="49"/>
    </row>
    <row r="861" spans="1:9" ht="15" x14ac:dyDescent="0.25">
      <c r="A861" s="95"/>
      <c r="B861" s="95"/>
      <c r="C861" s="95"/>
      <c r="D861" s="95"/>
      <c r="E861" s="95"/>
      <c r="F861" s="95"/>
      <c r="G861" s="95"/>
      <c r="H861" s="95"/>
      <c r="I861" s="49"/>
    </row>
    <row r="862" spans="1:9" ht="15" x14ac:dyDescent="0.25">
      <c r="A862" s="95"/>
      <c r="B862" s="95"/>
      <c r="C862" s="95"/>
      <c r="D862" s="95"/>
      <c r="E862" s="95"/>
      <c r="F862" s="95"/>
      <c r="G862" s="95"/>
      <c r="H862" s="95"/>
      <c r="I862" s="49"/>
    </row>
    <row r="863" spans="1:9" ht="15" x14ac:dyDescent="0.25">
      <c r="A863" s="95"/>
      <c r="B863" s="95"/>
      <c r="C863" s="95"/>
      <c r="D863" s="95"/>
      <c r="E863" s="95"/>
      <c r="F863" s="95"/>
      <c r="G863" s="95"/>
      <c r="H863" s="95"/>
      <c r="I863" s="49"/>
    </row>
    <row r="864" spans="1:9" ht="15" x14ac:dyDescent="0.25">
      <c r="A864" s="95"/>
      <c r="B864" s="95"/>
      <c r="C864" s="95"/>
      <c r="D864" s="95"/>
      <c r="E864" s="95"/>
      <c r="F864" s="95"/>
      <c r="G864" s="95"/>
      <c r="H864" s="95"/>
      <c r="I864" s="49"/>
    </row>
    <row r="865" spans="1:9" ht="15" x14ac:dyDescent="0.25">
      <c r="A865" s="95"/>
      <c r="B865" s="95"/>
      <c r="C865" s="95"/>
      <c r="D865" s="95"/>
      <c r="E865" s="95"/>
      <c r="F865" s="95"/>
      <c r="G865" s="95"/>
      <c r="H865" s="95"/>
      <c r="I865" s="49"/>
    </row>
    <row r="866" spans="1:9" ht="15" x14ac:dyDescent="0.25">
      <c r="A866" s="100"/>
      <c r="B866" s="95"/>
      <c r="C866" s="95"/>
      <c r="D866" s="95"/>
      <c r="E866" s="95"/>
      <c r="F866" s="95"/>
      <c r="G866" s="95"/>
      <c r="H866" s="95"/>
      <c r="I866" s="49"/>
    </row>
    <row r="867" spans="1:9" ht="15" x14ac:dyDescent="0.25">
      <c r="A867" s="100"/>
      <c r="B867" s="95"/>
      <c r="C867" s="95"/>
      <c r="D867" s="95"/>
      <c r="E867" s="95"/>
      <c r="F867" s="95"/>
      <c r="G867" s="95"/>
      <c r="H867" s="95"/>
      <c r="I867" s="49"/>
    </row>
    <row r="868" spans="1:9" ht="15" x14ac:dyDescent="0.25">
      <c r="A868" s="95"/>
      <c r="B868" s="95"/>
      <c r="C868" s="95"/>
      <c r="D868" s="95"/>
      <c r="E868" s="95"/>
      <c r="F868" s="95"/>
      <c r="G868" s="95"/>
      <c r="H868" s="95"/>
      <c r="I868" s="49"/>
    </row>
    <row r="869" spans="1:9" ht="15" x14ac:dyDescent="0.25">
      <c r="A869" s="95"/>
      <c r="B869" s="95"/>
      <c r="C869" s="95"/>
      <c r="D869" s="95"/>
      <c r="E869" s="95"/>
      <c r="F869" s="95"/>
      <c r="G869" s="95"/>
      <c r="H869" s="95"/>
      <c r="I869" s="49"/>
    </row>
    <row r="870" spans="1:9" ht="15" x14ac:dyDescent="0.25">
      <c r="A870" s="95"/>
      <c r="B870" s="95"/>
      <c r="C870" s="95"/>
      <c r="D870" s="95"/>
      <c r="E870" s="95"/>
      <c r="F870" s="95"/>
      <c r="G870" s="95"/>
      <c r="H870" s="95"/>
      <c r="I870" s="49"/>
    </row>
    <row r="871" spans="1:9" ht="15" x14ac:dyDescent="0.25">
      <c r="A871" s="95"/>
      <c r="B871" s="95"/>
      <c r="C871" s="95"/>
      <c r="D871" s="95"/>
      <c r="E871" s="95"/>
      <c r="F871" s="95"/>
      <c r="G871" s="95"/>
      <c r="H871" s="95"/>
      <c r="I871" s="49"/>
    </row>
    <row r="872" spans="1:9" ht="15" x14ac:dyDescent="0.25">
      <c r="A872" s="95"/>
      <c r="B872" s="95"/>
      <c r="C872" s="95"/>
      <c r="D872" s="95"/>
      <c r="E872" s="95"/>
      <c r="F872" s="95"/>
      <c r="G872" s="95"/>
      <c r="H872" s="95"/>
      <c r="I872" s="49"/>
    </row>
    <row r="873" spans="1:9" ht="15" x14ac:dyDescent="0.25">
      <c r="A873" s="95"/>
      <c r="B873" s="95"/>
      <c r="C873" s="95"/>
      <c r="D873" s="95"/>
      <c r="E873" s="95"/>
      <c r="F873" s="95"/>
      <c r="G873" s="95"/>
      <c r="H873" s="95"/>
      <c r="I873" s="49"/>
    </row>
    <row r="874" spans="1:9" ht="15" x14ac:dyDescent="0.25">
      <c r="A874" s="95"/>
      <c r="B874" s="95"/>
      <c r="C874" s="95"/>
      <c r="D874" s="95"/>
      <c r="E874" s="95"/>
      <c r="F874" s="95"/>
      <c r="G874" s="95"/>
      <c r="H874" s="95"/>
      <c r="I874" s="49"/>
    </row>
    <row r="875" spans="1:9" ht="15" x14ac:dyDescent="0.25">
      <c r="A875" s="95"/>
      <c r="B875" s="95"/>
      <c r="C875" s="95"/>
      <c r="D875" s="95"/>
      <c r="E875" s="95"/>
      <c r="F875" s="95"/>
      <c r="G875" s="95"/>
      <c r="H875" s="95"/>
      <c r="I875" s="49"/>
    </row>
    <row r="876" spans="1:9" ht="15" x14ac:dyDescent="0.25">
      <c r="A876" s="95"/>
      <c r="B876" s="95"/>
      <c r="C876" s="95"/>
      <c r="D876" s="95"/>
      <c r="E876" s="95"/>
      <c r="F876" s="95"/>
      <c r="G876" s="95"/>
      <c r="H876" s="95"/>
      <c r="I876" s="49"/>
    </row>
    <row r="877" spans="1:9" ht="15" x14ac:dyDescent="0.25">
      <c r="A877" s="95"/>
      <c r="B877" s="95"/>
      <c r="C877" s="95"/>
      <c r="D877" s="95"/>
      <c r="E877" s="95"/>
      <c r="F877" s="95"/>
      <c r="G877" s="95"/>
      <c r="H877" s="95"/>
      <c r="I877" s="49"/>
    </row>
    <row r="878" spans="1:9" x14ac:dyDescent="0.15">
      <c r="I878" s="49"/>
    </row>
    <row r="879" spans="1:9" x14ac:dyDescent="0.15">
      <c r="I879" s="49"/>
    </row>
    <row r="880" spans="1:9" x14ac:dyDescent="0.15">
      <c r="I880" s="49"/>
    </row>
    <row r="881" spans="9:9" x14ac:dyDescent="0.15">
      <c r="I881" s="49"/>
    </row>
  </sheetData>
  <sheetProtection sheet="1" formatCells="0" formatColumns="0" formatRows="0" insertColumns="0" insertRows="0" insertHyperlinks="0" deleteColumns="0" deleteRows="0" selectLockedCells="1" sort="0" autoFilter="0" pivotTables="0"/>
  <mergeCells count="34">
    <mergeCell ref="A33:B33"/>
    <mergeCell ref="A34:B34"/>
    <mergeCell ref="D4:E6"/>
    <mergeCell ref="F4:I6"/>
    <mergeCell ref="A12:B12"/>
    <mergeCell ref="A14:B14"/>
    <mergeCell ref="A15:B15"/>
    <mergeCell ref="A16:B16"/>
    <mergeCell ref="A1:C6"/>
    <mergeCell ref="D1:I3"/>
    <mergeCell ref="A20:I20"/>
    <mergeCell ref="C22:D22"/>
    <mergeCell ref="A8:I8"/>
    <mergeCell ref="A10:C10"/>
    <mergeCell ref="E15:F15"/>
    <mergeCell ref="F10:F11"/>
    <mergeCell ref="I10:I11"/>
    <mergeCell ref="G17:H17"/>
    <mergeCell ref="G18:H18"/>
    <mergeCell ref="A11:B11"/>
    <mergeCell ref="G10:G11"/>
    <mergeCell ref="E14:F14"/>
    <mergeCell ref="D10:D11"/>
    <mergeCell ref="E10:E11"/>
    <mergeCell ref="C23:D23"/>
    <mergeCell ref="C24:D24"/>
    <mergeCell ref="C25:D25"/>
    <mergeCell ref="C26:D26"/>
    <mergeCell ref="C27:D27"/>
    <mergeCell ref="C28:D28"/>
    <mergeCell ref="C29:D29"/>
    <mergeCell ref="C30:D30"/>
    <mergeCell ref="C31:D31"/>
    <mergeCell ref="C32:D32"/>
  </mergeCells>
  <conditionalFormatting sqref="E34">
    <cfRule type="cellIs" dxfId="43" priority="2" operator="equal">
      <formula>10</formula>
    </cfRule>
    <cfRule type="cellIs" dxfId="42" priority="3" operator="equal">
      <formula>9</formula>
    </cfRule>
    <cfRule type="cellIs" dxfId="41" priority="4" operator="equal">
      <formula>8</formula>
    </cfRule>
    <cfRule type="cellIs" dxfId="40" priority="5" operator="equal">
      <formula>7</formula>
    </cfRule>
    <cfRule type="cellIs" dxfId="39" priority="6" operator="equal">
      <formula>6</formula>
    </cfRule>
    <cfRule type="cellIs" dxfId="38" priority="7" operator="equal">
      <formula>5</formula>
    </cfRule>
    <cfRule type="cellIs" dxfId="37" priority="8" operator="equal">
      <formula>4</formula>
    </cfRule>
    <cfRule type="cellIs" dxfId="36" priority="9" operator="equal">
      <formula>3</formula>
    </cfRule>
    <cfRule type="cellIs" dxfId="35" priority="10" operator="equal">
      <formula>2</formula>
    </cfRule>
    <cfRule type="cellIs" dxfId="34" priority="11" operator="equal">
      <formula>1</formula>
    </cfRule>
  </conditionalFormatting>
  <dataValidations count="3">
    <dataValidation type="list" allowBlank="1" showInputMessage="1" showErrorMessage="1" sqref="G12" xr:uid="{A5A5EC48-59F7-4A67-BBF8-9A93A8A9E2D3}">
      <formula1>$L$12:$L$13</formula1>
    </dataValidation>
    <dataValidation type="list" allowBlank="1" showInputMessage="1" showErrorMessage="1" sqref="K18 K20" xr:uid="{7DF658D0-CF8B-4A79-A978-BBB48DBD29DA}">
      <formula1>$L$17:$L$18</formula1>
    </dataValidation>
    <dataValidation type="list" allowBlank="1" showInputMessage="1" showErrorMessage="1" sqref="G18:H18" xr:uid="{B70A9268-6C2E-422D-91D2-69F97D6C8909}">
      <formula1>$T$9:$T$11</formula1>
    </dataValidation>
  </dataValidations>
  <pageMargins left="0.7" right="0.7" top="0.75" bottom="0.75" header="0.3" footer="0.3"/>
  <pageSetup paperSize="9" scale="74" fitToHeight="0" orientation="landscape" r:id="rId1"/>
  <ignoredErrors>
    <ignoredError sqref="I15 I1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42" r:id="rId4" name="Button 18">
              <controlPr defaultSize="0" print="0" autoFill="0" autoPict="0" macro="[0]!SalvaConNome">
                <anchor moveWithCells="1" sizeWithCells="1">
                  <from>
                    <xdr:col>9</xdr:col>
                    <xdr:colOff>276225</xdr:colOff>
                    <xdr:row>0</xdr:row>
                    <xdr:rowOff>123825</xdr:rowOff>
                  </from>
                  <to>
                    <xdr:col>12</xdr:col>
                    <xdr:colOff>266700</xdr:colOff>
                    <xdr:row>4</xdr:row>
                    <xdr:rowOff>0</xdr:rowOff>
                  </to>
                </anchor>
              </controlPr>
            </control>
          </mc:Choice>
        </mc:AlternateContent>
        <mc:AlternateContent xmlns:mc="http://schemas.openxmlformats.org/markup-compatibility/2006">
          <mc:Choice Requires="x14">
            <control shapeId="1043" r:id="rId5" name="Button 19">
              <controlPr defaultSize="0" print="0" autoFill="0" autoPict="0" macro="[0]!SalvaInPDF">
                <anchor moveWithCells="1" sizeWithCells="1">
                  <from>
                    <xdr:col>9</xdr:col>
                    <xdr:colOff>257175</xdr:colOff>
                    <xdr:row>4</xdr:row>
                    <xdr:rowOff>76200</xdr:rowOff>
                  </from>
                  <to>
                    <xdr:col>13</xdr:col>
                    <xdr:colOff>266700</xdr:colOff>
                    <xdr:row>7</xdr:row>
                    <xdr:rowOff>152400</xdr:rowOff>
                  </to>
                </anchor>
              </controlPr>
            </control>
          </mc:Choice>
        </mc:AlternateContent>
        <mc:AlternateContent xmlns:mc="http://schemas.openxmlformats.org/markup-compatibility/2006">
          <mc:Choice Requires="x14">
            <control shapeId="1044" r:id="rId6" name="Button 20">
              <controlPr defaultSize="0" print="0" autoFill="0" autoPict="0" macro="[0]!SalvaLabelPDF">
                <anchor moveWithCells="1" sizeWithCells="1">
                  <from>
                    <xdr:col>9</xdr:col>
                    <xdr:colOff>257175</xdr:colOff>
                    <xdr:row>8</xdr:row>
                    <xdr:rowOff>28575</xdr:rowOff>
                  </from>
                  <to>
                    <xdr:col>13</xdr:col>
                    <xdr:colOff>266700</xdr:colOff>
                    <xdr:row>11</xdr:row>
                    <xdr:rowOff>104775</xdr:rowOff>
                  </to>
                </anchor>
              </controlPr>
            </control>
          </mc:Choice>
        </mc:AlternateContent>
        <mc:AlternateContent xmlns:mc="http://schemas.openxmlformats.org/markup-compatibility/2006">
          <mc:Choice Requires="x14">
            <control shapeId="1045" r:id="rId7" name="Button 21">
              <controlPr defaultSize="0" print="0" autoFill="0" autoPict="0" macro="[0]!StampaTuttiIFogli">
                <anchor moveWithCells="1" sizeWithCells="1">
                  <from>
                    <xdr:col>12</xdr:col>
                    <xdr:colOff>285750</xdr:colOff>
                    <xdr:row>0</xdr:row>
                    <xdr:rowOff>123825</xdr:rowOff>
                  </from>
                  <to>
                    <xdr:col>13</xdr:col>
                    <xdr:colOff>276225</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427D-C7CC-4FC4-9DC4-86D6A361C0F1}">
  <sheetPr codeName="Foglio2">
    <pageSetUpPr fitToPage="1"/>
  </sheetPr>
  <dimension ref="A1:L1773"/>
  <sheetViews>
    <sheetView view="pageBreakPreview" topLeftCell="A187" zoomScale="85" zoomScaleNormal="100" zoomScaleSheetLayoutView="85" workbookViewId="0">
      <selection activeCell="J197" sqref="J197"/>
    </sheetView>
  </sheetViews>
  <sheetFormatPr defaultRowHeight="10.5" x14ac:dyDescent="0.15"/>
  <cols>
    <col min="1" max="1" width="10.83203125" style="46" bestFit="1" customWidth="1"/>
    <col min="2" max="2" width="15.33203125" style="46" customWidth="1"/>
    <col min="3" max="3" width="56.83203125" style="46" bestFit="1" customWidth="1"/>
    <col min="4" max="4" width="10.5" style="46" bestFit="1" customWidth="1"/>
    <col min="5" max="5" width="50.6640625" style="46" customWidth="1"/>
    <col min="6" max="6" width="39.6640625" style="46" customWidth="1"/>
    <col min="7" max="7" width="7.33203125" style="46" customWidth="1"/>
    <col min="8" max="8" width="17.6640625" style="46" customWidth="1"/>
    <col min="9" max="9" width="13.83203125" style="46" customWidth="1"/>
    <col min="10" max="10" width="18.6640625" style="46" bestFit="1" customWidth="1"/>
    <col min="11" max="11" width="16.5" style="46" bestFit="1" customWidth="1"/>
    <col min="12" max="12" width="23.83203125" style="46" customWidth="1"/>
    <col min="13" max="16384" width="9.33203125" style="46"/>
  </cols>
  <sheetData>
    <row r="1" spans="1:12" ht="15" customHeight="1" x14ac:dyDescent="0.15">
      <c r="A1" s="172"/>
      <c r="B1" s="172"/>
      <c r="C1" s="172"/>
      <c r="D1" s="140" t="s">
        <v>216</v>
      </c>
      <c r="E1" s="141" t="s">
        <v>217</v>
      </c>
      <c r="F1" s="141" t="s">
        <v>209</v>
      </c>
      <c r="G1" s="141" t="s">
        <v>1</v>
      </c>
      <c r="H1" s="200" t="s">
        <v>218</v>
      </c>
      <c r="I1" s="201"/>
      <c r="J1" s="189"/>
      <c r="K1" s="190"/>
      <c r="L1" s="194"/>
    </row>
    <row r="2" spans="1:12" ht="15" customHeight="1" x14ac:dyDescent="0.15">
      <c r="A2" s="172"/>
      <c r="B2" s="172"/>
      <c r="C2" s="172"/>
      <c r="D2" s="197" t="str">
        <f>'BOM Index'!A34</f>
        <v>BE0806C</v>
      </c>
      <c r="E2" s="197" t="str">
        <f>'BOM Index'!C34</f>
        <v>BE0806C-C010270</v>
      </c>
      <c r="F2" s="199">
        <f ca="1">'BOM Index'!F34</f>
        <v>45845</v>
      </c>
      <c r="G2" s="198">
        <f>'BOM Index'!E34</f>
        <v>0</v>
      </c>
      <c r="H2" s="202" t="s">
        <v>248</v>
      </c>
      <c r="I2" s="203"/>
      <c r="J2" s="191"/>
      <c r="K2" s="192"/>
      <c r="L2" s="195"/>
    </row>
    <row r="3" spans="1:12" ht="15" customHeight="1" x14ac:dyDescent="0.15">
      <c r="A3" s="172"/>
      <c r="B3" s="172"/>
      <c r="C3" s="172"/>
      <c r="D3" s="197"/>
      <c r="E3" s="197"/>
      <c r="F3" s="199"/>
      <c r="G3" s="198"/>
      <c r="H3" s="204"/>
      <c r="I3" s="205"/>
      <c r="J3" s="191"/>
      <c r="K3" s="192"/>
      <c r="L3" s="195"/>
    </row>
    <row r="4" spans="1:12" ht="15" customHeight="1" x14ac:dyDescent="0.15">
      <c r="A4" s="172"/>
      <c r="B4" s="172"/>
      <c r="C4" s="172"/>
      <c r="D4" s="173" t="s">
        <v>225</v>
      </c>
      <c r="E4" s="175"/>
      <c r="F4" s="161" t="str">
        <f>'BOM Index'!D4</f>
        <v>COC-CP 700 S</v>
      </c>
      <c r="G4" s="162"/>
      <c r="H4" s="162"/>
      <c r="I4" s="166"/>
      <c r="J4" s="191"/>
      <c r="K4" s="192"/>
      <c r="L4" s="195"/>
    </row>
    <row r="5" spans="1:12" ht="15" customHeight="1" x14ac:dyDescent="0.15">
      <c r="A5" s="172"/>
      <c r="B5" s="172"/>
      <c r="C5" s="172"/>
      <c r="D5" s="176"/>
      <c r="E5" s="178"/>
      <c r="F5" s="161"/>
      <c r="G5" s="162"/>
      <c r="H5" s="162"/>
      <c r="I5" s="166"/>
      <c r="J5" s="191"/>
      <c r="K5" s="192"/>
      <c r="L5" s="195"/>
    </row>
    <row r="6" spans="1:12" ht="15" customHeight="1" x14ac:dyDescent="0.15">
      <c r="A6" s="172"/>
      <c r="B6" s="172"/>
      <c r="C6" s="172"/>
      <c r="D6" s="179"/>
      <c r="E6" s="181"/>
      <c r="F6" s="163"/>
      <c r="G6" s="164"/>
      <c r="H6" s="164"/>
      <c r="I6" s="167"/>
      <c r="J6" s="155"/>
      <c r="K6" s="193"/>
      <c r="L6" s="196"/>
    </row>
    <row r="7" spans="1:12" ht="20.100000000000001" customHeight="1" x14ac:dyDescent="0.25">
      <c r="A7" s="139" t="s">
        <v>144</v>
      </c>
      <c r="B7" s="139" t="s">
        <v>227</v>
      </c>
      <c r="C7" s="139" t="s">
        <v>145</v>
      </c>
      <c r="D7" s="139" t="s">
        <v>150</v>
      </c>
      <c r="E7" s="139" t="s">
        <v>146</v>
      </c>
      <c r="F7" s="139" t="s">
        <v>147</v>
      </c>
      <c r="G7" s="139" t="s">
        <v>148</v>
      </c>
      <c r="H7" s="139" t="s">
        <v>149</v>
      </c>
      <c r="I7" s="139" t="s">
        <v>246</v>
      </c>
      <c r="J7" s="139" t="s">
        <v>269</v>
      </c>
      <c r="K7" s="139" t="s">
        <v>270</v>
      </c>
      <c r="L7" s="139" t="s">
        <v>3180</v>
      </c>
    </row>
    <row r="8" spans="1:12" ht="60" customHeight="1" x14ac:dyDescent="0.25">
      <c r="A8" s="95">
        <v>0</v>
      </c>
      <c r="B8" s="49" t="e" vm="1">
        <v>#VALUE!</v>
      </c>
      <c r="C8" s="95" t="s">
        <v>3533</v>
      </c>
      <c r="D8" s="95">
        <v>0</v>
      </c>
      <c r="E8" s="95" t="s">
        <v>3535</v>
      </c>
      <c r="F8" s="95" t="s">
        <v>3534</v>
      </c>
      <c r="G8" s="95">
        <v>1</v>
      </c>
      <c r="H8" s="95">
        <v>0</v>
      </c>
      <c r="J8" s="95" t="s">
        <v>3536</v>
      </c>
    </row>
    <row r="9" spans="1:12" ht="60" customHeight="1" x14ac:dyDescent="0.25">
      <c r="A9" s="34" t="s">
        <v>151</v>
      </c>
      <c r="B9"/>
      <c r="C9" s="34" t="s">
        <v>3666</v>
      </c>
      <c r="D9" s="34" t="s">
        <v>3667</v>
      </c>
      <c r="E9" s="34" t="s">
        <v>3668</v>
      </c>
      <c r="F9" s="34" t="s">
        <v>3669</v>
      </c>
      <c r="G9" s="34">
        <v>1</v>
      </c>
      <c r="H9" s="34" t="s">
        <v>3670</v>
      </c>
      <c r="I9"/>
      <c r="J9" s="34" t="s">
        <v>3671</v>
      </c>
      <c r="K9"/>
      <c r="L9" s="34" t="s">
        <v>2</v>
      </c>
    </row>
    <row r="10" spans="1:12" ht="60" customHeight="1" x14ac:dyDescent="0.25">
      <c r="A10" s="34" t="s">
        <v>3672</v>
      </c>
      <c r="B10"/>
      <c r="C10" s="34" t="s">
        <v>3673</v>
      </c>
      <c r="D10" s="34" t="s">
        <v>3667</v>
      </c>
      <c r="E10" s="34" t="s">
        <v>3674</v>
      </c>
      <c r="F10" s="34" t="s">
        <v>3675</v>
      </c>
      <c r="G10" s="34">
        <v>1</v>
      </c>
      <c r="H10" s="34" t="s">
        <v>3676</v>
      </c>
      <c r="I10"/>
      <c r="J10" s="34" t="s">
        <v>3677</v>
      </c>
      <c r="K10" s="34">
        <v>8</v>
      </c>
      <c r="L10" s="34" t="s">
        <v>3678</v>
      </c>
    </row>
    <row r="11" spans="1:12" ht="60" customHeight="1" x14ac:dyDescent="0.25">
      <c r="A11" s="34" t="s">
        <v>3679</v>
      </c>
      <c r="B11"/>
      <c r="C11" s="34" t="s">
        <v>3680</v>
      </c>
      <c r="D11" s="34" t="s">
        <v>3667</v>
      </c>
      <c r="E11" s="34" t="s">
        <v>3681</v>
      </c>
      <c r="F11" s="34" t="s">
        <v>3682</v>
      </c>
      <c r="G11" s="34">
        <v>1</v>
      </c>
      <c r="H11" s="34" t="s">
        <v>3683</v>
      </c>
      <c r="I11"/>
      <c r="J11" s="34" t="s">
        <v>3677</v>
      </c>
      <c r="K11" s="34">
        <v>12</v>
      </c>
      <c r="L11" s="34" t="s">
        <v>3678</v>
      </c>
    </row>
    <row r="12" spans="1:12" ht="60" customHeight="1" x14ac:dyDescent="0.25">
      <c r="A12" s="34" t="s">
        <v>3684</v>
      </c>
      <c r="B12"/>
      <c r="C12" s="34" t="s">
        <v>3685</v>
      </c>
      <c r="D12" s="34" t="s">
        <v>3667</v>
      </c>
      <c r="E12" s="34" t="s">
        <v>3686</v>
      </c>
      <c r="F12" s="34" t="s">
        <v>3687</v>
      </c>
      <c r="G12" s="34">
        <v>2</v>
      </c>
      <c r="H12" s="34" t="s">
        <v>3688</v>
      </c>
      <c r="I12"/>
      <c r="J12" s="34" t="s">
        <v>3677</v>
      </c>
      <c r="K12" s="34">
        <v>8</v>
      </c>
      <c r="L12" s="34" t="s">
        <v>3678</v>
      </c>
    </row>
    <row r="13" spans="1:12" ht="60" customHeight="1" x14ac:dyDescent="0.25">
      <c r="A13" s="34" t="s">
        <v>3689</v>
      </c>
      <c r="B13"/>
      <c r="C13" s="34" t="s">
        <v>3690</v>
      </c>
      <c r="D13" s="34" t="s">
        <v>3667</v>
      </c>
      <c r="E13" s="34" t="s">
        <v>3691</v>
      </c>
      <c r="F13" s="34" t="s">
        <v>3692</v>
      </c>
      <c r="G13" s="34">
        <v>1</v>
      </c>
      <c r="H13" s="34" t="s">
        <v>3693</v>
      </c>
      <c r="I13"/>
      <c r="J13" s="34" t="s">
        <v>3677</v>
      </c>
      <c r="K13" s="34">
        <v>8</v>
      </c>
      <c r="L13" s="34" t="s">
        <v>3678</v>
      </c>
    </row>
    <row r="14" spans="1:12" ht="60" customHeight="1" x14ac:dyDescent="0.25">
      <c r="A14" s="34" t="s">
        <v>3694</v>
      </c>
      <c r="B14"/>
      <c r="C14" s="34" t="s">
        <v>3695</v>
      </c>
      <c r="D14" s="34" t="s">
        <v>3667</v>
      </c>
      <c r="E14" s="34" t="s">
        <v>3696</v>
      </c>
      <c r="F14" s="34" t="s">
        <v>3697</v>
      </c>
      <c r="G14" s="34">
        <v>2</v>
      </c>
      <c r="H14" s="34" t="s">
        <v>3698</v>
      </c>
      <c r="I14"/>
      <c r="J14" s="34" t="s">
        <v>3677</v>
      </c>
      <c r="K14" s="34">
        <v>12</v>
      </c>
      <c r="L14" s="34" t="s">
        <v>3678</v>
      </c>
    </row>
    <row r="15" spans="1:12" ht="60" customHeight="1" x14ac:dyDescent="0.25">
      <c r="A15" s="34" t="s">
        <v>3699</v>
      </c>
      <c r="B15"/>
      <c r="C15" s="34" t="s">
        <v>3700</v>
      </c>
      <c r="D15" s="34" t="s">
        <v>3667</v>
      </c>
      <c r="E15" s="34" t="s">
        <v>3701</v>
      </c>
      <c r="F15" s="34" t="s">
        <v>3702</v>
      </c>
      <c r="G15" s="34">
        <v>2</v>
      </c>
      <c r="H15" s="34" t="s">
        <v>3703</v>
      </c>
      <c r="I15"/>
      <c r="J15" s="34" t="s">
        <v>3677</v>
      </c>
      <c r="K15" s="34">
        <v>10</v>
      </c>
      <c r="L15" s="34" t="s">
        <v>3678</v>
      </c>
    </row>
    <row r="16" spans="1:12" ht="60" customHeight="1" x14ac:dyDescent="0.25">
      <c r="A16" s="34" t="s">
        <v>3704</v>
      </c>
      <c r="B16"/>
      <c r="C16" s="34" t="s">
        <v>3705</v>
      </c>
      <c r="D16" s="34" t="s">
        <v>3667</v>
      </c>
      <c r="E16" s="34" t="s">
        <v>3706</v>
      </c>
      <c r="F16" s="34" t="s">
        <v>3707</v>
      </c>
      <c r="G16" s="34">
        <v>1</v>
      </c>
      <c r="H16" s="34" t="s">
        <v>3708</v>
      </c>
      <c r="I16"/>
      <c r="J16" s="34" t="s">
        <v>3677</v>
      </c>
      <c r="K16" s="34">
        <v>10</v>
      </c>
      <c r="L16" s="34" t="s">
        <v>3678</v>
      </c>
    </row>
    <row r="17" spans="1:12" ht="60" customHeight="1" x14ac:dyDescent="0.25">
      <c r="A17" s="34" t="s">
        <v>3709</v>
      </c>
      <c r="B17"/>
      <c r="C17" s="34" t="s">
        <v>3710</v>
      </c>
      <c r="D17" s="34" t="s">
        <v>3667</v>
      </c>
      <c r="E17" s="34" t="s">
        <v>3711</v>
      </c>
      <c r="F17" s="34" t="s">
        <v>3712</v>
      </c>
      <c r="G17" s="34">
        <v>1</v>
      </c>
      <c r="H17" s="34" t="s">
        <v>3713</v>
      </c>
      <c r="I17"/>
      <c r="J17" s="34" t="s">
        <v>3714</v>
      </c>
      <c r="K17"/>
      <c r="L17" s="34" t="s">
        <v>3715</v>
      </c>
    </row>
    <row r="18" spans="1:12" ht="60" customHeight="1" x14ac:dyDescent="0.25">
      <c r="A18" s="34" t="s">
        <v>3716</v>
      </c>
      <c r="B18"/>
      <c r="C18" s="34" t="s">
        <v>3717</v>
      </c>
      <c r="D18" s="34" t="s">
        <v>3667</v>
      </c>
      <c r="E18" s="34" t="s">
        <v>3718</v>
      </c>
      <c r="F18" s="34" t="s">
        <v>3719</v>
      </c>
      <c r="G18" s="34">
        <v>2</v>
      </c>
      <c r="H18" s="34" t="s">
        <v>3720</v>
      </c>
      <c r="I18"/>
      <c r="J18" s="34" t="s">
        <v>3677</v>
      </c>
      <c r="K18" s="34">
        <v>10</v>
      </c>
      <c r="L18" s="34" t="s">
        <v>3678</v>
      </c>
    </row>
    <row r="19" spans="1:12" ht="60" customHeight="1" x14ac:dyDescent="0.25">
      <c r="A19" s="34" t="s">
        <v>3721</v>
      </c>
      <c r="B19"/>
      <c r="C19" s="34" t="s">
        <v>3722</v>
      </c>
      <c r="D19" s="34" t="s">
        <v>3667</v>
      </c>
      <c r="E19" s="34" t="s">
        <v>3723</v>
      </c>
      <c r="F19" s="34" t="s">
        <v>3724</v>
      </c>
      <c r="G19" s="34">
        <v>1</v>
      </c>
      <c r="H19" s="34" t="s">
        <v>3725</v>
      </c>
      <c r="I19"/>
      <c r="J19" s="34" t="s">
        <v>3677</v>
      </c>
      <c r="K19"/>
      <c r="L19" s="34" t="s">
        <v>3678</v>
      </c>
    </row>
    <row r="20" spans="1:12" ht="60" customHeight="1" x14ac:dyDescent="0.25">
      <c r="A20" s="34" t="s">
        <v>3726</v>
      </c>
      <c r="B20"/>
      <c r="C20" s="34" t="s">
        <v>3727</v>
      </c>
      <c r="D20" s="34" t="s">
        <v>3667</v>
      </c>
      <c r="E20" s="34" t="s">
        <v>3728</v>
      </c>
      <c r="F20" s="34" t="s">
        <v>3729</v>
      </c>
      <c r="G20" s="34">
        <v>2</v>
      </c>
      <c r="H20" s="34" t="s">
        <v>3725</v>
      </c>
      <c r="I20"/>
      <c r="J20" s="34" t="s">
        <v>3677</v>
      </c>
      <c r="K20"/>
      <c r="L20" s="34" t="s">
        <v>3678</v>
      </c>
    </row>
    <row r="21" spans="1:12" ht="60" customHeight="1" x14ac:dyDescent="0.25">
      <c r="A21" s="34" t="s">
        <v>3730</v>
      </c>
      <c r="B21"/>
      <c r="C21" s="34" t="s">
        <v>3731</v>
      </c>
      <c r="D21" s="34" t="s">
        <v>3667</v>
      </c>
      <c r="E21" s="34" t="s">
        <v>3732</v>
      </c>
      <c r="F21" s="34" t="s">
        <v>3733</v>
      </c>
      <c r="G21" s="34">
        <v>2</v>
      </c>
      <c r="H21" s="34" t="s">
        <v>3734</v>
      </c>
      <c r="I21"/>
      <c r="J21" s="34" t="s">
        <v>3677</v>
      </c>
      <c r="K21"/>
      <c r="L21" s="34" t="s">
        <v>3678</v>
      </c>
    </row>
    <row r="22" spans="1:12" ht="60" customHeight="1" x14ac:dyDescent="0.25">
      <c r="A22" s="34" t="s">
        <v>3735</v>
      </c>
      <c r="B22"/>
      <c r="C22" s="34" t="s">
        <v>3736</v>
      </c>
      <c r="D22" s="34" t="s">
        <v>3667</v>
      </c>
      <c r="E22" s="34" t="s">
        <v>3737</v>
      </c>
      <c r="F22" s="34" t="s">
        <v>3738</v>
      </c>
      <c r="G22" s="34">
        <v>4</v>
      </c>
      <c r="H22" s="34" t="s">
        <v>3739</v>
      </c>
      <c r="I22"/>
      <c r="J22" s="34" t="s">
        <v>3677</v>
      </c>
      <c r="K22"/>
      <c r="L22" s="34" t="s">
        <v>3678</v>
      </c>
    </row>
    <row r="23" spans="1:12" ht="60" customHeight="1" x14ac:dyDescent="0.25">
      <c r="A23" s="34" t="s">
        <v>3740</v>
      </c>
      <c r="B23"/>
      <c r="C23" s="34" t="s">
        <v>3741</v>
      </c>
      <c r="D23" s="34" t="s">
        <v>3667</v>
      </c>
      <c r="E23" s="34" t="s">
        <v>3742</v>
      </c>
      <c r="F23" s="34" t="s">
        <v>3743</v>
      </c>
      <c r="G23" s="34">
        <v>1</v>
      </c>
      <c r="H23" s="34" t="s">
        <v>3744</v>
      </c>
      <c r="I23"/>
      <c r="J23" s="34" t="s">
        <v>3677</v>
      </c>
      <c r="K23" s="34">
        <v>6</v>
      </c>
      <c r="L23" s="34" t="s">
        <v>3678</v>
      </c>
    </row>
    <row r="24" spans="1:12" ht="60" customHeight="1" x14ac:dyDescent="0.25">
      <c r="A24" s="34" t="s">
        <v>3745</v>
      </c>
      <c r="B24"/>
      <c r="C24" s="34" t="s">
        <v>3746</v>
      </c>
      <c r="D24" s="34" t="s">
        <v>3667</v>
      </c>
      <c r="E24" s="34" t="s">
        <v>3747</v>
      </c>
      <c r="F24" s="34" t="s">
        <v>3748</v>
      </c>
      <c r="G24" s="34">
        <v>1</v>
      </c>
      <c r="H24" s="34" t="s">
        <v>3744</v>
      </c>
      <c r="I24"/>
      <c r="J24" s="34" t="s">
        <v>3677</v>
      </c>
      <c r="K24" s="34">
        <v>6</v>
      </c>
      <c r="L24" s="34" t="s">
        <v>3678</v>
      </c>
    </row>
    <row r="25" spans="1:12" ht="60" customHeight="1" x14ac:dyDescent="0.25">
      <c r="A25" s="34" t="s">
        <v>160</v>
      </c>
      <c r="B25"/>
      <c r="C25" s="34" t="s">
        <v>3749</v>
      </c>
      <c r="D25" s="34" t="s">
        <v>3667</v>
      </c>
      <c r="E25" s="34" t="s">
        <v>3750</v>
      </c>
      <c r="F25" s="34" t="s">
        <v>3751</v>
      </c>
      <c r="G25" s="34">
        <v>1</v>
      </c>
      <c r="H25" s="34" t="s">
        <v>3752</v>
      </c>
      <c r="I25"/>
      <c r="J25" s="34" t="s">
        <v>3671</v>
      </c>
      <c r="K25"/>
      <c r="L25" s="34" t="s">
        <v>2</v>
      </c>
    </row>
    <row r="26" spans="1:12" ht="60" customHeight="1" x14ac:dyDescent="0.25">
      <c r="A26" s="34" t="s">
        <v>3753</v>
      </c>
      <c r="B26"/>
      <c r="C26" s="34" t="s">
        <v>3754</v>
      </c>
      <c r="D26" s="34" t="s">
        <v>3667</v>
      </c>
      <c r="E26" s="34" t="s">
        <v>3755</v>
      </c>
      <c r="F26" s="34" t="s">
        <v>3755</v>
      </c>
      <c r="G26" s="34">
        <v>1</v>
      </c>
      <c r="H26" s="34" t="s">
        <v>3756</v>
      </c>
      <c r="I26"/>
      <c r="J26" s="34" t="s">
        <v>3757</v>
      </c>
      <c r="K26"/>
      <c r="L26" s="34" t="s">
        <v>3758</v>
      </c>
    </row>
    <row r="27" spans="1:12" ht="60" customHeight="1" x14ac:dyDescent="0.25">
      <c r="A27" s="34" t="s">
        <v>3759</v>
      </c>
      <c r="B27"/>
      <c r="C27" s="34" t="s">
        <v>3760</v>
      </c>
      <c r="D27" s="34" t="s">
        <v>3667</v>
      </c>
      <c r="E27" s="34" t="s">
        <v>3761</v>
      </c>
      <c r="F27" s="34" t="s">
        <v>3762</v>
      </c>
      <c r="G27" s="34">
        <v>2</v>
      </c>
      <c r="H27" s="34" t="s">
        <v>3763</v>
      </c>
      <c r="I27"/>
      <c r="J27" s="34" t="s">
        <v>3757</v>
      </c>
      <c r="K27"/>
      <c r="L27" s="34" t="s">
        <v>3678</v>
      </c>
    </row>
    <row r="28" spans="1:12" ht="60" customHeight="1" x14ac:dyDescent="0.25">
      <c r="A28" s="34" t="s">
        <v>3764</v>
      </c>
      <c r="B28"/>
      <c r="C28" s="34" t="s">
        <v>3765</v>
      </c>
      <c r="D28" s="34" t="s">
        <v>3667</v>
      </c>
      <c r="E28" s="34" t="s">
        <v>4587</v>
      </c>
      <c r="F28" s="34" t="s">
        <v>4586</v>
      </c>
      <c r="G28" s="34">
        <v>4</v>
      </c>
      <c r="H28" s="34" t="s">
        <v>3766</v>
      </c>
      <c r="I28"/>
      <c r="J28" s="34" t="s">
        <v>3767</v>
      </c>
      <c r="K28" s="34">
        <v>3</v>
      </c>
      <c r="L28" s="34" t="s">
        <v>3678</v>
      </c>
    </row>
    <row r="29" spans="1:12" ht="60" customHeight="1" x14ac:dyDescent="0.25">
      <c r="A29" s="34" t="s">
        <v>3768</v>
      </c>
      <c r="B29"/>
      <c r="C29" s="34" t="s">
        <v>3769</v>
      </c>
      <c r="D29" s="34" t="s">
        <v>3667</v>
      </c>
      <c r="E29" s="34" t="s">
        <v>4588</v>
      </c>
      <c r="F29" s="34" t="s">
        <v>4585</v>
      </c>
      <c r="G29" s="34">
        <v>1</v>
      </c>
      <c r="H29" s="34" t="s">
        <v>3770</v>
      </c>
      <c r="I29"/>
      <c r="J29" s="34" t="s">
        <v>3767</v>
      </c>
      <c r="K29" s="34">
        <v>3</v>
      </c>
      <c r="L29" s="34" t="s">
        <v>3678</v>
      </c>
    </row>
    <row r="30" spans="1:12" ht="60" customHeight="1" x14ac:dyDescent="0.25">
      <c r="A30" s="34" t="s">
        <v>3771</v>
      </c>
      <c r="B30"/>
      <c r="C30" s="34" t="s">
        <v>3772</v>
      </c>
      <c r="D30" s="34" t="s">
        <v>3667</v>
      </c>
      <c r="E30" s="34" t="s">
        <v>3773</v>
      </c>
      <c r="F30" s="34" t="s">
        <v>3774</v>
      </c>
      <c r="G30" s="34">
        <v>1</v>
      </c>
      <c r="H30" s="34" t="s">
        <v>3775</v>
      </c>
      <c r="I30"/>
      <c r="J30" s="34" t="s">
        <v>3714</v>
      </c>
      <c r="K30"/>
      <c r="L30" s="34" t="s">
        <v>3715</v>
      </c>
    </row>
    <row r="31" spans="1:12" ht="60" customHeight="1" x14ac:dyDescent="0.25">
      <c r="A31" s="34" t="s">
        <v>3776</v>
      </c>
      <c r="B31"/>
      <c r="C31" s="34" t="s">
        <v>3777</v>
      </c>
      <c r="D31" s="34" t="s">
        <v>3667</v>
      </c>
      <c r="E31" s="34" t="s">
        <v>3778</v>
      </c>
      <c r="F31" s="34" t="s">
        <v>3779</v>
      </c>
      <c r="G31" s="34">
        <v>1</v>
      </c>
      <c r="H31" s="34" t="s">
        <v>3780</v>
      </c>
      <c r="I31"/>
      <c r="J31" s="34" t="s">
        <v>3714</v>
      </c>
      <c r="K31"/>
      <c r="L31" s="34" t="s">
        <v>3715</v>
      </c>
    </row>
    <row r="32" spans="1:12" ht="60" customHeight="1" x14ac:dyDescent="0.25">
      <c r="A32" s="34" t="s">
        <v>161</v>
      </c>
      <c r="B32"/>
      <c r="C32" s="34" t="s">
        <v>3781</v>
      </c>
      <c r="D32" s="34" t="s">
        <v>3667</v>
      </c>
      <c r="E32" s="34" t="s">
        <v>3782</v>
      </c>
      <c r="F32" s="34" t="s">
        <v>3783</v>
      </c>
      <c r="G32" s="34">
        <v>1</v>
      </c>
      <c r="H32" s="34" t="s">
        <v>3784</v>
      </c>
      <c r="I32"/>
      <c r="J32" s="34" t="s">
        <v>3785</v>
      </c>
      <c r="K32"/>
      <c r="L32"/>
    </row>
    <row r="33" spans="1:12" ht="60" customHeight="1" x14ac:dyDescent="0.25">
      <c r="A33" s="34" t="s">
        <v>3786</v>
      </c>
      <c r="B33"/>
      <c r="C33" s="34" t="s">
        <v>3787</v>
      </c>
      <c r="D33" s="34" t="s">
        <v>3667</v>
      </c>
      <c r="E33" s="34" t="s">
        <v>3788</v>
      </c>
      <c r="F33" s="34" t="s">
        <v>3789</v>
      </c>
      <c r="G33" s="34">
        <v>1</v>
      </c>
      <c r="H33" s="34" t="s">
        <v>3790</v>
      </c>
      <c r="I33"/>
      <c r="J33" s="34" t="s">
        <v>3671</v>
      </c>
      <c r="K33"/>
      <c r="L33" s="34" t="s">
        <v>2</v>
      </c>
    </row>
    <row r="34" spans="1:12" ht="60" customHeight="1" x14ac:dyDescent="0.25">
      <c r="A34" s="34" t="s">
        <v>3791</v>
      </c>
      <c r="B34"/>
      <c r="C34" s="34" t="s">
        <v>3792</v>
      </c>
      <c r="D34" s="34" t="s">
        <v>3667</v>
      </c>
      <c r="E34" s="34" t="s">
        <v>3793</v>
      </c>
      <c r="F34" s="34" t="s">
        <v>3794</v>
      </c>
      <c r="G34" s="34">
        <v>1</v>
      </c>
      <c r="H34" s="34" t="s">
        <v>3795</v>
      </c>
      <c r="I34"/>
      <c r="J34" s="34" t="s">
        <v>3677</v>
      </c>
      <c r="K34" s="34">
        <v>8</v>
      </c>
      <c r="L34" s="34" t="s">
        <v>3678</v>
      </c>
    </row>
    <row r="35" spans="1:12" ht="60" customHeight="1" x14ac:dyDescent="0.25">
      <c r="A35" s="34" t="s">
        <v>3796</v>
      </c>
      <c r="B35"/>
      <c r="C35" s="34" t="s">
        <v>3797</v>
      </c>
      <c r="D35" s="34" t="s">
        <v>3667</v>
      </c>
      <c r="E35" s="34" t="s">
        <v>3798</v>
      </c>
      <c r="F35" s="34" t="s">
        <v>3799</v>
      </c>
      <c r="G35" s="34">
        <v>2</v>
      </c>
      <c r="H35" s="34" t="s">
        <v>3800</v>
      </c>
      <c r="I35"/>
      <c r="J35" s="34" t="s">
        <v>3677</v>
      </c>
      <c r="K35" s="34">
        <v>8</v>
      </c>
      <c r="L35" s="34" t="s">
        <v>3801</v>
      </c>
    </row>
    <row r="36" spans="1:12" ht="60" customHeight="1" x14ac:dyDescent="0.25">
      <c r="A36" s="34" t="s">
        <v>3802</v>
      </c>
      <c r="B36"/>
      <c r="C36" s="34" t="s">
        <v>3803</v>
      </c>
      <c r="D36" s="34" t="s">
        <v>3667</v>
      </c>
      <c r="E36" s="34" t="s">
        <v>3798</v>
      </c>
      <c r="F36" s="34" t="s">
        <v>3799</v>
      </c>
      <c r="G36" s="34">
        <v>2</v>
      </c>
      <c r="H36" s="34" t="s">
        <v>3804</v>
      </c>
      <c r="I36"/>
      <c r="J36" s="34" t="s">
        <v>3677</v>
      </c>
      <c r="K36" s="34">
        <v>8</v>
      </c>
      <c r="L36" s="34" t="s">
        <v>3801</v>
      </c>
    </row>
    <row r="37" spans="1:12" ht="60" customHeight="1" x14ac:dyDescent="0.25">
      <c r="A37" s="34" t="s">
        <v>3805</v>
      </c>
      <c r="B37"/>
      <c r="C37" s="34" t="s">
        <v>3806</v>
      </c>
      <c r="D37" s="34" t="s">
        <v>3667</v>
      </c>
      <c r="E37" s="34" t="s">
        <v>3807</v>
      </c>
      <c r="F37" s="34" t="s">
        <v>3808</v>
      </c>
      <c r="G37" s="34">
        <v>1</v>
      </c>
      <c r="H37" s="34" t="s">
        <v>3809</v>
      </c>
      <c r="I37"/>
      <c r="J37" s="34" t="s">
        <v>3536</v>
      </c>
      <c r="K37"/>
      <c r="L37" s="34" t="s">
        <v>3810</v>
      </c>
    </row>
    <row r="38" spans="1:12" ht="60" customHeight="1" x14ac:dyDescent="0.25">
      <c r="A38" s="34" t="s">
        <v>3811</v>
      </c>
      <c r="B38"/>
      <c r="C38" s="34" t="s">
        <v>3812</v>
      </c>
      <c r="D38" s="34" t="s">
        <v>3667</v>
      </c>
      <c r="E38" s="34" t="s">
        <v>3813</v>
      </c>
      <c r="F38" s="34" t="s">
        <v>3814</v>
      </c>
      <c r="G38" s="34">
        <v>2</v>
      </c>
      <c r="H38" s="34" t="s">
        <v>3815</v>
      </c>
      <c r="I38"/>
      <c r="J38" s="34" t="s">
        <v>3677</v>
      </c>
      <c r="K38" s="34">
        <v>8</v>
      </c>
      <c r="L38" s="34" t="s">
        <v>3678</v>
      </c>
    </row>
    <row r="39" spans="1:12" ht="60" customHeight="1" x14ac:dyDescent="0.25">
      <c r="A39" s="34" t="s">
        <v>3816</v>
      </c>
      <c r="B39"/>
      <c r="C39" s="34" t="s">
        <v>3817</v>
      </c>
      <c r="D39" s="34" t="s">
        <v>3667</v>
      </c>
      <c r="E39" s="34" t="s">
        <v>3818</v>
      </c>
      <c r="F39" s="34" t="s">
        <v>3819</v>
      </c>
      <c r="G39" s="34">
        <v>1</v>
      </c>
      <c r="H39" s="34" t="s">
        <v>3820</v>
      </c>
      <c r="I39"/>
      <c r="J39" s="34" t="s">
        <v>3671</v>
      </c>
      <c r="K39"/>
      <c r="L39" s="34" t="s">
        <v>2</v>
      </c>
    </row>
    <row r="40" spans="1:12" ht="60" customHeight="1" x14ac:dyDescent="0.25">
      <c r="A40" s="34" t="s">
        <v>3821</v>
      </c>
      <c r="B40"/>
      <c r="C40" s="34" t="s">
        <v>3822</v>
      </c>
      <c r="D40" s="34" t="s">
        <v>3667</v>
      </c>
      <c r="E40" s="34" t="s">
        <v>3823</v>
      </c>
      <c r="F40" s="34" t="s">
        <v>3824</v>
      </c>
      <c r="G40" s="34">
        <v>2</v>
      </c>
      <c r="H40" s="34" t="s">
        <v>3825</v>
      </c>
      <c r="I40"/>
      <c r="J40" s="34" t="s">
        <v>3677</v>
      </c>
      <c r="K40" s="34">
        <v>5</v>
      </c>
      <c r="L40" s="34" t="s">
        <v>3678</v>
      </c>
    </row>
    <row r="41" spans="1:12" ht="60" customHeight="1" x14ac:dyDescent="0.25">
      <c r="A41" s="34" t="s">
        <v>3826</v>
      </c>
      <c r="B41"/>
      <c r="C41" s="34" t="s">
        <v>3827</v>
      </c>
      <c r="D41" s="34" t="s">
        <v>3667</v>
      </c>
      <c r="E41" s="34" t="s">
        <v>3823</v>
      </c>
      <c r="F41" s="34" t="s">
        <v>3824</v>
      </c>
      <c r="G41" s="34">
        <v>2</v>
      </c>
      <c r="H41" s="34" t="s">
        <v>3828</v>
      </c>
      <c r="I41"/>
      <c r="J41" s="34" t="s">
        <v>3677</v>
      </c>
      <c r="K41" s="34">
        <v>5</v>
      </c>
      <c r="L41" s="34" t="s">
        <v>3678</v>
      </c>
    </row>
    <row r="42" spans="1:12" ht="60" customHeight="1" x14ac:dyDescent="0.25">
      <c r="A42" s="34" t="s">
        <v>3829</v>
      </c>
      <c r="B42"/>
      <c r="C42" s="34" t="s">
        <v>155</v>
      </c>
      <c r="D42"/>
      <c r="E42" s="34" t="s">
        <v>156</v>
      </c>
      <c r="F42" s="34" t="s">
        <v>157</v>
      </c>
      <c r="G42" s="34">
        <v>46</v>
      </c>
      <c r="H42" s="34" t="s">
        <v>3830</v>
      </c>
      <c r="I42"/>
      <c r="J42" s="34" t="s">
        <v>3831</v>
      </c>
      <c r="K42"/>
      <c r="L42" s="34" t="s">
        <v>3832</v>
      </c>
    </row>
    <row r="43" spans="1:12" ht="60" customHeight="1" x14ac:dyDescent="0.25">
      <c r="A43" s="34" t="s">
        <v>3833</v>
      </c>
      <c r="B43"/>
      <c r="C43" s="34" t="s">
        <v>3834</v>
      </c>
      <c r="D43"/>
      <c r="E43" s="34" t="s">
        <v>3835</v>
      </c>
      <c r="F43" s="34" t="s">
        <v>3836</v>
      </c>
      <c r="G43" s="34">
        <v>22</v>
      </c>
      <c r="H43" s="34" t="s">
        <v>3837</v>
      </c>
      <c r="I43"/>
      <c r="J43" s="34" t="s">
        <v>3831</v>
      </c>
      <c r="K43"/>
      <c r="L43" s="34" t="s">
        <v>3832</v>
      </c>
    </row>
    <row r="44" spans="1:12" ht="60" customHeight="1" x14ac:dyDescent="0.25">
      <c r="A44" s="34" t="s">
        <v>3838</v>
      </c>
      <c r="B44"/>
      <c r="C44" s="34" t="s">
        <v>3839</v>
      </c>
      <c r="D44"/>
      <c r="E44" s="34" t="s">
        <v>3840</v>
      </c>
      <c r="F44" s="34" t="s">
        <v>3841</v>
      </c>
      <c r="G44" s="34">
        <v>24</v>
      </c>
      <c r="H44" s="34" t="s">
        <v>3842</v>
      </c>
      <c r="I44"/>
      <c r="J44" s="34" t="s">
        <v>3831</v>
      </c>
      <c r="K44"/>
      <c r="L44" s="34" t="s">
        <v>3832</v>
      </c>
    </row>
    <row r="45" spans="1:12" ht="60" customHeight="1" x14ac:dyDescent="0.25">
      <c r="A45" s="34" t="s">
        <v>163</v>
      </c>
      <c r="B45"/>
      <c r="C45" s="34" t="s">
        <v>3843</v>
      </c>
      <c r="D45" s="34" t="s">
        <v>3667</v>
      </c>
      <c r="E45" s="34" t="s">
        <v>3844</v>
      </c>
      <c r="F45" s="34" t="s">
        <v>3845</v>
      </c>
      <c r="G45" s="34">
        <v>1</v>
      </c>
      <c r="H45" s="34" t="s">
        <v>3846</v>
      </c>
      <c r="I45"/>
      <c r="J45" s="34" t="s">
        <v>3785</v>
      </c>
      <c r="K45"/>
      <c r="L45"/>
    </row>
    <row r="46" spans="1:12" ht="60" customHeight="1" x14ac:dyDescent="0.25">
      <c r="A46" s="34" t="s">
        <v>3847</v>
      </c>
      <c r="B46"/>
      <c r="C46" s="34" t="s">
        <v>3848</v>
      </c>
      <c r="D46" s="34" t="s">
        <v>3667</v>
      </c>
      <c r="E46" s="34" t="s">
        <v>3788</v>
      </c>
      <c r="F46" s="34" t="s">
        <v>3789</v>
      </c>
      <c r="G46" s="34">
        <v>1</v>
      </c>
      <c r="H46" s="34" t="s">
        <v>3849</v>
      </c>
      <c r="I46"/>
      <c r="J46" s="34" t="s">
        <v>3671</v>
      </c>
      <c r="K46"/>
      <c r="L46" s="34" t="s">
        <v>2</v>
      </c>
    </row>
    <row r="47" spans="1:12" ht="60" customHeight="1" x14ac:dyDescent="0.25">
      <c r="A47" s="34" t="s">
        <v>3850</v>
      </c>
      <c r="B47"/>
      <c r="C47" s="34" t="s">
        <v>3851</v>
      </c>
      <c r="D47" s="34" t="s">
        <v>3667</v>
      </c>
      <c r="E47" s="34" t="s">
        <v>3793</v>
      </c>
      <c r="F47" s="34" t="s">
        <v>3794</v>
      </c>
      <c r="G47" s="34">
        <v>1</v>
      </c>
      <c r="H47" s="34" t="s">
        <v>3852</v>
      </c>
      <c r="I47"/>
      <c r="J47" s="34" t="s">
        <v>3677</v>
      </c>
      <c r="K47" s="34">
        <v>8</v>
      </c>
      <c r="L47" s="34" t="s">
        <v>3678</v>
      </c>
    </row>
    <row r="48" spans="1:12" ht="60" customHeight="1" x14ac:dyDescent="0.25">
      <c r="A48" s="34" t="s">
        <v>3853</v>
      </c>
      <c r="B48"/>
      <c r="C48" s="34" t="s">
        <v>3854</v>
      </c>
      <c r="D48" s="34" t="s">
        <v>3667</v>
      </c>
      <c r="E48" s="34" t="s">
        <v>3798</v>
      </c>
      <c r="F48" s="34" t="s">
        <v>3799</v>
      </c>
      <c r="G48" s="34">
        <v>2</v>
      </c>
      <c r="H48" s="34" t="s">
        <v>3800</v>
      </c>
      <c r="I48"/>
      <c r="J48" s="34" t="s">
        <v>3677</v>
      </c>
      <c r="K48" s="34">
        <v>8</v>
      </c>
      <c r="L48" s="34" t="s">
        <v>3801</v>
      </c>
    </row>
    <row r="49" spans="1:12" ht="60" customHeight="1" x14ac:dyDescent="0.25">
      <c r="A49" s="34" t="s">
        <v>3855</v>
      </c>
      <c r="B49"/>
      <c r="C49" s="34" t="s">
        <v>3856</v>
      </c>
      <c r="D49" s="34" t="s">
        <v>3667</v>
      </c>
      <c r="E49" s="34" t="s">
        <v>3798</v>
      </c>
      <c r="F49" s="34" t="s">
        <v>3799</v>
      </c>
      <c r="G49" s="34">
        <v>2</v>
      </c>
      <c r="H49" s="34" t="s">
        <v>3800</v>
      </c>
      <c r="I49"/>
      <c r="J49" s="34" t="s">
        <v>3677</v>
      </c>
      <c r="K49" s="34">
        <v>8</v>
      </c>
      <c r="L49" s="34" t="s">
        <v>3801</v>
      </c>
    </row>
    <row r="50" spans="1:12" ht="60" customHeight="1" x14ac:dyDescent="0.25">
      <c r="A50" s="34" t="s">
        <v>3857</v>
      </c>
      <c r="B50"/>
      <c r="C50" s="34" t="s">
        <v>3858</v>
      </c>
      <c r="D50" s="34" t="s">
        <v>3667</v>
      </c>
      <c r="E50" s="34" t="s">
        <v>3807</v>
      </c>
      <c r="F50" s="34" t="s">
        <v>3808</v>
      </c>
      <c r="G50" s="34">
        <v>1</v>
      </c>
      <c r="H50" s="34" t="s">
        <v>3859</v>
      </c>
      <c r="I50"/>
      <c r="J50" s="34" t="s">
        <v>3536</v>
      </c>
      <c r="K50"/>
      <c r="L50" s="34" t="s">
        <v>3810</v>
      </c>
    </row>
    <row r="51" spans="1:12" ht="60" customHeight="1" x14ac:dyDescent="0.25">
      <c r="A51" s="34" t="s">
        <v>3860</v>
      </c>
      <c r="B51"/>
      <c r="C51" s="34" t="s">
        <v>3861</v>
      </c>
      <c r="D51" s="34" t="s">
        <v>3667</v>
      </c>
      <c r="E51" s="34" t="s">
        <v>3813</v>
      </c>
      <c r="F51" s="34" t="s">
        <v>3814</v>
      </c>
      <c r="G51" s="34">
        <v>2</v>
      </c>
      <c r="H51" s="34" t="s">
        <v>3862</v>
      </c>
      <c r="I51"/>
      <c r="J51" s="34" t="s">
        <v>3677</v>
      </c>
      <c r="K51" s="34">
        <v>8</v>
      </c>
      <c r="L51" s="34" t="s">
        <v>3678</v>
      </c>
    </row>
    <row r="52" spans="1:12" ht="60" customHeight="1" x14ac:dyDescent="0.25">
      <c r="A52" s="34" t="s">
        <v>3863</v>
      </c>
      <c r="B52"/>
      <c r="C52" s="34" t="s">
        <v>3864</v>
      </c>
      <c r="D52" s="34" t="s">
        <v>3667</v>
      </c>
      <c r="E52" s="34" t="s">
        <v>3865</v>
      </c>
      <c r="F52" s="34" t="s">
        <v>3866</v>
      </c>
      <c r="G52" s="34">
        <v>1</v>
      </c>
      <c r="H52" s="34" t="s">
        <v>3867</v>
      </c>
      <c r="I52"/>
      <c r="J52" s="34" t="s">
        <v>3671</v>
      </c>
      <c r="K52"/>
      <c r="L52" s="34" t="s">
        <v>2</v>
      </c>
    </row>
    <row r="53" spans="1:12" ht="60" customHeight="1" x14ac:dyDescent="0.25">
      <c r="A53" s="34" t="s">
        <v>3868</v>
      </c>
      <c r="B53"/>
      <c r="C53" s="34" t="s">
        <v>3869</v>
      </c>
      <c r="D53" s="34" t="s">
        <v>3667</v>
      </c>
      <c r="E53" s="34" t="s">
        <v>3823</v>
      </c>
      <c r="F53" s="34" t="s">
        <v>3824</v>
      </c>
      <c r="G53" s="34">
        <v>2</v>
      </c>
      <c r="H53" s="34" t="s">
        <v>3825</v>
      </c>
      <c r="I53"/>
      <c r="J53" s="34" t="s">
        <v>3677</v>
      </c>
      <c r="K53" s="34">
        <v>5</v>
      </c>
      <c r="L53" s="34" t="s">
        <v>3678</v>
      </c>
    </row>
    <row r="54" spans="1:12" ht="60" customHeight="1" x14ac:dyDescent="0.25">
      <c r="A54" s="34" t="s">
        <v>3870</v>
      </c>
      <c r="B54"/>
      <c r="C54" s="34" t="s">
        <v>3871</v>
      </c>
      <c r="D54" s="34" t="s">
        <v>3667</v>
      </c>
      <c r="E54" s="34" t="s">
        <v>3823</v>
      </c>
      <c r="F54" s="34" t="s">
        <v>3824</v>
      </c>
      <c r="G54" s="34">
        <v>2</v>
      </c>
      <c r="H54" s="34" t="s">
        <v>3872</v>
      </c>
      <c r="I54"/>
      <c r="J54" s="34" t="s">
        <v>3677</v>
      </c>
      <c r="K54" s="34">
        <v>5</v>
      </c>
      <c r="L54" s="34" t="s">
        <v>3678</v>
      </c>
    </row>
    <row r="55" spans="1:12" ht="60" customHeight="1" x14ac:dyDescent="0.25">
      <c r="A55" s="34" t="s">
        <v>3873</v>
      </c>
      <c r="B55"/>
      <c r="C55" s="34" t="s">
        <v>155</v>
      </c>
      <c r="D55"/>
      <c r="E55" s="34" t="s">
        <v>156</v>
      </c>
      <c r="F55" s="34" t="s">
        <v>157</v>
      </c>
      <c r="G55" s="34">
        <v>36</v>
      </c>
      <c r="H55" s="34" t="s">
        <v>3830</v>
      </c>
      <c r="I55"/>
      <c r="J55" s="34" t="s">
        <v>3831</v>
      </c>
      <c r="K55"/>
      <c r="L55" s="34" t="s">
        <v>3832</v>
      </c>
    </row>
    <row r="56" spans="1:12" ht="60" customHeight="1" x14ac:dyDescent="0.25">
      <c r="A56" s="34" t="s">
        <v>3874</v>
      </c>
      <c r="B56"/>
      <c r="C56" s="34" t="s">
        <v>3834</v>
      </c>
      <c r="D56"/>
      <c r="E56" s="34" t="s">
        <v>3835</v>
      </c>
      <c r="F56" s="34" t="s">
        <v>3836</v>
      </c>
      <c r="G56" s="34">
        <v>24</v>
      </c>
      <c r="H56" s="34" t="s">
        <v>3837</v>
      </c>
      <c r="I56"/>
      <c r="J56" s="34" t="s">
        <v>3831</v>
      </c>
      <c r="K56"/>
      <c r="L56" s="34" t="s">
        <v>3832</v>
      </c>
    </row>
    <row r="57" spans="1:12" ht="60" customHeight="1" x14ac:dyDescent="0.25">
      <c r="A57" s="34" t="s">
        <v>3875</v>
      </c>
      <c r="B57"/>
      <c r="C57" s="34" t="s">
        <v>3876</v>
      </c>
      <c r="D57"/>
      <c r="E57" s="34" t="s">
        <v>3877</v>
      </c>
      <c r="F57" s="34" t="s">
        <v>3878</v>
      </c>
      <c r="G57" s="34">
        <v>12</v>
      </c>
      <c r="H57" s="34" t="s">
        <v>3879</v>
      </c>
      <c r="I57"/>
      <c r="J57" s="34" t="s">
        <v>3831</v>
      </c>
      <c r="K57"/>
      <c r="L57" s="34" t="s">
        <v>3832</v>
      </c>
    </row>
    <row r="58" spans="1:12" ht="60" customHeight="1" x14ac:dyDescent="0.25">
      <c r="A58" s="34" t="s">
        <v>3880</v>
      </c>
      <c r="B58"/>
      <c r="C58" s="34" t="s">
        <v>3881</v>
      </c>
      <c r="D58"/>
      <c r="E58" s="34" t="s">
        <v>3882</v>
      </c>
      <c r="F58" s="34" t="s">
        <v>3883</v>
      </c>
      <c r="G58" s="34">
        <v>12</v>
      </c>
      <c r="H58" s="34" t="s">
        <v>3884</v>
      </c>
      <c r="I58"/>
      <c r="J58" s="34" t="s">
        <v>3831</v>
      </c>
      <c r="K58"/>
      <c r="L58" s="34" t="s">
        <v>3832</v>
      </c>
    </row>
    <row r="59" spans="1:12" ht="60" customHeight="1" x14ac:dyDescent="0.25">
      <c r="A59" s="34" t="s">
        <v>3885</v>
      </c>
      <c r="B59"/>
      <c r="C59" s="34" t="s">
        <v>3886</v>
      </c>
      <c r="D59"/>
      <c r="E59" s="34" t="s">
        <v>3887</v>
      </c>
      <c r="F59" s="34" t="s">
        <v>3888</v>
      </c>
      <c r="G59" s="34">
        <v>12</v>
      </c>
      <c r="H59" s="34" t="s">
        <v>3889</v>
      </c>
      <c r="I59"/>
      <c r="J59" s="34" t="s">
        <v>3831</v>
      </c>
      <c r="K59"/>
      <c r="L59" s="34" t="s">
        <v>3832</v>
      </c>
    </row>
    <row r="60" spans="1:12" ht="60" customHeight="1" x14ac:dyDescent="0.25">
      <c r="A60" s="34" t="s">
        <v>3890</v>
      </c>
      <c r="B60"/>
      <c r="C60" s="34" t="s">
        <v>3891</v>
      </c>
      <c r="D60" s="34" t="s">
        <v>3667</v>
      </c>
      <c r="E60" s="34" t="s">
        <v>3892</v>
      </c>
      <c r="F60" s="34" t="s">
        <v>3893</v>
      </c>
      <c r="G60" s="34">
        <v>1</v>
      </c>
      <c r="H60" s="34" t="s">
        <v>3894</v>
      </c>
      <c r="I60"/>
      <c r="J60" s="34" t="s">
        <v>3785</v>
      </c>
      <c r="K60"/>
      <c r="L60"/>
    </row>
    <row r="61" spans="1:12" ht="60" customHeight="1" x14ac:dyDescent="0.25">
      <c r="A61" s="34" t="s">
        <v>3895</v>
      </c>
      <c r="B61"/>
      <c r="C61" s="34" t="s">
        <v>3896</v>
      </c>
      <c r="D61" s="34" t="s">
        <v>3667</v>
      </c>
      <c r="E61" s="34" t="s">
        <v>3897</v>
      </c>
      <c r="F61" s="34" t="s">
        <v>3898</v>
      </c>
      <c r="G61" s="34">
        <v>1</v>
      </c>
      <c r="H61" s="34" t="s">
        <v>3899</v>
      </c>
      <c r="I61"/>
      <c r="J61" s="34" t="s">
        <v>3714</v>
      </c>
      <c r="K61"/>
      <c r="L61" s="34" t="s">
        <v>3678</v>
      </c>
    </row>
    <row r="62" spans="1:12" ht="60" customHeight="1" x14ac:dyDescent="0.25">
      <c r="A62" s="34" t="s">
        <v>3900</v>
      </c>
      <c r="B62"/>
      <c r="C62" s="34" t="s">
        <v>3901</v>
      </c>
      <c r="D62" s="34" t="s">
        <v>3667</v>
      </c>
      <c r="E62" s="34" t="s">
        <v>3902</v>
      </c>
      <c r="F62" s="34" t="s">
        <v>3903</v>
      </c>
      <c r="G62" s="34">
        <v>1</v>
      </c>
      <c r="H62" s="34" t="s">
        <v>3904</v>
      </c>
      <c r="I62"/>
      <c r="J62" s="34" t="s">
        <v>3714</v>
      </c>
      <c r="K62"/>
      <c r="L62" s="34" t="s">
        <v>3678</v>
      </c>
    </row>
    <row r="63" spans="1:12" ht="60" customHeight="1" x14ac:dyDescent="0.25">
      <c r="A63" s="34" t="s">
        <v>3905</v>
      </c>
      <c r="B63"/>
      <c r="C63" s="34" t="s">
        <v>3906</v>
      </c>
      <c r="D63" s="34" t="s">
        <v>3667</v>
      </c>
      <c r="E63" s="34" t="s">
        <v>3907</v>
      </c>
      <c r="F63" s="34" t="s">
        <v>3908</v>
      </c>
      <c r="G63" s="34">
        <v>1</v>
      </c>
      <c r="H63" s="34" t="s">
        <v>3909</v>
      </c>
      <c r="I63"/>
      <c r="J63" s="34" t="s">
        <v>3714</v>
      </c>
      <c r="K63"/>
      <c r="L63" s="34" t="s">
        <v>3678</v>
      </c>
    </row>
    <row r="64" spans="1:12" ht="60" customHeight="1" x14ac:dyDescent="0.25">
      <c r="A64" s="34" t="s">
        <v>3910</v>
      </c>
      <c r="B64"/>
      <c r="C64" s="34" t="s">
        <v>3911</v>
      </c>
      <c r="D64" s="34" t="s">
        <v>3667</v>
      </c>
      <c r="E64" s="34" t="s">
        <v>3912</v>
      </c>
      <c r="F64" s="34" t="s">
        <v>3913</v>
      </c>
      <c r="G64" s="34">
        <v>1</v>
      </c>
      <c r="H64" s="34" t="s">
        <v>3914</v>
      </c>
      <c r="I64"/>
      <c r="J64" s="34" t="s">
        <v>3915</v>
      </c>
      <c r="K64"/>
      <c r="L64" s="34" t="s">
        <v>3916</v>
      </c>
    </row>
    <row r="65" spans="1:12" ht="60" customHeight="1" x14ac:dyDescent="0.25">
      <c r="A65" s="34" t="s">
        <v>3917</v>
      </c>
      <c r="B65"/>
      <c r="C65" s="34" t="s">
        <v>3918</v>
      </c>
      <c r="D65"/>
      <c r="E65" s="34" t="s">
        <v>3919</v>
      </c>
      <c r="F65" s="34" t="s">
        <v>3920</v>
      </c>
      <c r="G65" s="34">
        <v>6</v>
      </c>
      <c r="H65" s="34" t="s">
        <v>3921</v>
      </c>
      <c r="I65"/>
      <c r="J65" s="34" t="s">
        <v>3831</v>
      </c>
      <c r="K65"/>
      <c r="L65" s="34" t="s">
        <v>3832</v>
      </c>
    </row>
    <row r="66" spans="1:12" ht="60" customHeight="1" x14ac:dyDescent="0.25">
      <c r="A66" s="34" t="s">
        <v>3922</v>
      </c>
      <c r="B66"/>
      <c r="C66" s="34" t="s">
        <v>3923</v>
      </c>
      <c r="D66"/>
      <c r="E66" s="34" t="s">
        <v>3924</v>
      </c>
      <c r="F66" s="34" t="s">
        <v>3925</v>
      </c>
      <c r="G66" s="34">
        <v>6</v>
      </c>
      <c r="H66" s="34" t="s">
        <v>3926</v>
      </c>
      <c r="I66"/>
      <c r="J66" s="34" t="s">
        <v>3831</v>
      </c>
      <c r="K66"/>
      <c r="L66" s="34" t="s">
        <v>3832</v>
      </c>
    </row>
    <row r="67" spans="1:12" ht="60" customHeight="1" x14ac:dyDescent="0.25">
      <c r="A67" s="34" t="s">
        <v>3927</v>
      </c>
      <c r="B67"/>
      <c r="C67" s="34" t="s">
        <v>3928</v>
      </c>
      <c r="D67"/>
      <c r="E67" s="34" t="s">
        <v>3929</v>
      </c>
      <c r="F67" s="34" t="s">
        <v>3930</v>
      </c>
      <c r="G67" s="34">
        <v>6</v>
      </c>
      <c r="H67" s="34" t="s">
        <v>3931</v>
      </c>
      <c r="I67"/>
      <c r="J67" s="34" t="s">
        <v>3831</v>
      </c>
      <c r="K67"/>
      <c r="L67" s="34" t="s">
        <v>3832</v>
      </c>
    </row>
    <row r="68" spans="1:12" ht="60" customHeight="1" x14ac:dyDescent="0.25">
      <c r="A68" s="34" t="s">
        <v>3932</v>
      </c>
      <c r="B68"/>
      <c r="C68" s="34" t="s">
        <v>3933</v>
      </c>
      <c r="D68"/>
      <c r="E68" s="34" t="s">
        <v>3934</v>
      </c>
      <c r="F68" s="34" t="s">
        <v>3935</v>
      </c>
      <c r="G68" s="34">
        <v>6</v>
      </c>
      <c r="H68" s="34" t="s">
        <v>3936</v>
      </c>
      <c r="I68"/>
      <c r="J68" s="34" t="s">
        <v>3831</v>
      </c>
      <c r="K68"/>
      <c r="L68" s="34" t="s">
        <v>3832</v>
      </c>
    </row>
    <row r="69" spans="1:12" ht="60" customHeight="1" x14ac:dyDescent="0.25">
      <c r="A69" s="34" t="s">
        <v>3937</v>
      </c>
      <c r="B69"/>
      <c r="C69" s="34" t="s">
        <v>3938</v>
      </c>
      <c r="D69" s="34" t="s">
        <v>3667</v>
      </c>
      <c r="E69" s="34" t="s">
        <v>3939</v>
      </c>
      <c r="F69" s="34" t="s">
        <v>3940</v>
      </c>
      <c r="G69" s="34">
        <v>1</v>
      </c>
      <c r="H69" s="34" t="s">
        <v>3941</v>
      </c>
      <c r="I69" s="34" t="s">
        <v>3942</v>
      </c>
      <c r="J69" s="34" t="s">
        <v>3536</v>
      </c>
      <c r="K69"/>
      <c r="L69" s="34" t="s">
        <v>3943</v>
      </c>
    </row>
    <row r="70" spans="1:12" ht="60" customHeight="1" x14ac:dyDescent="0.25">
      <c r="A70" s="34" t="s">
        <v>3944</v>
      </c>
      <c r="B70"/>
      <c r="C70" s="34" t="s">
        <v>3945</v>
      </c>
      <c r="D70" s="34" t="s">
        <v>3667</v>
      </c>
      <c r="E70" s="34" t="s">
        <v>3946</v>
      </c>
      <c r="F70" s="34" t="s">
        <v>3947</v>
      </c>
      <c r="G70" s="34">
        <v>1</v>
      </c>
      <c r="H70" s="34" t="s">
        <v>3948</v>
      </c>
      <c r="I70" s="34" t="s">
        <v>3942</v>
      </c>
      <c r="J70" s="34" t="s">
        <v>3536</v>
      </c>
      <c r="K70"/>
      <c r="L70" s="34" t="s">
        <v>3949</v>
      </c>
    </row>
    <row r="71" spans="1:12" ht="60" customHeight="1" x14ac:dyDescent="0.25">
      <c r="A71" s="34" t="s">
        <v>3950</v>
      </c>
      <c r="B71"/>
      <c r="C71" s="34" t="s">
        <v>3951</v>
      </c>
      <c r="D71" s="34" t="s">
        <v>3667</v>
      </c>
      <c r="E71" s="34" t="s">
        <v>3952</v>
      </c>
      <c r="F71" s="34" t="s">
        <v>3953</v>
      </c>
      <c r="G71" s="34">
        <v>1</v>
      </c>
      <c r="H71" s="34" t="s">
        <v>3954</v>
      </c>
      <c r="I71" s="34" t="s">
        <v>3942</v>
      </c>
      <c r="J71" s="34" t="s">
        <v>3536</v>
      </c>
      <c r="K71"/>
      <c r="L71" s="34" t="s">
        <v>3949</v>
      </c>
    </row>
    <row r="72" spans="1:12" ht="60" customHeight="1" x14ac:dyDescent="0.25">
      <c r="A72" s="34" t="s">
        <v>3955</v>
      </c>
      <c r="B72"/>
      <c r="C72" s="34" t="s">
        <v>3956</v>
      </c>
      <c r="D72" s="34" t="s">
        <v>3667</v>
      </c>
      <c r="E72" s="34" t="s">
        <v>3957</v>
      </c>
      <c r="F72" s="34" t="s">
        <v>3958</v>
      </c>
      <c r="G72" s="34">
        <v>1</v>
      </c>
      <c r="H72" s="34" t="s">
        <v>3959</v>
      </c>
      <c r="I72" s="34" t="s">
        <v>3942</v>
      </c>
      <c r="J72" s="34" t="s">
        <v>3536</v>
      </c>
      <c r="K72"/>
      <c r="L72" s="34" t="s">
        <v>3949</v>
      </c>
    </row>
    <row r="73" spans="1:12" ht="60" customHeight="1" x14ac:dyDescent="0.25">
      <c r="A73" s="34" t="s">
        <v>3960</v>
      </c>
      <c r="B73"/>
      <c r="C73" s="34" t="s">
        <v>3961</v>
      </c>
      <c r="D73" s="34" t="s">
        <v>3667</v>
      </c>
      <c r="E73" s="34" t="s">
        <v>3962</v>
      </c>
      <c r="F73" s="34" t="s">
        <v>3963</v>
      </c>
      <c r="G73" s="34">
        <v>1</v>
      </c>
      <c r="H73" s="34" t="s">
        <v>3964</v>
      </c>
      <c r="I73" s="34" t="s">
        <v>3942</v>
      </c>
      <c r="J73" s="34" t="s">
        <v>3536</v>
      </c>
      <c r="K73"/>
      <c r="L73" s="34" t="s">
        <v>3949</v>
      </c>
    </row>
    <row r="74" spans="1:12" ht="60" customHeight="1" x14ac:dyDescent="0.25">
      <c r="A74" s="34" t="s">
        <v>164</v>
      </c>
      <c r="B74"/>
      <c r="C74" s="34" t="s">
        <v>3965</v>
      </c>
      <c r="D74" s="34" t="s">
        <v>3667</v>
      </c>
      <c r="E74" s="34" t="s">
        <v>3966</v>
      </c>
      <c r="F74" s="34" t="s">
        <v>3967</v>
      </c>
      <c r="G74" s="34">
        <v>1</v>
      </c>
      <c r="H74" s="34" t="s">
        <v>3968</v>
      </c>
      <c r="I74"/>
      <c r="J74" s="34" t="s">
        <v>3785</v>
      </c>
      <c r="K74"/>
      <c r="L74"/>
    </row>
    <row r="75" spans="1:12" ht="60" customHeight="1" x14ac:dyDescent="0.25">
      <c r="A75" s="34" t="s">
        <v>3969</v>
      </c>
      <c r="B75"/>
      <c r="C75" s="34" t="s">
        <v>3970</v>
      </c>
      <c r="D75" s="34" t="s">
        <v>3667</v>
      </c>
      <c r="E75" s="34" t="s">
        <v>3971</v>
      </c>
      <c r="F75" s="34" t="s">
        <v>3972</v>
      </c>
      <c r="G75" s="34">
        <v>1</v>
      </c>
      <c r="H75" s="34" t="s">
        <v>3973</v>
      </c>
      <c r="I75"/>
      <c r="J75" s="34" t="s">
        <v>3714</v>
      </c>
      <c r="K75"/>
      <c r="L75" s="34" t="s">
        <v>3678</v>
      </c>
    </row>
    <row r="76" spans="1:12" ht="60" customHeight="1" x14ac:dyDescent="0.25">
      <c r="A76" s="34" t="s">
        <v>3974</v>
      </c>
      <c r="B76"/>
      <c r="C76" s="34" t="s">
        <v>3975</v>
      </c>
      <c r="D76" s="34" t="s">
        <v>3667</v>
      </c>
      <c r="E76" s="34" t="s">
        <v>3976</v>
      </c>
      <c r="F76" s="34" t="s">
        <v>3977</v>
      </c>
      <c r="G76" s="34">
        <v>1</v>
      </c>
      <c r="H76" s="34" t="s">
        <v>3978</v>
      </c>
      <c r="I76"/>
      <c r="J76" s="34" t="s">
        <v>3714</v>
      </c>
      <c r="K76"/>
      <c r="L76" s="34" t="s">
        <v>3678</v>
      </c>
    </row>
    <row r="77" spans="1:12" ht="60" customHeight="1" x14ac:dyDescent="0.25">
      <c r="A77" s="34" t="s">
        <v>3979</v>
      </c>
      <c r="B77"/>
      <c r="C77" s="34" t="s">
        <v>3911</v>
      </c>
      <c r="D77" s="34" t="s">
        <v>3667</v>
      </c>
      <c r="E77" s="34" t="s">
        <v>3912</v>
      </c>
      <c r="F77" s="34" t="s">
        <v>3913</v>
      </c>
      <c r="G77" s="34">
        <v>1</v>
      </c>
      <c r="H77" s="34" t="s">
        <v>3914</v>
      </c>
      <c r="I77"/>
      <c r="J77" s="34" t="s">
        <v>3915</v>
      </c>
      <c r="K77"/>
      <c r="L77" s="34" t="s">
        <v>3916</v>
      </c>
    </row>
    <row r="78" spans="1:12" ht="60" customHeight="1" x14ac:dyDescent="0.25">
      <c r="A78" s="34" t="s">
        <v>3980</v>
      </c>
      <c r="B78"/>
      <c r="C78" s="34" t="s">
        <v>3981</v>
      </c>
      <c r="D78"/>
      <c r="E78" s="34" t="s">
        <v>3982</v>
      </c>
      <c r="F78" s="34" t="s">
        <v>3983</v>
      </c>
      <c r="G78" s="34">
        <v>2</v>
      </c>
      <c r="H78" s="34" t="s">
        <v>3984</v>
      </c>
      <c r="I78"/>
      <c r="J78" s="34" t="s">
        <v>3831</v>
      </c>
      <c r="K78"/>
      <c r="L78" s="34" t="s">
        <v>3832</v>
      </c>
    </row>
    <row r="79" spans="1:12" ht="60" customHeight="1" x14ac:dyDescent="0.25">
      <c r="A79" s="34" t="s">
        <v>3985</v>
      </c>
      <c r="B79"/>
      <c r="C79" s="34" t="s">
        <v>3986</v>
      </c>
      <c r="D79"/>
      <c r="E79" s="34" t="s">
        <v>3987</v>
      </c>
      <c r="F79" s="34" t="s">
        <v>3988</v>
      </c>
      <c r="G79" s="34">
        <v>4</v>
      </c>
      <c r="H79" s="34" t="s">
        <v>3989</v>
      </c>
      <c r="I79"/>
      <c r="J79" s="34" t="s">
        <v>3831</v>
      </c>
      <c r="K79"/>
      <c r="L79" s="34" t="s">
        <v>3832</v>
      </c>
    </row>
    <row r="80" spans="1:12" ht="60" customHeight="1" x14ac:dyDescent="0.25">
      <c r="A80" s="34" t="s">
        <v>3990</v>
      </c>
      <c r="B80"/>
      <c r="C80" s="34" t="s">
        <v>3991</v>
      </c>
      <c r="D80"/>
      <c r="E80" s="34" t="s">
        <v>3992</v>
      </c>
      <c r="F80" s="34" t="s">
        <v>3993</v>
      </c>
      <c r="G80" s="34">
        <v>4</v>
      </c>
      <c r="H80" s="34" t="s">
        <v>3994</v>
      </c>
      <c r="I80"/>
      <c r="J80" s="34" t="s">
        <v>3831</v>
      </c>
      <c r="K80"/>
      <c r="L80" s="34" t="s">
        <v>3832</v>
      </c>
    </row>
    <row r="81" spans="1:12" ht="60" customHeight="1" x14ac:dyDescent="0.25">
      <c r="A81" s="34" t="s">
        <v>3995</v>
      </c>
      <c r="B81"/>
      <c r="C81" s="34" t="s">
        <v>3996</v>
      </c>
      <c r="D81" s="34" t="s">
        <v>3667</v>
      </c>
      <c r="E81" s="34" t="s">
        <v>3997</v>
      </c>
      <c r="F81" s="34" t="s">
        <v>3998</v>
      </c>
      <c r="G81" s="34">
        <v>2</v>
      </c>
      <c r="H81" s="34" t="s">
        <v>3999</v>
      </c>
      <c r="I81" s="34" t="s">
        <v>3942</v>
      </c>
      <c r="J81" s="34" t="s">
        <v>3536</v>
      </c>
      <c r="K81"/>
      <c r="L81" s="34" t="s">
        <v>4000</v>
      </c>
    </row>
    <row r="82" spans="1:12" ht="60" customHeight="1" x14ac:dyDescent="0.25">
      <c r="A82" s="34" t="s">
        <v>4001</v>
      </c>
      <c r="B82"/>
      <c r="C82" s="34" t="s">
        <v>4002</v>
      </c>
      <c r="D82" s="34" t="s">
        <v>3667</v>
      </c>
      <c r="E82" s="34" t="s">
        <v>4003</v>
      </c>
      <c r="F82" s="34" t="s">
        <v>4003</v>
      </c>
      <c r="G82" s="34">
        <v>1</v>
      </c>
      <c r="H82" s="34" t="s">
        <v>4004</v>
      </c>
      <c r="I82"/>
      <c r="J82" s="34" t="s">
        <v>3677</v>
      </c>
      <c r="K82"/>
      <c r="L82" s="34" t="s">
        <v>3678</v>
      </c>
    </row>
    <row r="83" spans="1:12" ht="60" customHeight="1" x14ac:dyDescent="0.25">
      <c r="A83" s="34" t="s">
        <v>165</v>
      </c>
      <c r="B83"/>
      <c r="C83" s="34" t="s">
        <v>4005</v>
      </c>
      <c r="D83" s="34" t="s">
        <v>3667</v>
      </c>
      <c r="E83" s="34" t="s">
        <v>4006</v>
      </c>
      <c r="F83" s="34" t="s">
        <v>4007</v>
      </c>
      <c r="G83" s="34">
        <v>1</v>
      </c>
      <c r="H83" s="34" t="s">
        <v>4008</v>
      </c>
      <c r="I83"/>
      <c r="J83" s="34" t="s">
        <v>3671</v>
      </c>
      <c r="K83"/>
      <c r="L83" s="34" t="s">
        <v>2</v>
      </c>
    </row>
    <row r="84" spans="1:12" ht="60" customHeight="1" x14ac:dyDescent="0.25">
      <c r="A84" s="34" t="s">
        <v>4009</v>
      </c>
      <c r="B84"/>
      <c r="C84" s="34" t="s">
        <v>4010</v>
      </c>
      <c r="D84" s="34" t="s">
        <v>3667</v>
      </c>
      <c r="E84" s="34" t="s">
        <v>4011</v>
      </c>
      <c r="F84" s="34" t="s">
        <v>4012</v>
      </c>
      <c r="G84" s="34">
        <v>1</v>
      </c>
      <c r="H84" s="34" t="s">
        <v>4013</v>
      </c>
      <c r="I84"/>
      <c r="J84" s="34" t="s">
        <v>3677</v>
      </c>
      <c r="K84" s="34">
        <v>12</v>
      </c>
      <c r="L84" s="34" t="s">
        <v>3678</v>
      </c>
    </row>
    <row r="85" spans="1:12" ht="60" customHeight="1" x14ac:dyDescent="0.25">
      <c r="A85" s="34" t="s">
        <v>4014</v>
      </c>
      <c r="B85"/>
      <c r="C85" s="34" t="s">
        <v>4015</v>
      </c>
      <c r="D85" s="34" t="s">
        <v>3667</v>
      </c>
      <c r="E85" s="34" t="s">
        <v>4016</v>
      </c>
      <c r="F85" s="34" t="s">
        <v>4016</v>
      </c>
      <c r="G85" s="34">
        <v>2</v>
      </c>
      <c r="H85" s="34" t="s">
        <v>4017</v>
      </c>
      <c r="I85"/>
      <c r="J85" s="34" t="s">
        <v>3677</v>
      </c>
      <c r="K85"/>
      <c r="L85" s="34" t="s">
        <v>3678</v>
      </c>
    </row>
    <row r="86" spans="1:12" ht="60" customHeight="1" x14ac:dyDescent="0.25">
      <c r="A86" s="34" t="s">
        <v>4018</v>
      </c>
      <c r="B86"/>
      <c r="C86" s="34" t="s">
        <v>4019</v>
      </c>
      <c r="D86" s="34" t="s">
        <v>3667</v>
      </c>
      <c r="E86" s="34" t="s">
        <v>4020</v>
      </c>
      <c r="F86" s="34" t="s">
        <v>4021</v>
      </c>
      <c r="G86" s="34">
        <v>1</v>
      </c>
      <c r="H86" s="34" t="s">
        <v>4022</v>
      </c>
      <c r="I86"/>
      <c r="J86" s="34" t="s">
        <v>3677</v>
      </c>
      <c r="K86" s="34">
        <v>10</v>
      </c>
      <c r="L86" s="34" t="s">
        <v>3678</v>
      </c>
    </row>
    <row r="87" spans="1:12" ht="60" customHeight="1" x14ac:dyDescent="0.25">
      <c r="A87" s="34" t="s">
        <v>4023</v>
      </c>
      <c r="B87"/>
      <c r="C87" s="34" t="s">
        <v>4024</v>
      </c>
      <c r="D87" s="34" t="s">
        <v>3667</v>
      </c>
      <c r="E87" s="34" t="s">
        <v>3718</v>
      </c>
      <c r="F87" s="34" t="s">
        <v>3719</v>
      </c>
      <c r="G87" s="34">
        <v>2</v>
      </c>
      <c r="H87" s="34" t="s">
        <v>4025</v>
      </c>
      <c r="I87"/>
      <c r="J87" s="34" t="s">
        <v>3677</v>
      </c>
      <c r="K87"/>
      <c r="L87" s="34" t="s">
        <v>3678</v>
      </c>
    </row>
    <row r="88" spans="1:12" ht="60" customHeight="1" x14ac:dyDescent="0.25">
      <c r="A88" s="34" t="s">
        <v>4026</v>
      </c>
      <c r="B88"/>
      <c r="C88" s="34" t="s">
        <v>4027</v>
      </c>
      <c r="D88" s="34" t="s">
        <v>3667</v>
      </c>
      <c r="E88" s="34" t="s">
        <v>4020</v>
      </c>
      <c r="F88" s="34" t="s">
        <v>4021</v>
      </c>
      <c r="G88" s="34">
        <v>1</v>
      </c>
      <c r="H88" s="34" t="s">
        <v>4022</v>
      </c>
      <c r="I88"/>
      <c r="J88" s="34" t="s">
        <v>3677</v>
      </c>
      <c r="K88" s="34">
        <v>10</v>
      </c>
      <c r="L88" s="34" t="s">
        <v>3678</v>
      </c>
    </row>
    <row r="89" spans="1:12" ht="60" customHeight="1" x14ac:dyDescent="0.25">
      <c r="A89" s="34" t="s">
        <v>4028</v>
      </c>
      <c r="B89"/>
      <c r="C89" s="34" t="s">
        <v>4029</v>
      </c>
      <c r="D89" s="34" t="s">
        <v>3667</v>
      </c>
      <c r="E89" s="34" t="s">
        <v>4030</v>
      </c>
      <c r="F89" s="34" t="s">
        <v>4031</v>
      </c>
      <c r="G89" s="34">
        <v>2</v>
      </c>
      <c r="H89" s="34" t="s">
        <v>4032</v>
      </c>
      <c r="I89"/>
      <c r="J89" s="34" t="s">
        <v>3677</v>
      </c>
      <c r="K89"/>
      <c r="L89" s="34" t="s">
        <v>3678</v>
      </c>
    </row>
    <row r="90" spans="1:12" ht="60" customHeight="1" x14ac:dyDescent="0.25">
      <c r="A90" s="34" t="s">
        <v>4033</v>
      </c>
      <c r="B90"/>
      <c r="C90" s="34" t="s">
        <v>4034</v>
      </c>
      <c r="D90" s="34" t="s">
        <v>3667</v>
      </c>
      <c r="E90" s="34" t="s">
        <v>4035</v>
      </c>
      <c r="F90" s="34" t="s">
        <v>4036</v>
      </c>
      <c r="G90" s="34">
        <v>1</v>
      </c>
      <c r="H90" s="34" t="s">
        <v>4037</v>
      </c>
      <c r="I90"/>
      <c r="J90" s="34" t="s">
        <v>3714</v>
      </c>
      <c r="K90"/>
      <c r="L90" s="34" t="s">
        <v>3678</v>
      </c>
    </row>
    <row r="91" spans="1:12" ht="60" customHeight="1" x14ac:dyDescent="0.25">
      <c r="A91" s="34" t="s">
        <v>4038</v>
      </c>
      <c r="B91"/>
      <c r="C91" s="34" t="s">
        <v>4039</v>
      </c>
      <c r="D91" s="34" t="s">
        <v>3667</v>
      </c>
      <c r="E91" s="34" t="s">
        <v>4040</v>
      </c>
      <c r="F91" s="34" t="s">
        <v>4041</v>
      </c>
      <c r="G91" s="34">
        <v>1</v>
      </c>
      <c r="H91" s="34" t="s">
        <v>4042</v>
      </c>
      <c r="I91"/>
      <c r="J91" s="34" t="s">
        <v>3677</v>
      </c>
      <c r="K91"/>
      <c r="L91" s="34" t="s">
        <v>3678</v>
      </c>
    </row>
    <row r="92" spans="1:12" ht="60" customHeight="1" x14ac:dyDescent="0.25">
      <c r="A92" s="34" t="s">
        <v>4043</v>
      </c>
      <c r="B92"/>
      <c r="C92" s="34" t="s">
        <v>4044</v>
      </c>
      <c r="D92" s="34" t="s">
        <v>151</v>
      </c>
      <c r="E92" s="34" t="s">
        <v>4045</v>
      </c>
      <c r="F92" s="34" t="s">
        <v>4046</v>
      </c>
      <c r="G92" s="34">
        <v>1</v>
      </c>
      <c r="H92" s="34" t="s">
        <v>4047</v>
      </c>
      <c r="I92"/>
      <c r="J92" s="34" t="s">
        <v>3714</v>
      </c>
      <c r="K92"/>
      <c r="L92" s="34" t="s">
        <v>3678</v>
      </c>
    </row>
    <row r="93" spans="1:12" s="99" customFormat="1" ht="60" customHeight="1" x14ac:dyDescent="0.25">
      <c r="A93" s="34" t="s">
        <v>4048</v>
      </c>
      <c r="B93"/>
      <c r="C93" s="34" t="s">
        <v>4049</v>
      </c>
      <c r="D93" s="34" t="s">
        <v>3667</v>
      </c>
      <c r="E93"/>
      <c r="F93"/>
      <c r="G93" s="34">
        <v>1</v>
      </c>
      <c r="H93" s="34" t="s">
        <v>4050</v>
      </c>
      <c r="I93"/>
      <c r="J93" s="34" t="s">
        <v>3677</v>
      </c>
      <c r="K93" s="34">
        <v>10</v>
      </c>
      <c r="L93" s="34" t="s">
        <v>3678</v>
      </c>
    </row>
    <row r="94" spans="1:12" ht="60" customHeight="1" x14ac:dyDescent="0.25">
      <c r="A94" s="34" t="s">
        <v>4051</v>
      </c>
      <c r="B94"/>
      <c r="C94" s="34" t="s">
        <v>4052</v>
      </c>
      <c r="D94" s="34" t="s">
        <v>3667</v>
      </c>
      <c r="E94" s="34" t="s">
        <v>4053</v>
      </c>
      <c r="F94" s="34" t="s">
        <v>4054</v>
      </c>
      <c r="G94" s="34">
        <v>2</v>
      </c>
      <c r="H94" s="34" t="s">
        <v>4055</v>
      </c>
      <c r="I94"/>
      <c r="J94" s="34" t="s">
        <v>3757</v>
      </c>
      <c r="K94"/>
      <c r="L94" s="34" t="s">
        <v>3678</v>
      </c>
    </row>
    <row r="95" spans="1:12" ht="60" customHeight="1" x14ac:dyDescent="0.25">
      <c r="A95" s="34" t="s">
        <v>169</v>
      </c>
      <c r="B95"/>
      <c r="C95" s="34" t="s">
        <v>4056</v>
      </c>
      <c r="D95" s="34" t="s">
        <v>3667</v>
      </c>
      <c r="E95" s="34" t="s">
        <v>4057</v>
      </c>
      <c r="F95" s="34" t="s">
        <v>4058</v>
      </c>
      <c r="G95" s="34">
        <v>1</v>
      </c>
      <c r="H95" s="34" t="s">
        <v>4059</v>
      </c>
      <c r="I95"/>
      <c r="J95" s="34" t="s">
        <v>3671</v>
      </c>
      <c r="K95"/>
      <c r="L95" s="34" t="s">
        <v>2</v>
      </c>
    </row>
    <row r="96" spans="1:12" ht="60" customHeight="1" x14ac:dyDescent="0.25">
      <c r="A96" s="34" t="s">
        <v>4060</v>
      </c>
      <c r="B96"/>
      <c r="C96" s="34" t="s">
        <v>4061</v>
      </c>
      <c r="D96" s="34" t="s">
        <v>3667</v>
      </c>
      <c r="E96" s="34" t="s">
        <v>4062</v>
      </c>
      <c r="F96" s="34" t="s">
        <v>4063</v>
      </c>
      <c r="G96" s="34">
        <v>1</v>
      </c>
      <c r="H96" s="34" t="s">
        <v>4064</v>
      </c>
      <c r="I96"/>
      <c r="J96" s="34" t="s">
        <v>3677</v>
      </c>
      <c r="K96" s="34">
        <v>12</v>
      </c>
      <c r="L96" s="34" t="s">
        <v>3678</v>
      </c>
    </row>
    <row r="97" spans="1:12" ht="60" customHeight="1" x14ac:dyDescent="0.25">
      <c r="A97" s="34" t="s">
        <v>4065</v>
      </c>
      <c r="B97"/>
      <c r="C97" s="34" t="s">
        <v>4066</v>
      </c>
      <c r="D97"/>
      <c r="E97" s="34" t="s">
        <v>4067</v>
      </c>
      <c r="F97" s="34" t="s">
        <v>4068</v>
      </c>
      <c r="G97" s="34">
        <v>6</v>
      </c>
      <c r="H97" s="34" t="s">
        <v>4069</v>
      </c>
      <c r="I97"/>
      <c r="J97" s="34" t="s">
        <v>3831</v>
      </c>
      <c r="K97"/>
      <c r="L97" s="34" t="s">
        <v>4070</v>
      </c>
    </row>
    <row r="98" spans="1:12" ht="60" customHeight="1" x14ac:dyDescent="0.25">
      <c r="A98" s="34" t="s">
        <v>4071</v>
      </c>
      <c r="B98"/>
      <c r="C98" s="34" t="s">
        <v>4015</v>
      </c>
      <c r="D98" s="34" t="s">
        <v>3667</v>
      </c>
      <c r="E98" s="34" t="s">
        <v>4016</v>
      </c>
      <c r="F98" s="34" t="s">
        <v>4016</v>
      </c>
      <c r="G98" s="34">
        <v>2</v>
      </c>
      <c r="H98" s="34" t="s">
        <v>4017</v>
      </c>
      <c r="I98"/>
      <c r="J98" s="34" t="s">
        <v>3677</v>
      </c>
      <c r="K98"/>
      <c r="L98" s="34" t="s">
        <v>3678</v>
      </c>
    </row>
    <row r="99" spans="1:12" ht="60" customHeight="1" x14ac:dyDescent="0.25">
      <c r="A99" s="34" t="s">
        <v>4072</v>
      </c>
      <c r="B99"/>
      <c r="C99" s="34" t="s">
        <v>4019</v>
      </c>
      <c r="D99" s="34" t="s">
        <v>3667</v>
      </c>
      <c r="E99" s="34" t="s">
        <v>4020</v>
      </c>
      <c r="F99" s="34" t="s">
        <v>4021</v>
      </c>
      <c r="G99" s="34">
        <v>1</v>
      </c>
      <c r="H99" s="34" t="s">
        <v>4022</v>
      </c>
      <c r="I99"/>
      <c r="J99" s="34" t="s">
        <v>3677</v>
      </c>
      <c r="K99" s="34">
        <v>10</v>
      </c>
      <c r="L99" s="34" t="s">
        <v>3678</v>
      </c>
    </row>
    <row r="100" spans="1:12" ht="60" customHeight="1" x14ac:dyDescent="0.25">
      <c r="A100" s="34" t="s">
        <v>4073</v>
      </c>
      <c r="B100"/>
      <c r="C100" s="34" t="s">
        <v>4074</v>
      </c>
      <c r="D100" s="34" t="s">
        <v>3667</v>
      </c>
      <c r="E100" s="34" t="s">
        <v>4075</v>
      </c>
      <c r="F100" s="34" t="s">
        <v>4076</v>
      </c>
      <c r="G100" s="34">
        <v>1</v>
      </c>
      <c r="H100" s="34" t="s">
        <v>4077</v>
      </c>
      <c r="I100"/>
      <c r="J100" s="34" t="s">
        <v>3677</v>
      </c>
      <c r="K100" s="34">
        <v>8</v>
      </c>
      <c r="L100" s="34" t="s">
        <v>3678</v>
      </c>
    </row>
    <row r="101" spans="1:12" ht="60" customHeight="1" x14ac:dyDescent="0.25">
      <c r="A101" s="34" t="s">
        <v>166</v>
      </c>
      <c r="B101"/>
      <c r="C101" s="34" t="s">
        <v>4078</v>
      </c>
      <c r="D101" s="34" t="s">
        <v>3667</v>
      </c>
      <c r="E101" s="34" t="s">
        <v>4079</v>
      </c>
      <c r="F101" s="34" t="s">
        <v>4080</v>
      </c>
      <c r="G101" s="34">
        <v>1</v>
      </c>
      <c r="H101" s="34" t="s">
        <v>4081</v>
      </c>
      <c r="I101"/>
      <c r="J101" s="34" t="s">
        <v>3671</v>
      </c>
      <c r="K101"/>
      <c r="L101" s="34" t="s">
        <v>2</v>
      </c>
    </row>
    <row r="102" spans="1:12" ht="60" customHeight="1" x14ac:dyDescent="0.25">
      <c r="A102" s="34" t="s">
        <v>4082</v>
      </c>
      <c r="B102"/>
      <c r="C102" s="34" t="s">
        <v>4083</v>
      </c>
      <c r="D102" s="34" t="s">
        <v>3667</v>
      </c>
      <c r="E102" s="34" t="s">
        <v>4084</v>
      </c>
      <c r="F102" s="34" t="s">
        <v>4085</v>
      </c>
      <c r="G102" s="34">
        <v>2</v>
      </c>
      <c r="H102" s="34" t="s">
        <v>4086</v>
      </c>
      <c r="I102"/>
      <c r="J102" s="34" t="s">
        <v>3757</v>
      </c>
      <c r="K102"/>
      <c r="L102" s="34" t="s">
        <v>3758</v>
      </c>
    </row>
    <row r="103" spans="1:12" ht="60" customHeight="1" x14ac:dyDescent="0.25">
      <c r="A103" s="34" t="s">
        <v>4087</v>
      </c>
      <c r="B103"/>
      <c r="C103" s="34" t="s">
        <v>4088</v>
      </c>
      <c r="D103" s="34" t="s">
        <v>3667</v>
      </c>
      <c r="E103" s="34" t="s">
        <v>4089</v>
      </c>
      <c r="F103" s="34" t="s">
        <v>4090</v>
      </c>
      <c r="G103" s="34">
        <v>2</v>
      </c>
      <c r="H103" s="34" t="s">
        <v>4091</v>
      </c>
      <c r="I103"/>
      <c r="J103" s="34" t="s">
        <v>3757</v>
      </c>
      <c r="K103"/>
      <c r="L103" s="34" t="s">
        <v>3758</v>
      </c>
    </row>
    <row r="104" spans="1:12" ht="60" customHeight="1" x14ac:dyDescent="0.25">
      <c r="A104" s="34" t="s">
        <v>4092</v>
      </c>
      <c r="B104"/>
      <c r="C104" s="34" t="s">
        <v>4093</v>
      </c>
      <c r="D104" s="34" t="s">
        <v>3667</v>
      </c>
      <c r="E104" s="34" t="s">
        <v>4094</v>
      </c>
      <c r="F104" s="34" t="s">
        <v>4095</v>
      </c>
      <c r="G104" s="34">
        <v>3</v>
      </c>
      <c r="H104" s="34" t="s">
        <v>4096</v>
      </c>
      <c r="I104"/>
      <c r="J104" s="34" t="s">
        <v>3757</v>
      </c>
      <c r="K104"/>
      <c r="L104" s="34" t="s">
        <v>3758</v>
      </c>
    </row>
    <row r="105" spans="1:12" ht="60" customHeight="1" x14ac:dyDescent="0.25">
      <c r="A105" s="34" t="s">
        <v>4097</v>
      </c>
      <c r="B105"/>
      <c r="C105" s="34" t="s">
        <v>4098</v>
      </c>
      <c r="D105" s="34" t="s">
        <v>3667</v>
      </c>
      <c r="E105" s="34" t="s">
        <v>4099</v>
      </c>
      <c r="F105" s="34" t="s">
        <v>4100</v>
      </c>
      <c r="G105" s="34">
        <v>2</v>
      </c>
      <c r="H105" s="34" t="s">
        <v>4101</v>
      </c>
      <c r="I105"/>
      <c r="J105" s="34" t="s">
        <v>3677</v>
      </c>
      <c r="K105" s="34">
        <v>15</v>
      </c>
      <c r="L105" s="34" t="s">
        <v>3758</v>
      </c>
    </row>
    <row r="106" spans="1:12" ht="60" customHeight="1" x14ac:dyDescent="0.25">
      <c r="A106" s="34" t="s">
        <v>4102</v>
      </c>
      <c r="B106"/>
      <c r="C106" s="34" t="s">
        <v>4103</v>
      </c>
      <c r="D106" s="34" t="s">
        <v>3667</v>
      </c>
      <c r="E106" s="34" t="s">
        <v>4104</v>
      </c>
      <c r="F106" s="34" t="s">
        <v>4105</v>
      </c>
      <c r="G106" s="34">
        <v>6</v>
      </c>
      <c r="H106" s="34" t="s">
        <v>4106</v>
      </c>
      <c r="I106"/>
      <c r="J106" s="34" t="s">
        <v>3677</v>
      </c>
      <c r="K106"/>
      <c r="L106" s="34" t="s">
        <v>3758</v>
      </c>
    </row>
    <row r="107" spans="1:12" ht="60" customHeight="1" x14ac:dyDescent="0.25">
      <c r="A107" s="34" t="s">
        <v>4107</v>
      </c>
      <c r="B107"/>
      <c r="C107" s="34" t="s">
        <v>4108</v>
      </c>
      <c r="D107" s="34" t="s">
        <v>3667</v>
      </c>
      <c r="E107" s="34" t="s">
        <v>4109</v>
      </c>
      <c r="F107" s="34" t="s">
        <v>4110</v>
      </c>
      <c r="G107" s="34">
        <v>8</v>
      </c>
      <c r="H107" s="34" t="s">
        <v>4111</v>
      </c>
      <c r="I107"/>
      <c r="J107" s="34" t="s">
        <v>3757</v>
      </c>
      <c r="K107"/>
      <c r="L107" s="34" t="s">
        <v>3678</v>
      </c>
    </row>
    <row r="108" spans="1:12" ht="60" customHeight="1" x14ac:dyDescent="0.25">
      <c r="A108" s="34" t="s">
        <v>4112</v>
      </c>
      <c r="B108"/>
      <c r="C108" s="34" t="s">
        <v>4113</v>
      </c>
      <c r="D108" s="34" t="s">
        <v>3667</v>
      </c>
      <c r="E108" s="34" t="s">
        <v>4114</v>
      </c>
      <c r="F108" s="34" t="s">
        <v>4115</v>
      </c>
      <c r="G108" s="34">
        <v>1</v>
      </c>
      <c r="H108" s="34" t="s">
        <v>4116</v>
      </c>
      <c r="I108"/>
      <c r="J108" s="34" t="s">
        <v>3677</v>
      </c>
      <c r="K108" s="34">
        <v>15</v>
      </c>
      <c r="L108" s="34" t="s">
        <v>3758</v>
      </c>
    </row>
    <row r="109" spans="1:12" ht="60" customHeight="1" x14ac:dyDescent="0.25">
      <c r="A109" s="34" t="s">
        <v>4117</v>
      </c>
      <c r="B109"/>
      <c r="C109" s="34" t="s">
        <v>4118</v>
      </c>
      <c r="D109"/>
      <c r="E109" s="34" t="s">
        <v>4119</v>
      </c>
      <c r="F109" s="34" t="s">
        <v>4120</v>
      </c>
      <c r="G109" s="34">
        <v>1</v>
      </c>
      <c r="H109" s="34" t="s">
        <v>4121</v>
      </c>
      <c r="I109"/>
      <c r="J109" s="34" t="s">
        <v>3831</v>
      </c>
      <c r="K109"/>
      <c r="L109" s="34" t="s">
        <v>3832</v>
      </c>
    </row>
    <row r="110" spans="1:12" ht="60" customHeight="1" x14ac:dyDescent="0.25">
      <c r="A110" s="34" t="s">
        <v>167</v>
      </c>
      <c r="B110"/>
      <c r="C110" s="34" t="s">
        <v>4122</v>
      </c>
      <c r="D110" s="34" t="s">
        <v>3667</v>
      </c>
      <c r="E110" s="34" t="s">
        <v>4123</v>
      </c>
      <c r="F110" s="34" t="s">
        <v>4124</v>
      </c>
      <c r="G110" s="34">
        <v>1</v>
      </c>
      <c r="H110" s="34" t="s">
        <v>4125</v>
      </c>
      <c r="I110"/>
      <c r="J110" s="34" t="s">
        <v>3671</v>
      </c>
      <c r="K110"/>
      <c r="L110" s="34" t="s">
        <v>2</v>
      </c>
    </row>
    <row r="111" spans="1:12" ht="60" customHeight="1" x14ac:dyDescent="0.25">
      <c r="A111" s="34" t="s">
        <v>4126</v>
      </c>
      <c r="B111"/>
      <c r="C111" s="34" t="s">
        <v>4127</v>
      </c>
      <c r="D111" s="34" t="s">
        <v>3667</v>
      </c>
      <c r="E111" s="34" t="s">
        <v>4128</v>
      </c>
      <c r="F111" s="34" t="s">
        <v>4129</v>
      </c>
      <c r="G111" s="34">
        <v>1</v>
      </c>
      <c r="H111" s="34" t="s">
        <v>4130</v>
      </c>
      <c r="I111"/>
      <c r="J111" s="34" t="s">
        <v>3757</v>
      </c>
      <c r="K111"/>
      <c r="L111" s="34" t="s">
        <v>3758</v>
      </c>
    </row>
    <row r="112" spans="1:12" ht="60" customHeight="1" x14ac:dyDescent="0.25">
      <c r="A112" s="34" t="s">
        <v>4131</v>
      </c>
      <c r="B112"/>
      <c r="C112" s="34" t="s">
        <v>4132</v>
      </c>
      <c r="D112" s="34" t="s">
        <v>3667</v>
      </c>
      <c r="E112" s="34" t="s">
        <v>4133</v>
      </c>
      <c r="F112" s="34" t="s">
        <v>4134</v>
      </c>
      <c r="G112" s="34">
        <v>2</v>
      </c>
      <c r="H112" s="34" t="s">
        <v>4135</v>
      </c>
      <c r="I112"/>
      <c r="J112" s="34" t="s">
        <v>3677</v>
      </c>
      <c r="K112" s="34">
        <v>12</v>
      </c>
      <c r="L112" s="34" t="s">
        <v>3678</v>
      </c>
    </row>
    <row r="113" spans="1:12" ht="60" customHeight="1" x14ac:dyDescent="0.25">
      <c r="A113" s="34" t="s">
        <v>4136</v>
      </c>
      <c r="B113"/>
      <c r="C113" s="34" t="s">
        <v>4137</v>
      </c>
      <c r="D113" s="34" t="s">
        <v>3667</v>
      </c>
      <c r="E113" s="34" t="s">
        <v>4138</v>
      </c>
      <c r="F113" s="34" t="s">
        <v>4139</v>
      </c>
      <c r="G113" s="34">
        <v>1</v>
      </c>
      <c r="H113" s="34" t="s">
        <v>4140</v>
      </c>
      <c r="I113"/>
      <c r="J113" s="34" t="s">
        <v>3677</v>
      </c>
      <c r="K113" s="34">
        <v>15</v>
      </c>
      <c r="L113" s="34" t="s">
        <v>3678</v>
      </c>
    </row>
    <row r="114" spans="1:12" ht="60" customHeight="1" x14ac:dyDescent="0.25">
      <c r="A114" s="34" t="s">
        <v>4141</v>
      </c>
      <c r="B114"/>
      <c r="C114" s="34" t="s">
        <v>4142</v>
      </c>
      <c r="D114"/>
      <c r="E114" s="34" t="s">
        <v>4143</v>
      </c>
      <c r="F114" s="34" t="s">
        <v>4144</v>
      </c>
      <c r="G114" s="34">
        <v>2</v>
      </c>
      <c r="H114" s="34" t="s">
        <v>4145</v>
      </c>
      <c r="I114"/>
      <c r="J114" s="34" t="s">
        <v>3831</v>
      </c>
      <c r="K114"/>
      <c r="L114" s="34" t="s">
        <v>4070</v>
      </c>
    </row>
    <row r="115" spans="1:12" ht="60" customHeight="1" x14ac:dyDescent="0.25">
      <c r="A115" s="34" t="s">
        <v>4146</v>
      </c>
      <c r="B115"/>
      <c r="C115" s="34" t="s">
        <v>4147</v>
      </c>
      <c r="D115" s="34" t="s">
        <v>3667</v>
      </c>
      <c r="E115" s="34" t="s">
        <v>4148</v>
      </c>
      <c r="F115" s="34" t="s">
        <v>4149</v>
      </c>
      <c r="G115" s="34">
        <v>1</v>
      </c>
      <c r="H115" s="34" t="s">
        <v>4150</v>
      </c>
      <c r="I115"/>
      <c r="J115" s="34" t="s">
        <v>3714</v>
      </c>
      <c r="K115"/>
      <c r="L115" s="34" t="s">
        <v>3715</v>
      </c>
    </row>
    <row r="116" spans="1:12" ht="60" customHeight="1" x14ac:dyDescent="0.25">
      <c r="A116" s="34" t="s">
        <v>4151</v>
      </c>
      <c r="B116"/>
      <c r="C116" s="34" t="s">
        <v>4152</v>
      </c>
      <c r="D116" s="34" t="s">
        <v>3667</v>
      </c>
      <c r="E116" s="34" t="s">
        <v>4153</v>
      </c>
      <c r="F116" s="34" t="s">
        <v>4154</v>
      </c>
      <c r="G116" s="34">
        <v>3</v>
      </c>
      <c r="H116" s="34" t="s">
        <v>4155</v>
      </c>
      <c r="I116"/>
      <c r="J116" s="34" t="s">
        <v>3677</v>
      </c>
      <c r="K116" s="34">
        <v>3</v>
      </c>
      <c r="L116" s="34" t="s">
        <v>3678</v>
      </c>
    </row>
    <row r="117" spans="1:12" ht="60" customHeight="1" x14ac:dyDescent="0.25">
      <c r="A117" s="34" t="s">
        <v>4156</v>
      </c>
      <c r="B117"/>
      <c r="C117" s="34" t="s">
        <v>4157</v>
      </c>
      <c r="D117" s="34" t="s">
        <v>151</v>
      </c>
      <c r="E117" s="34" t="s">
        <v>4158</v>
      </c>
      <c r="F117" s="34" t="s">
        <v>4159</v>
      </c>
      <c r="G117" s="34">
        <v>1</v>
      </c>
      <c r="H117" s="34" t="s">
        <v>4160</v>
      </c>
      <c r="I117"/>
      <c r="J117" s="34" t="s">
        <v>3785</v>
      </c>
      <c r="K117"/>
      <c r="L117"/>
    </row>
    <row r="118" spans="1:12" ht="60" customHeight="1" x14ac:dyDescent="0.25">
      <c r="A118" s="34" t="s">
        <v>4161</v>
      </c>
      <c r="B118"/>
      <c r="C118" s="34" t="s">
        <v>4162</v>
      </c>
      <c r="D118" s="34" t="s">
        <v>151</v>
      </c>
      <c r="E118" s="34" t="s">
        <v>4163</v>
      </c>
      <c r="F118" s="34" t="s">
        <v>4164</v>
      </c>
      <c r="G118" s="34">
        <v>1</v>
      </c>
      <c r="H118" s="34" t="s">
        <v>4165</v>
      </c>
      <c r="I118"/>
      <c r="J118" s="34" t="s">
        <v>3677</v>
      </c>
      <c r="K118" s="34">
        <v>3</v>
      </c>
      <c r="L118" s="34" t="s">
        <v>3678</v>
      </c>
    </row>
    <row r="119" spans="1:12" ht="60" customHeight="1" x14ac:dyDescent="0.25">
      <c r="A119" s="34" t="s">
        <v>4166</v>
      </c>
      <c r="B119"/>
      <c r="C119" s="34" t="s">
        <v>155</v>
      </c>
      <c r="D119"/>
      <c r="E119" s="34" t="s">
        <v>156</v>
      </c>
      <c r="F119" s="34" t="s">
        <v>157</v>
      </c>
      <c r="G119" s="34">
        <v>2</v>
      </c>
      <c r="H119" s="34" t="s">
        <v>3830</v>
      </c>
      <c r="I119"/>
      <c r="J119" s="34" t="s">
        <v>3831</v>
      </c>
      <c r="K119"/>
      <c r="L119" s="34" t="s">
        <v>3832</v>
      </c>
    </row>
    <row r="120" spans="1:12" ht="60" customHeight="1" x14ac:dyDescent="0.25">
      <c r="A120" s="34" t="s">
        <v>4167</v>
      </c>
      <c r="B120"/>
      <c r="C120" s="34" t="s">
        <v>4168</v>
      </c>
      <c r="D120"/>
      <c r="E120" s="34" t="s">
        <v>4169</v>
      </c>
      <c r="F120" s="34" t="s">
        <v>4170</v>
      </c>
      <c r="G120" s="34">
        <v>2</v>
      </c>
      <c r="H120" s="34" t="s">
        <v>4171</v>
      </c>
      <c r="I120"/>
      <c r="J120" s="34" t="s">
        <v>3831</v>
      </c>
      <c r="K120"/>
      <c r="L120" s="34" t="s">
        <v>3832</v>
      </c>
    </row>
    <row r="121" spans="1:12" ht="60" customHeight="1" x14ac:dyDescent="0.25">
      <c r="A121" s="34" t="s">
        <v>4172</v>
      </c>
      <c r="B121"/>
      <c r="C121" s="34" t="s">
        <v>4173</v>
      </c>
      <c r="D121"/>
      <c r="E121" s="34" t="s">
        <v>4174</v>
      </c>
      <c r="F121" s="34" t="s">
        <v>4175</v>
      </c>
      <c r="G121" s="34">
        <v>2</v>
      </c>
      <c r="H121" s="34" t="s">
        <v>4176</v>
      </c>
      <c r="I121"/>
      <c r="J121" s="34" t="s">
        <v>3831</v>
      </c>
      <c r="K121"/>
      <c r="L121" s="34" t="s">
        <v>3832</v>
      </c>
    </row>
    <row r="122" spans="1:12" ht="60" customHeight="1" x14ac:dyDescent="0.25">
      <c r="A122" s="34" t="s">
        <v>4177</v>
      </c>
      <c r="B122"/>
      <c r="C122" s="34" t="s">
        <v>4178</v>
      </c>
      <c r="D122" s="34" t="s">
        <v>3667</v>
      </c>
      <c r="E122" s="34" t="s">
        <v>4179</v>
      </c>
      <c r="F122" s="34" t="s">
        <v>4180</v>
      </c>
      <c r="G122" s="34">
        <v>1</v>
      </c>
      <c r="H122" s="34" t="s">
        <v>4181</v>
      </c>
      <c r="I122"/>
      <c r="J122" s="34" t="s">
        <v>3785</v>
      </c>
      <c r="K122"/>
      <c r="L122"/>
    </row>
    <row r="123" spans="1:12" ht="60" customHeight="1" x14ac:dyDescent="0.25">
      <c r="A123" s="34" t="s">
        <v>4182</v>
      </c>
      <c r="B123"/>
      <c r="C123" s="34" t="s">
        <v>4183</v>
      </c>
      <c r="D123" s="34" t="s">
        <v>3667</v>
      </c>
      <c r="E123" s="34" t="s">
        <v>4184</v>
      </c>
      <c r="F123" s="34" t="s">
        <v>4185</v>
      </c>
      <c r="G123" s="34">
        <v>1</v>
      </c>
      <c r="H123" s="34" t="s">
        <v>4186</v>
      </c>
      <c r="I123"/>
      <c r="J123" s="34" t="s">
        <v>3671</v>
      </c>
      <c r="K123"/>
      <c r="L123" s="34" t="s">
        <v>2</v>
      </c>
    </row>
    <row r="124" spans="1:12" ht="60" customHeight="1" x14ac:dyDescent="0.25">
      <c r="A124" s="34" t="s">
        <v>4187</v>
      </c>
      <c r="B124"/>
      <c r="C124" s="34" t="s">
        <v>4188</v>
      </c>
      <c r="D124" s="34" t="s">
        <v>3667</v>
      </c>
      <c r="E124" s="34" t="s">
        <v>4189</v>
      </c>
      <c r="F124" s="34" t="s">
        <v>4190</v>
      </c>
      <c r="G124" s="34">
        <v>1</v>
      </c>
      <c r="H124" s="34" t="s">
        <v>4191</v>
      </c>
      <c r="I124"/>
      <c r="J124" s="34" t="s">
        <v>3677</v>
      </c>
      <c r="K124"/>
      <c r="L124" s="34" t="s">
        <v>3678</v>
      </c>
    </row>
    <row r="125" spans="1:12" ht="60" customHeight="1" x14ac:dyDescent="0.25">
      <c r="A125" s="34" t="s">
        <v>4192</v>
      </c>
      <c r="B125"/>
      <c r="C125" s="34" t="s">
        <v>4193</v>
      </c>
      <c r="D125" s="34" t="s">
        <v>3667</v>
      </c>
      <c r="E125" s="34" t="s">
        <v>4194</v>
      </c>
      <c r="F125" s="34" t="s">
        <v>4195</v>
      </c>
      <c r="G125" s="34">
        <v>2</v>
      </c>
      <c r="H125" s="34" t="s">
        <v>4196</v>
      </c>
      <c r="I125"/>
      <c r="J125" s="34" t="s">
        <v>3677</v>
      </c>
      <c r="K125" s="34">
        <v>5</v>
      </c>
      <c r="L125" s="34" t="s">
        <v>3678</v>
      </c>
    </row>
    <row r="126" spans="1:12" ht="60" customHeight="1" x14ac:dyDescent="0.25">
      <c r="A126" s="34" t="s">
        <v>4197</v>
      </c>
      <c r="B126"/>
      <c r="C126" s="34" t="s">
        <v>4198</v>
      </c>
      <c r="D126"/>
      <c r="E126" s="34" t="s">
        <v>4199</v>
      </c>
      <c r="F126" s="34" t="s">
        <v>4200</v>
      </c>
      <c r="G126" s="34">
        <v>2</v>
      </c>
      <c r="H126" s="34" t="s">
        <v>4201</v>
      </c>
      <c r="I126"/>
      <c r="J126" s="34" t="s">
        <v>3831</v>
      </c>
      <c r="K126"/>
      <c r="L126" s="34" t="s">
        <v>4070</v>
      </c>
    </row>
    <row r="127" spans="1:12" ht="60" customHeight="1" x14ac:dyDescent="0.25">
      <c r="A127" s="34" t="s">
        <v>4202</v>
      </c>
      <c r="B127"/>
      <c r="C127" s="34" t="s">
        <v>4203</v>
      </c>
      <c r="D127"/>
      <c r="E127" s="34" t="s">
        <v>4204</v>
      </c>
      <c r="F127" s="34" t="s">
        <v>4205</v>
      </c>
      <c r="G127" s="34">
        <v>4</v>
      </c>
      <c r="H127" s="34" t="s">
        <v>3994</v>
      </c>
      <c r="I127"/>
      <c r="J127" s="34" t="s">
        <v>3831</v>
      </c>
      <c r="K127"/>
      <c r="L127" s="34" t="s">
        <v>3832</v>
      </c>
    </row>
    <row r="128" spans="1:12" ht="60" customHeight="1" x14ac:dyDescent="0.25">
      <c r="A128" s="34" t="s">
        <v>4206</v>
      </c>
      <c r="B128"/>
      <c r="C128" s="34" t="s">
        <v>3991</v>
      </c>
      <c r="D128"/>
      <c r="E128" s="34" t="s">
        <v>3992</v>
      </c>
      <c r="F128" s="34" t="s">
        <v>3993</v>
      </c>
      <c r="G128" s="34">
        <v>4</v>
      </c>
      <c r="H128" s="34" t="s">
        <v>3994</v>
      </c>
      <c r="I128"/>
      <c r="J128" s="34" t="s">
        <v>3831</v>
      </c>
      <c r="K128"/>
      <c r="L128" s="34" t="s">
        <v>3832</v>
      </c>
    </row>
    <row r="129" spans="1:12" ht="60" customHeight="1" x14ac:dyDescent="0.25">
      <c r="A129" s="34" t="s">
        <v>4207</v>
      </c>
      <c r="B129"/>
      <c r="C129" s="34" t="s">
        <v>4208</v>
      </c>
      <c r="D129"/>
      <c r="E129" s="34" t="s">
        <v>4209</v>
      </c>
      <c r="F129" s="34" t="s">
        <v>4210</v>
      </c>
      <c r="G129" s="34">
        <v>4</v>
      </c>
      <c r="H129" s="34" t="s">
        <v>4211</v>
      </c>
      <c r="I129"/>
      <c r="J129" s="34" t="s">
        <v>3831</v>
      </c>
      <c r="K129"/>
      <c r="L129" s="34" t="s">
        <v>3832</v>
      </c>
    </row>
    <row r="130" spans="1:12" ht="60" customHeight="1" x14ac:dyDescent="0.25">
      <c r="A130" s="34" t="s">
        <v>4212</v>
      </c>
      <c r="B130"/>
      <c r="C130" s="34" t="s">
        <v>4213</v>
      </c>
      <c r="D130" s="34" t="s">
        <v>3667</v>
      </c>
      <c r="E130" s="34" t="s">
        <v>4214</v>
      </c>
      <c r="F130" s="34" t="s">
        <v>4215</v>
      </c>
      <c r="G130" s="34">
        <v>1</v>
      </c>
      <c r="H130" s="34" t="s">
        <v>4216</v>
      </c>
      <c r="I130"/>
      <c r="J130" s="34" t="s">
        <v>3677</v>
      </c>
      <c r="K130" s="34">
        <v>2</v>
      </c>
      <c r="L130" s="34" t="s">
        <v>3678</v>
      </c>
    </row>
    <row r="131" spans="1:12" ht="60" customHeight="1" x14ac:dyDescent="0.25">
      <c r="A131" s="34" t="s">
        <v>4217</v>
      </c>
      <c r="B131"/>
      <c r="C131" s="34" t="s">
        <v>4218</v>
      </c>
      <c r="D131"/>
      <c r="E131" s="34" t="s">
        <v>4219</v>
      </c>
      <c r="F131" s="34" t="s">
        <v>4220</v>
      </c>
      <c r="G131" s="34">
        <v>3</v>
      </c>
      <c r="H131" s="34" t="s">
        <v>3914</v>
      </c>
      <c r="I131"/>
      <c r="J131" s="34" t="s">
        <v>3831</v>
      </c>
      <c r="K131"/>
      <c r="L131" s="34" t="s">
        <v>3832</v>
      </c>
    </row>
    <row r="132" spans="1:12" ht="60" customHeight="1" x14ac:dyDescent="0.25">
      <c r="A132" s="34" t="s">
        <v>4221</v>
      </c>
      <c r="B132"/>
      <c r="C132" s="34" t="s">
        <v>4222</v>
      </c>
      <c r="D132"/>
      <c r="E132" s="34" t="s">
        <v>4223</v>
      </c>
      <c r="F132" s="34" t="s">
        <v>4224</v>
      </c>
      <c r="G132" s="34">
        <v>3</v>
      </c>
      <c r="H132" s="34" t="s">
        <v>3994</v>
      </c>
      <c r="I132"/>
      <c r="J132" s="34" t="s">
        <v>3831</v>
      </c>
      <c r="K132"/>
      <c r="L132" s="34" t="s">
        <v>3832</v>
      </c>
    </row>
    <row r="133" spans="1:12" ht="60" customHeight="1" x14ac:dyDescent="0.25">
      <c r="A133" s="34" t="s">
        <v>4225</v>
      </c>
      <c r="B133"/>
      <c r="C133" s="34" t="s">
        <v>4226</v>
      </c>
      <c r="D133" s="34" t="s">
        <v>3667</v>
      </c>
      <c r="E133" s="34" t="s">
        <v>4227</v>
      </c>
      <c r="F133" s="34" t="s">
        <v>4228</v>
      </c>
      <c r="G133" s="34">
        <v>1</v>
      </c>
      <c r="H133" s="34" t="s">
        <v>4229</v>
      </c>
      <c r="I133"/>
      <c r="J133" s="34" t="s">
        <v>3714</v>
      </c>
      <c r="K133"/>
      <c r="L133" s="34" t="s">
        <v>3678</v>
      </c>
    </row>
    <row r="134" spans="1:12" ht="60" customHeight="1" x14ac:dyDescent="0.25">
      <c r="A134" s="34" t="s">
        <v>4230</v>
      </c>
      <c r="B134"/>
      <c r="C134" s="34" t="s">
        <v>4231</v>
      </c>
      <c r="D134" s="34" t="s">
        <v>163</v>
      </c>
      <c r="E134" s="34" t="s">
        <v>4232</v>
      </c>
      <c r="F134" s="34" t="s">
        <v>4233</v>
      </c>
      <c r="G134" s="34">
        <v>1</v>
      </c>
      <c r="H134" s="34" t="s">
        <v>4234</v>
      </c>
      <c r="I134"/>
      <c r="J134" s="34" t="s">
        <v>3677</v>
      </c>
      <c r="K134"/>
      <c r="L134" s="34" t="s">
        <v>4235</v>
      </c>
    </row>
    <row r="135" spans="1:12" ht="60" customHeight="1" x14ac:dyDescent="0.25">
      <c r="A135" s="34" t="s">
        <v>4236</v>
      </c>
      <c r="B135"/>
      <c r="C135" s="34" t="s">
        <v>4237</v>
      </c>
      <c r="D135" s="34" t="s">
        <v>3667</v>
      </c>
      <c r="E135" s="34" t="s">
        <v>4238</v>
      </c>
      <c r="F135" s="34" t="s">
        <v>4239</v>
      </c>
      <c r="G135" s="34">
        <v>1</v>
      </c>
      <c r="H135" s="34" t="s">
        <v>4240</v>
      </c>
      <c r="I135"/>
      <c r="J135" s="34" t="s">
        <v>3671</v>
      </c>
      <c r="K135"/>
      <c r="L135" s="34" t="s">
        <v>3678</v>
      </c>
    </row>
    <row r="136" spans="1:12" ht="60" customHeight="1" x14ac:dyDescent="0.25">
      <c r="A136" s="34" t="s">
        <v>4241</v>
      </c>
      <c r="B136"/>
      <c r="C136" s="34" t="s">
        <v>4242</v>
      </c>
      <c r="D136"/>
      <c r="E136"/>
      <c r="F136" s="34" t="s">
        <v>4243</v>
      </c>
      <c r="G136" s="34">
        <v>1</v>
      </c>
      <c r="H136" s="34" t="s">
        <v>3936</v>
      </c>
      <c r="I136"/>
      <c r="J136" s="34" t="s">
        <v>3831</v>
      </c>
      <c r="K136"/>
      <c r="L136" s="34" t="s">
        <v>4244</v>
      </c>
    </row>
    <row r="137" spans="1:12" s="99" customFormat="1" ht="60" customHeight="1" x14ac:dyDescent="0.25">
      <c r="A137" s="34" t="s">
        <v>4245</v>
      </c>
      <c r="B137"/>
      <c r="C137" s="34" t="s">
        <v>4246</v>
      </c>
      <c r="D137" s="34" t="s">
        <v>151</v>
      </c>
      <c r="E137" s="34" t="s">
        <v>4247</v>
      </c>
      <c r="F137" s="34" t="s">
        <v>4248</v>
      </c>
      <c r="G137" s="34">
        <v>1</v>
      </c>
      <c r="H137" s="34" t="s">
        <v>4249</v>
      </c>
      <c r="I137"/>
      <c r="J137" s="34" t="s">
        <v>3757</v>
      </c>
      <c r="K137"/>
      <c r="L137" s="34" t="s">
        <v>3678</v>
      </c>
    </row>
    <row r="138" spans="1:12" s="99" customFormat="1" ht="60" customHeight="1" x14ac:dyDescent="0.25">
      <c r="A138" s="34" t="s">
        <v>4250</v>
      </c>
      <c r="B138"/>
      <c r="C138" s="34" t="s">
        <v>4251</v>
      </c>
      <c r="D138" s="34" t="s">
        <v>3667</v>
      </c>
      <c r="E138" s="34" t="s">
        <v>4252</v>
      </c>
      <c r="F138" s="34" t="s">
        <v>4253</v>
      </c>
      <c r="G138" s="34">
        <v>1</v>
      </c>
      <c r="H138" s="34" t="s">
        <v>4254</v>
      </c>
      <c r="I138"/>
      <c r="J138" s="34" t="s">
        <v>3677</v>
      </c>
      <c r="K138"/>
      <c r="L138" s="34" t="s">
        <v>4255</v>
      </c>
    </row>
    <row r="139" spans="1:12" s="99" customFormat="1" ht="60" customHeight="1" x14ac:dyDescent="0.25">
      <c r="A139" s="34" t="s">
        <v>4256</v>
      </c>
      <c r="B139"/>
      <c r="C139" s="34" t="s">
        <v>4257</v>
      </c>
      <c r="D139" s="34" t="s">
        <v>3667</v>
      </c>
      <c r="E139" s="34" t="s">
        <v>4258</v>
      </c>
      <c r="F139" s="34" t="s">
        <v>4259</v>
      </c>
      <c r="G139" s="34">
        <v>1</v>
      </c>
      <c r="H139" s="34" t="s">
        <v>3978</v>
      </c>
      <c r="I139"/>
      <c r="J139" s="34" t="s">
        <v>3757</v>
      </c>
      <c r="K139"/>
      <c r="L139" s="34" t="s">
        <v>3678</v>
      </c>
    </row>
    <row r="140" spans="1:12" s="99" customFormat="1" ht="60" customHeight="1" x14ac:dyDescent="0.25">
      <c r="A140" s="34" t="s">
        <v>4260</v>
      </c>
      <c r="B140"/>
      <c r="C140" s="34" t="s">
        <v>4261</v>
      </c>
      <c r="D140" s="34" t="s">
        <v>3667</v>
      </c>
      <c r="E140" s="34" t="s">
        <v>4262</v>
      </c>
      <c r="F140" s="34" t="s">
        <v>4263</v>
      </c>
      <c r="G140" s="34">
        <v>1</v>
      </c>
      <c r="H140" s="34" t="s">
        <v>4264</v>
      </c>
      <c r="I140"/>
      <c r="J140" s="34" t="s">
        <v>3671</v>
      </c>
      <c r="K140"/>
      <c r="L140" s="34" t="s">
        <v>2</v>
      </c>
    </row>
    <row r="141" spans="1:12" ht="60" customHeight="1" x14ac:dyDescent="0.25">
      <c r="A141" s="34" t="s">
        <v>4265</v>
      </c>
      <c r="B141"/>
      <c r="C141" s="34" t="s">
        <v>4266</v>
      </c>
      <c r="D141" s="34" t="s">
        <v>3667</v>
      </c>
      <c r="E141" s="34" t="s">
        <v>4262</v>
      </c>
      <c r="F141" s="34" t="s">
        <v>4267</v>
      </c>
      <c r="G141" s="34">
        <v>1</v>
      </c>
      <c r="H141" s="34" t="s">
        <v>4268</v>
      </c>
      <c r="I141"/>
      <c r="J141" s="34" t="s">
        <v>3677</v>
      </c>
      <c r="K141" s="34">
        <v>10</v>
      </c>
      <c r="L141" s="34" t="s">
        <v>3678</v>
      </c>
    </row>
    <row r="142" spans="1:12" ht="60" customHeight="1" x14ac:dyDescent="0.25">
      <c r="A142" s="34" t="s">
        <v>4269</v>
      </c>
      <c r="B142"/>
      <c r="C142" s="34" t="s">
        <v>4270</v>
      </c>
      <c r="D142" s="34" t="s">
        <v>3667</v>
      </c>
      <c r="E142" s="34" t="s">
        <v>4271</v>
      </c>
      <c r="F142" s="34" t="s">
        <v>4272</v>
      </c>
      <c r="G142" s="34">
        <v>1</v>
      </c>
      <c r="H142" s="34" t="s">
        <v>4273</v>
      </c>
      <c r="I142"/>
      <c r="J142" s="34" t="s">
        <v>3757</v>
      </c>
      <c r="K142"/>
      <c r="L142" s="34" t="s">
        <v>3678</v>
      </c>
    </row>
    <row r="143" spans="1:12" ht="60" customHeight="1" x14ac:dyDescent="0.25">
      <c r="A143" s="34" t="s">
        <v>4274</v>
      </c>
      <c r="B143"/>
      <c r="C143" s="34" t="s">
        <v>4275</v>
      </c>
      <c r="D143"/>
      <c r="E143" s="34" t="s">
        <v>4276</v>
      </c>
      <c r="F143" s="34" t="s">
        <v>4277</v>
      </c>
      <c r="G143" s="34">
        <v>1</v>
      </c>
      <c r="H143" s="34" t="s">
        <v>3936</v>
      </c>
      <c r="I143"/>
      <c r="J143" s="34" t="s">
        <v>3831</v>
      </c>
      <c r="K143"/>
      <c r="L143" s="34" t="s">
        <v>4278</v>
      </c>
    </row>
    <row r="144" spans="1:12" ht="60" customHeight="1" x14ac:dyDescent="0.25">
      <c r="A144" s="34" t="s">
        <v>4279</v>
      </c>
      <c r="B144"/>
      <c r="C144" s="34" t="s">
        <v>4280</v>
      </c>
      <c r="D144" s="34" t="s">
        <v>3667</v>
      </c>
      <c r="E144" s="34" t="s">
        <v>4281</v>
      </c>
      <c r="F144" s="34" t="s">
        <v>4282</v>
      </c>
      <c r="G144" s="34">
        <v>1</v>
      </c>
      <c r="H144" s="34" t="s">
        <v>4283</v>
      </c>
      <c r="I144"/>
      <c r="J144" s="34" t="s">
        <v>3677</v>
      </c>
      <c r="K144" s="34">
        <v>10</v>
      </c>
      <c r="L144" s="34" t="s">
        <v>3678</v>
      </c>
    </row>
    <row r="145" spans="1:12" ht="60" customHeight="1" x14ac:dyDescent="0.25">
      <c r="A145" s="34" t="s">
        <v>4284</v>
      </c>
      <c r="B145"/>
      <c r="C145" s="34" t="s">
        <v>4285</v>
      </c>
      <c r="D145" s="34" t="s">
        <v>3667</v>
      </c>
      <c r="E145" s="34" t="s">
        <v>4286</v>
      </c>
      <c r="F145" s="34" t="s">
        <v>4287</v>
      </c>
      <c r="G145" s="34">
        <v>1</v>
      </c>
      <c r="H145" s="34" t="s">
        <v>4288</v>
      </c>
      <c r="I145"/>
      <c r="J145" s="34" t="s">
        <v>3785</v>
      </c>
      <c r="K145"/>
      <c r="L145"/>
    </row>
    <row r="146" spans="1:12" ht="60" customHeight="1" x14ac:dyDescent="0.25">
      <c r="A146" s="34" t="s">
        <v>4289</v>
      </c>
      <c r="B146"/>
      <c r="C146" s="34" t="s">
        <v>4290</v>
      </c>
      <c r="D146" s="34" t="s">
        <v>3667</v>
      </c>
      <c r="E146" s="34" t="s">
        <v>4291</v>
      </c>
      <c r="F146" s="34" t="s">
        <v>4292</v>
      </c>
      <c r="G146" s="34">
        <v>1</v>
      </c>
      <c r="H146" s="34" t="s">
        <v>4293</v>
      </c>
      <c r="I146"/>
      <c r="J146" s="34" t="s">
        <v>3714</v>
      </c>
      <c r="K146"/>
      <c r="L146" s="34" t="s">
        <v>3678</v>
      </c>
    </row>
    <row r="147" spans="1:12" ht="60" customHeight="1" x14ac:dyDescent="0.25">
      <c r="A147" s="34" t="s">
        <v>4294</v>
      </c>
      <c r="B147"/>
      <c r="C147" s="34" t="s">
        <v>3886</v>
      </c>
      <c r="D147"/>
      <c r="E147" s="34" t="s">
        <v>3887</v>
      </c>
      <c r="F147" s="34" t="s">
        <v>3888</v>
      </c>
      <c r="G147" s="34">
        <v>4</v>
      </c>
      <c r="H147" s="34" t="s">
        <v>3889</v>
      </c>
      <c r="I147"/>
      <c r="J147" s="34" t="s">
        <v>3831</v>
      </c>
      <c r="K147"/>
      <c r="L147" s="34" t="s">
        <v>3832</v>
      </c>
    </row>
    <row r="148" spans="1:12" ht="60" customHeight="1" x14ac:dyDescent="0.25">
      <c r="A148" s="34" t="s">
        <v>4295</v>
      </c>
      <c r="B148"/>
      <c r="C148" s="34" t="s">
        <v>4168</v>
      </c>
      <c r="D148"/>
      <c r="E148" s="34" t="s">
        <v>4169</v>
      </c>
      <c r="F148" s="34" t="s">
        <v>4170</v>
      </c>
      <c r="G148" s="34">
        <v>6</v>
      </c>
      <c r="H148" s="34" t="s">
        <v>4171</v>
      </c>
      <c r="I148"/>
      <c r="J148" s="34" t="s">
        <v>3831</v>
      </c>
      <c r="K148"/>
      <c r="L148" s="34" t="s">
        <v>3832</v>
      </c>
    </row>
    <row r="149" spans="1:12" ht="60" customHeight="1" x14ac:dyDescent="0.25">
      <c r="A149" s="34" t="s">
        <v>4296</v>
      </c>
      <c r="B149"/>
      <c r="C149" s="34" t="s">
        <v>3881</v>
      </c>
      <c r="D149"/>
      <c r="E149" s="34" t="s">
        <v>3882</v>
      </c>
      <c r="F149" s="34" t="s">
        <v>3883</v>
      </c>
      <c r="G149" s="34">
        <v>6</v>
      </c>
      <c r="H149" s="34" t="s">
        <v>3884</v>
      </c>
      <c r="I149"/>
      <c r="J149" s="34" t="s">
        <v>3831</v>
      </c>
      <c r="K149"/>
      <c r="L149" s="34" t="s">
        <v>3832</v>
      </c>
    </row>
    <row r="150" spans="1:12" ht="60" customHeight="1" x14ac:dyDescent="0.25">
      <c r="A150" s="34" t="s">
        <v>4297</v>
      </c>
      <c r="B150"/>
      <c r="C150" s="34" t="s">
        <v>4298</v>
      </c>
      <c r="D150" s="34" t="s">
        <v>3667</v>
      </c>
      <c r="E150" s="34" t="s">
        <v>4299</v>
      </c>
      <c r="F150" s="34" t="s">
        <v>4300</v>
      </c>
      <c r="G150" s="34">
        <v>1</v>
      </c>
      <c r="H150" s="34" t="s">
        <v>4301</v>
      </c>
      <c r="I150"/>
      <c r="J150" s="34" t="s">
        <v>3677</v>
      </c>
      <c r="K150" s="34">
        <v>3</v>
      </c>
      <c r="L150" s="34" t="s">
        <v>3678</v>
      </c>
    </row>
    <row r="151" spans="1:12" ht="60" customHeight="1" x14ac:dyDescent="0.25">
      <c r="A151" s="34" t="s">
        <v>168</v>
      </c>
      <c r="B151"/>
      <c r="C151" s="34" t="s">
        <v>4302</v>
      </c>
      <c r="D151" s="34" t="s">
        <v>3667</v>
      </c>
      <c r="E151" s="34" t="s">
        <v>4303</v>
      </c>
      <c r="F151" s="34" t="s">
        <v>4304</v>
      </c>
      <c r="G151" s="34">
        <v>1</v>
      </c>
      <c r="H151" s="34" t="s">
        <v>4305</v>
      </c>
      <c r="I151"/>
      <c r="J151" s="34" t="s">
        <v>3785</v>
      </c>
      <c r="K151"/>
      <c r="L151"/>
    </row>
    <row r="152" spans="1:12" ht="60" customHeight="1" x14ac:dyDescent="0.25">
      <c r="A152" s="34" t="s">
        <v>4306</v>
      </c>
      <c r="B152"/>
      <c r="C152" s="34" t="s">
        <v>155</v>
      </c>
      <c r="D152"/>
      <c r="E152" s="34" t="s">
        <v>156</v>
      </c>
      <c r="F152" s="34" t="s">
        <v>157</v>
      </c>
      <c r="G152" s="34">
        <v>4</v>
      </c>
      <c r="H152" s="34" t="s">
        <v>3830</v>
      </c>
      <c r="I152"/>
      <c r="J152" s="34" t="s">
        <v>3831</v>
      </c>
      <c r="K152"/>
      <c r="L152" s="34" t="s">
        <v>3832</v>
      </c>
    </row>
    <row r="153" spans="1:12" ht="60" customHeight="1" x14ac:dyDescent="0.25">
      <c r="A153" s="34" t="s">
        <v>4307</v>
      </c>
      <c r="B153"/>
      <c r="C153" s="34" t="s">
        <v>3886</v>
      </c>
      <c r="D153"/>
      <c r="E153" s="34" t="s">
        <v>3887</v>
      </c>
      <c r="F153" s="34" t="s">
        <v>3888</v>
      </c>
      <c r="G153" s="34">
        <v>4</v>
      </c>
      <c r="H153" s="34" t="s">
        <v>3889</v>
      </c>
      <c r="I153"/>
      <c r="J153" s="34" t="s">
        <v>3831</v>
      </c>
      <c r="K153"/>
      <c r="L153" s="34" t="s">
        <v>3832</v>
      </c>
    </row>
    <row r="154" spans="1:12" ht="60" customHeight="1" x14ac:dyDescent="0.25">
      <c r="A154" s="34" t="s">
        <v>4308</v>
      </c>
      <c r="B154"/>
      <c r="C154" s="34" t="s">
        <v>4309</v>
      </c>
      <c r="D154"/>
      <c r="E154" s="34" t="s">
        <v>4310</v>
      </c>
      <c r="F154" s="34" t="s">
        <v>4311</v>
      </c>
      <c r="G154" s="34">
        <v>4</v>
      </c>
      <c r="H154" s="34" t="s">
        <v>3999</v>
      </c>
      <c r="I154"/>
      <c r="J154" s="34" t="s">
        <v>3831</v>
      </c>
      <c r="K154"/>
      <c r="L154" s="34" t="s">
        <v>3832</v>
      </c>
    </row>
    <row r="155" spans="1:12" ht="60" customHeight="1" x14ac:dyDescent="0.25">
      <c r="A155" s="34" t="s">
        <v>4312</v>
      </c>
      <c r="B155"/>
      <c r="C155" s="34" t="s">
        <v>4313</v>
      </c>
      <c r="D155"/>
      <c r="E155" s="34" t="s">
        <v>4314</v>
      </c>
      <c r="F155" s="34" t="s">
        <v>4315</v>
      </c>
      <c r="G155" s="34">
        <v>4</v>
      </c>
      <c r="H155" s="34" t="s">
        <v>4316</v>
      </c>
      <c r="I155"/>
      <c r="J155" s="34" t="s">
        <v>3831</v>
      </c>
      <c r="K155"/>
      <c r="L155" s="34" t="s">
        <v>3832</v>
      </c>
    </row>
    <row r="156" spans="1:12" ht="60" customHeight="1" x14ac:dyDescent="0.25">
      <c r="A156" s="34" t="s">
        <v>4317</v>
      </c>
      <c r="B156"/>
      <c r="C156" s="34" t="s">
        <v>4318</v>
      </c>
      <c r="D156" s="34" t="s">
        <v>3667</v>
      </c>
      <c r="E156" s="34" t="s">
        <v>4319</v>
      </c>
      <c r="F156" s="34" t="s">
        <v>4320</v>
      </c>
      <c r="G156" s="34">
        <v>1</v>
      </c>
      <c r="H156" s="34" t="s">
        <v>4321</v>
      </c>
      <c r="I156" s="34" t="s">
        <v>3942</v>
      </c>
      <c r="J156" s="34" t="s">
        <v>3536</v>
      </c>
      <c r="K156"/>
      <c r="L156" s="34" t="s">
        <v>4322</v>
      </c>
    </row>
    <row r="157" spans="1:12" ht="60" customHeight="1" x14ac:dyDescent="0.25">
      <c r="A157" s="34" t="s">
        <v>4323</v>
      </c>
      <c r="B157"/>
      <c r="C157" s="34" t="s">
        <v>4324</v>
      </c>
      <c r="D157" s="34" t="s">
        <v>3667</v>
      </c>
      <c r="E157" s="34" t="s">
        <v>4325</v>
      </c>
      <c r="F157" s="34" t="s">
        <v>4326</v>
      </c>
      <c r="G157" s="34">
        <v>1</v>
      </c>
      <c r="H157" s="34" t="s">
        <v>4327</v>
      </c>
      <c r="I157" s="34" t="s">
        <v>3942</v>
      </c>
      <c r="J157" s="34" t="s">
        <v>3536</v>
      </c>
      <c r="K157"/>
      <c r="L157" s="34" t="s">
        <v>4322</v>
      </c>
    </row>
    <row r="158" spans="1:12" ht="60" customHeight="1" x14ac:dyDescent="0.25">
      <c r="A158" s="34" t="s">
        <v>4328</v>
      </c>
      <c r="B158"/>
      <c r="C158" s="34" t="s">
        <v>4329</v>
      </c>
      <c r="D158" s="34" t="s">
        <v>3667</v>
      </c>
      <c r="E158" s="34" t="s">
        <v>4330</v>
      </c>
      <c r="F158" s="34" t="s">
        <v>4331</v>
      </c>
      <c r="G158" s="34">
        <v>1</v>
      </c>
      <c r="H158" s="34" t="s">
        <v>4332</v>
      </c>
      <c r="I158"/>
      <c r="J158" s="34" t="s">
        <v>3536</v>
      </c>
      <c r="K158"/>
      <c r="L158" s="34" t="s">
        <v>4322</v>
      </c>
    </row>
    <row r="159" spans="1:12" ht="60" customHeight="1" x14ac:dyDescent="0.25">
      <c r="A159" s="34" t="s">
        <v>170</v>
      </c>
      <c r="B159"/>
      <c r="C159" s="34" t="s">
        <v>4333</v>
      </c>
      <c r="D159" s="34" t="s">
        <v>3667</v>
      </c>
      <c r="E159" s="34" t="s">
        <v>4334</v>
      </c>
      <c r="F159" s="34" t="s">
        <v>4335</v>
      </c>
      <c r="G159" s="34">
        <v>4</v>
      </c>
      <c r="H159" s="34" t="s">
        <v>4336</v>
      </c>
      <c r="I159"/>
      <c r="J159" s="34" t="s">
        <v>3677</v>
      </c>
      <c r="K159" s="34">
        <v>30</v>
      </c>
      <c r="L159" s="34" t="s">
        <v>3678</v>
      </c>
    </row>
    <row r="160" spans="1:12" ht="60" customHeight="1" x14ac:dyDescent="0.25">
      <c r="A160" s="34" t="s">
        <v>171</v>
      </c>
      <c r="B160"/>
      <c r="C160" s="34" t="s">
        <v>4337</v>
      </c>
      <c r="D160" s="34" t="s">
        <v>3667</v>
      </c>
      <c r="E160" s="34" t="s">
        <v>4338</v>
      </c>
      <c r="F160" s="34" t="s">
        <v>4338</v>
      </c>
      <c r="G160" s="34">
        <v>1</v>
      </c>
      <c r="H160" s="34" t="s">
        <v>4339</v>
      </c>
      <c r="I160"/>
      <c r="J160" s="34" t="s">
        <v>3677</v>
      </c>
      <c r="K160" s="34">
        <v>4</v>
      </c>
      <c r="L160" s="34" t="s">
        <v>3678</v>
      </c>
    </row>
    <row r="161" spans="1:12" ht="60" customHeight="1" x14ac:dyDescent="0.25">
      <c r="A161" s="34" t="s">
        <v>4340</v>
      </c>
      <c r="B161"/>
      <c r="C161" s="34" t="s">
        <v>4341</v>
      </c>
      <c r="D161" s="34" t="s">
        <v>151</v>
      </c>
      <c r="E161" s="34" t="s">
        <v>4342</v>
      </c>
      <c r="F161" s="34" t="s">
        <v>4343</v>
      </c>
      <c r="G161" s="34">
        <v>1</v>
      </c>
      <c r="H161" s="34" t="s">
        <v>4344</v>
      </c>
      <c r="I161"/>
      <c r="J161" s="34" t="s">
        <v>3536</v>
      </c>
      <c r="K161"/>
      <c r="L161"/>
    </row>
    <row r="162" spans="1:12" ht="60" customHeight="1" x14ac:dyDescent="0.25">
      <c r="A162" s="34" t="s">
        <v>4345</v>
      </c>
      <c r="B162"/>
      <c r="C162" s="34" t="s">
        <v>4346</v>
      </c>
      <c r="D162" s="34" t="s">
        <v>3667</v>
      </c>
      <c r="E162" s="34" t="s">
        <v>4347</v>
      </c>
      <c r="F162" s="34" t="s">
        <v>4348</v>
      </c>
      <c r="G162" s="34">
        <v>1</v>
      </c>
      <c r="H162" s="34" t="s">
        <v>4349</v>
      </c>
      <c r="I162"/>
      <c r="J162" s="34" t="s">
        <v>3536</v>
      </c>
      <c r="K162"/>
      <c r="L162"/>
    </row>
    <row r="163" spans="1:12" ht="60" customHeight="1" x14ac:dyDescent="0.25">
      <c r="A163" s="34" t="s">
        <v>4350</v>
      </c>
      <c r="B163"/>
      <c r="C163" s="34" t="s">
        <v>4351</v>
      </c>
      <c r="D163" s="34" t="s">
        <v>3667</v>
      </c>
      <c r="E163" s="34" t="s">
        <v>4352</v>
      </c>
      <c r="F163" s="34" t="s">
        <v>4353</v>
      </c>
      <c r="G163" s="34">
        <v>1</v>
      </c>
      <c r="H163" s="34" t="s">
        <v>4354</v>
      </c>
      <c r="I163"/>
      <c r="J163" s="34" t="s">
        <v>3536</v>
      </c>
      <c r="K163"/>
      <c r="L163" s="34" t="s">
        <v>4355</v>
      </c>
    </row>
    <row r="164" spans="1:12" ht="60" customHeight="1" x14ac:dyDescent="0.25">
      <c r="A164" s="34" t="s">
        <v>4356</v>
      </c>
      <c r="B164"/>
      <c r="C164" s="34" t="s">
        <v>4357</v>
      </c>
      <c r="D164" s="34" t="s">
        <v>3667</v>
      </c>
      <c r="E164" s="34" t="s">
        <v>4358</v>
      </c>
      <c r="F164" s="34" t="s">
        <v>4359</v>
      </c>
      <c r="G164" s="34">
        <v>1</v>
      </c>
      <c r="H164" s="34" t="s">
        <v>4360</v>
      </c>
      <c r="I164" s="34" t="s">
        <v>3942</v>
      </c>
      <c r="J164" s="34" t="s">
        <v>3536</v>
      </c>
      <c r="K164"/>
      <c r="L164" s="34" t="s">
        <v>3949</v>
      </c>
    </row>
    <row r="165" spans="1:12" ht="60" customHeight="1" x14ac:dyDescent="0.25">
      <c r="A165" s="34" t="s">
        <v>4361</v>
      </c>
      <c r="B165"/>
      <c r="C165" s="34" t="s">
        <v>4362</v>
      </c>
      <c r="D165" s="34" t="s">
        <v>3667</v>
      </c>
      <c r="E165" s="34" t="s">
        <v>4363</v>
      </c>
      <c r="F165" s="34" t="s">
        <v>4364</v>
      </c>
      <c r="G165" s="34">
        <v>1</v>
      </c>
      <c r="H165" s="34" t="s">
        <v>4365</v>
      </c>
      <c r="I165" s="34" t="s">
        <v>3942</v>
      </c>
      <c r="J165" s="34" t="s">
        <v>3536</v>
      </c>
      <c r="K165"/>
      <c r="L165" s="34" t="s">
        <v>4322</v>
      </c>
    </row>
    <row r="166" spans="1:12" ht="60" customHeight="1" x14ac:dyDescent="0.25">
      <c r="A166" s="34" t="s">
        <v>4366</v>
      </c>
      <c r="B166"/>
      <c r="C166" s="34" t="s">
        <v>4367</v>
      </c>
      <c r="D166" s="34" t="s">
        <v>3667</v>
      </c>
      <c r="E166" s="34" t="s">
        <v>4368</v>
      </c>
      <c r="F166" s="34" t="s">
        <v>4369</v>
      </c>
      <c r="G166" s="34">
        <v>2</v>
      </c>
      <c r="H166" s="34" t="s">
        <v>4370</v>
      </c>
      <c r="I166"/>
      <c r="J166" s="34" t="s">
        <v>3536</v>
      </c>
      <c r="K166"/>
      <c r="L166" s="34" t="s">
        <v>3943</v>
      </c>
    </row>
    <row r="167" spans="1:12" ht="60" customHeight="1" x14ac:dyDescent="0.25">
      <c r="A167" s="34" t="s">
        <v>4371</v>
      </c>
      <c r="B167"/>
      <c r="C167" s="34" t="s">
        <v>4372</v>
      </c>
      <c r="D167" s="34" t="s">
        <v>151</v>
      </c>
      <c r="E167" s="34" t="s">
        <v>4373</v>
      </c>
      <c r="F167" s="34" t="s">
        <v>4374</v>
      </c>
      <c r="G167" s="34">
        <v>2</v>
      </c>
      <c r="H167" s="34" t="s">
        <v>4375</v>
      </c>
      <c r="I167" s="34" t="s">
        <v>3942</v>
      </c>
      <c r="J167" s="34" t="s">
        <v>3536</v>
      </c>
      <c r="K167"/>
      <c r="L167" s="34" t="s">
        <v>4355</v>
      </c>
    </row>
    <row r="168" spans="1:12" ht="60" customHeight="1" x14ac:dyDescent="0.25">
      <c r="A168" s="34" t="s">
        <v>4376</v>
      </c>
      <c r="B168"/>
      <c r="C168" s="34" t="s">
        <v>4377</v>
      </c>
      <c r="D168" s="34" t="s">
        <v>3667</v>
      </c>
      <c r="E168" s="34" t="s">
        <v>4378</v>
      </c>
      <c r="F168" s="34" t="s">
        <v>4379</v>
      </c>
      <c r="G168" s="34">
        <v>2</v>
      </c>
      <c r="H168" s="34" t="s">
        <v>4380</v>
      </c>
      <c r="I168" s="34" t="s">
        <v>3942</v>
      </c>
      <c r="J168" s="34" t="s">
        <v>3536</v>
      </c>
      <c r="K168"/>
      <c r="L168" s="34" t="s">
        <v>4355</v>
      </c>
    </row>
    <row r="169" spans="1:12" ht="60" customHeight="1" x14ac:dyDescent="0.25">
      <c r="A169" s="34" t="s">
        <v>4381</v>
      </c>
      <c r="B169"/>
      <c r="C169" s="34" t="s">
        <v>4382</v>
      </c>
      <c r="D169"/>
      <c r="E169" s="34" t="s">
        <v>4383</v>
      </c>
      <c r="F169" s="34" t="s">
        <v>4384</v>
      </c>
      <c r="G169" s="34">
        <v>2</v>
      </c>
      <c r="H169" s="34" t="s">
        <v>4385</v>
      </c>
      <c r="I169"/>
      <c r="J169" s="34" t="s">
        <v>3831</v>
      </c>
      <c r="K169"/>
      <c r="L169" s="34" t="s">
        <v>3832</v>
      </c>
    </row>
    <row r="170" spans="1:12" ht="60" customHeight="1" x14ac:dyDescent="0.25">
      <c r="A170" s="34" t="s">
        <v>4386</v>
      </c>
      <c r="B170"/>
      <c r="C170" s="34" t="s">
        <v>4387</v>
      </c>
      <c r="D170"/>
      <c r="E170" s="34" t="s">
        <v>4388</v>
      </c>
      <c r="F170" s="34" t="s">
        <v>4389</v>
      </c>
      <c r="G170" s="34">
        <v>3</v>
      </c>
      <c r="H170" s="34" t="s">
        <v>3989</v>
      </c>
      <c r="I170"/>
      <c r="J170" s="34" t="s">
        <v>3831</v>
      </c>
      <c r="K170"/>
      <c r="L170" s="34" t="s">
        <v>3832</v>
      </c>
    </row>
    <row r="171" spans="1:12" ht="60" customHeight="1" x14ac:dyDescent="0.25">
      <c r="A171" s="34" t="s">
        <v>4390</v>
      </c>
      <c r="B171"/>
      <c r="C171" s="34" t="s">
        <v>4391</v>
      </c>
      <c r="D171"/>
      <c r="E171" s="34" t="s">
        <v>4392</v>
      </c>
      <c r="F171" s="34" t="s">
        <v>4393</v>
      </c>
      <c r="G171" s="34">
        <v>4</v>
      </c>
      <c r="H171" s="34" t="s">
        <v>4145</v>
      </c>
      <c r="I171"/>
      <c r="J171" s="34" t="s">
        <v>3831</v>
      </c>
      <c r="K171"/>
      <c r="L171" s="34" t="s">
        <v>3832</v>
      </c>
    </row>
    <row r="172" spans="1:12" ht="60" customHeight="1" x14ac:dyDescent="0.25">
      <c r="A172" s="34" t="s">
        <v>4394</v>
      </c>
      <c r="B172"/>
      <c r="C172" s="34" t="s">
        <v>4395</v>
      </c>
      <c r="D172"/>
      <c r="E172" s="34" t="s">
        <v>4396</v>
      </c>
      <c r="F172" s="34" t="s">
        <v>4397</v>
      </c>
      <c r="G172" s="34">
        <v>2</v>
      </c>
      <c r="H172" s="34" t="s">
        <v>4398</v>
      </c>
      <c r="I172"/>
      <c r="J172" s="34" t="s">
        <v>3831</v>
      </c>
      <c r="K172"/>
      <c r="L172" s="34" t="s">
        <v>3832</v>
      </c>
    </row>
    <row r="173" spans="1:12" ht="60" customHeight="1" x14ac:dyDescent="0.25">
      <c r="A173" s="34" t="s">
        <v>4399</v>
      </c>
      <c r="B173"/>
      <c r="C173" s="34" t="s">
        <v>4400</v>
      </c>
      <c r="D173"/>
      <c r="E173" s="34" t="s">
        <v>4169</v>
      </c>
      <c r="F173" s="34" t="s">
        <v>4170</v>
      </c>
      <c r="G173" s="34">
        <v>2</v>
      </c>
      <c r="H173" s="34" t="s">
        <v>4401</v>
      </c>
      <c r="I173"/>
      <c r="J173" s="34" t="s">
        <v>3831</v>
      </c>
      <c r="K173"/>
      <c r="L173" s="34" t="s">
        <v>3832</v>
      </c>
    </row>
    <row r="174" spans="1:12" ht="60" customHeight="1" x14ac:dyDescent="0.25">
      <c r="A174" s="34" t="s">
        <v>4402</v>
      </c>
      <c r="B174"/>
      <c r="C174" s="34" t="s">
        <v>4403</v>
      </c>
      <c r="D174"/>
      <c r="E174" s="34" t="s">
        <v>4404</v>
      </c>
      <c r="F174" s="34" t="s">
        <v>4405</v>
      </c>
      <c r="G174" s="34">
        <v>2</v>
      </c>
      <c r="H174" s="34" t="s">
        <v>4406</v>
      </c>
      <c r="I174"/>
      <c r="J174" s="34" t="s">
        <v>3831</v>
      </c>
      <c r="K174"/>
      <c r="L174" s="34" t="s">
        <v>3832</v>
      </c>
    </row>
    <row r="175" spans="1:12" ht="60" customHeight="1" x14ac:dyDescent="0.25">
      <c r="A175" s="34" t="s">
        <v>4407</v>
      </c>
      <c r="B175"/>
      <c r="C175" s="34" t="s">
        <v>4173</v>
      </c>
      <c r="D175"/>
      <c r="E175" s="34" t="s">
        <v>4174</v>
      </c>
      <c r="F175" s="34" t="s">
        <v>4175</v>
      </c>
      <c r="G175" s="34">
        <v>10</v>
      </c>
      <c r="H175" s="34" t="s">
        <v>4176</v>
      </c>
      <c r="I175"/>
      <c r="J175" s="34" t="s">
        <v>3831</v>
      </c>
      <c r="K175"/>
      <c r="L175" s="34" t="s">
        <v>3832</v>
      </c>
    </row>
    <row r="176" spans="1:12" ht="60" customHeight="1" x14ac:dyDescent="0.25">
      <c r="A176" s="34" t="s">
        <v>4408</v>
      </c>
      <c r="B176"/>
      <c r="C176" s="34" t="s">
        <v>4409</v>
      </c>
      <c r="D176"/>
      <c r="E176" s="34" t="s">
        <v>4410</v>
      </c>
      <c r="F176" s="34" t="s">
        <v>4411</v>
      </c>
      <c r="G176" s="34">
        <v>20</v>
      </c>
      <c r="H176" s="34" t="s">
        <v>4301</v>
      </c>
      <c r="I176"/>
      <c r="J176" s="34" t="s">
        <v>3831</v>
      </c>
      <c r="K176"/>
      <c r="L176" s="34" t="s">
        <v>3832</v>
      </c>
    </row>
    <row r="177" spans="1:12" ht="60" customHeight="1" x14ac:dyDescent="0.25">
      <c r="A177" s="34" t="s">
        <v>4412</v>
      </c>
      <c r="B177"/>
      <c r="C177" s="34" t="s">
        <v>4413</v>
      </c>
      <c r="D177"/>
      <c r="E177" s="34" t="s">
        <v>4414</v>
      </c>
      <c r="F177" s="34" t="s">
        <v>4415</v>
      </c>
      <c r="G177" s="34">
        <v>27</v>
      </c>
      <c r="H177" s="34" t="s">
        <v>4416</v>
      </c>
      <c r="I177"/>
      <c r="J177" s="34" t="s">
        <v>3831</v>
      </c>
      <c r="K177"/>
      <c r="L177" s="34" t="s">
        <v>3832</v>
      </c>
    </row>
    <row r="178" spans="1:12" ht="60" customHeight="1" x14ac:dyDescent="0.25">
      <c r="A178" s="34" t="s">
        <v>4417</v>
      </c>
      <c r="B178"/>
      <c r="C178" s="34" t="s">
        <v>4168</v>
      </c>
      <c r="D178"/>
      <c r="E178" s="34" t="s">
        <v>4169</v>
      </c>
      <c r="F178" s="34" t="s">
        <v>4170</v>
      </c>
      <c r="G178" s="34">
        <v>57</v>
      </c>
      <c r="H178" s="34" t="s">
        <v>4171</v>
      </c>
      <c r="I178"/>
      <c r="J178" s="34" t="s">
        <v>3831</v>
      </c>
      <c r="K178"/>
      <c r="L178" s="34" t="s">
        <v>3832</v>
      </c>
    </row>
    <row r="179" spans="1:12" ht="60" customHeight="1" x14ac:dyDescent="0.25">
      <c r="A179" s="34" t="s">
        <v>4418</v>
      </c>
      <c r="B179"/>
      <c r="C179" s="34" t="s">
        <v>155</v>
      </c>
      <c r="D179"/>
      <c r="E179" s="34" t="s">
        <v>156</v>
      </c>
      <c r="F179" s="34" t="s">
        <v>157</v>
      </c>
      <c r="G179" s="34">
        <v>104</v>
      </c>
      <c r="H179" s="34" t="s">
        <v>3830</v>
      </c>
      <c r="I179"/>
      <c r="J179" s="34" t="s">
        <v>3831</v>
      </c>
      <c r="K179"/>
      <c r="L179" s="34" t="s">
        <v>3832</v>
      </c>
    </row>
    <row r="180" spans="1:12" ht="60" customHeight="1" x14ac:dyDescent="0.25">
      <c r="A180" s="34" t="s">
        <v>4419</v>
      </c>
      <c r="B180"/>
      <c r="C180" s="34" t="s">
        <v>4420</v>
      </c>
      <c r="D180"/>
      <c r="E180" s="34" t="s">
        <v>4421</v>
      </c>
      <c r="F180" s="34" t="s">
        <v>4422</v>
      </c>
      <c r="G180" s="34">
        <v>47</v>
      </c>
      <c r="H180" s="34" t="s">
        <v>4423</v>
      </c>
      <c r="I180"/>
      <c r="J180" s="34" t="s">
        <v>3831</v>
      </c>
      <c r="K180"/>
      <c r="L180" s="34" t="s">
        <v>3832</v>
      </c>
    </row>
    <row r="181" spans="1:12" ht="60" customHeight="1" x14ac:dyDescent="0.25">
      <c r="A181" s="34" t="s">
        <v>4424</v>
      </c>
      <c r="B181"/>
      <c r="C181" s="34" t="s">
        <v>4425</v>
      </c>
      <c r="D181"/>
      <c r="E181" s="34" t="s">
        <v>4426</v>
      </c>
      <c r="F181" s="34" t="s">
        <v>4427</v>
      </c>
      <c r="G181" s="34">
        <v>6</v>
      </c>
      <c r="H181" s="34" t="s">
        <v>4428</v>
      </c>
      <c r="I181"/>
      <c r="J181" s="34" t="s">
        <v>3831</v>
      </c>
      <c r="K181"/>
      <c r="L181" s="34" t="s">
        <v>3832</v>
      </c>
    </row>
    <row r="182" spans="1:12" ht="60" customHeight="1" x14ac:dyDescent="0.25">
      <c r="A182" s="34" t="s">
        <v>4429</v>
      </c>
      <c r="B182"/>
      <c r="C182" s="34" t="s">
        <v>3991</v>
      </c>
      <c r="D182"/>
      <c r="E182" s="34" t="s">
        <v>4169</v>
      </c>
      <c r="F182" s="34" t="s">
        <v>4170</v>
      </c>
      <c r="G182" s="34">
        <v>6</v>
      </c>
      <c r="H182" s="34" t="s">
        <v>3994</v>
      </c>
      <c r="I182"/>
      <c r="J182" s="34" t="s">
        <v>3831</v>
      </c>
      <c r="K182"/>
      <c r="L182" s="34" t="s">
        <v>3832</v>
      </c>
    </row>
    <row r="183" spans="1:12" ht="60" customHeight="1" x14ac:dyDescent="0.25">
      <c r="A183" s="34" t="s">
        <v>4430</v>
      </c>
      <c r="B183"/>
      <c r="C183" s="34" t="s">
        <v>4203</v>
      </c>
      <c r="D183"/>
      <c r="E183" s="34" t="s">
        <v>4204</v>
      </c>
      <c r="F183" s="34" t="s">
        <v>4205</v>
      </c>
      <c r="G183" s="34">
        <v>6</v>
      </c>
      <c r="H183" s="34" t="s">
        <v>3994</v>
      </c>
      <c r="I183"/>
      <c r="J183" s="34" t="s">
        <v>3831</v>
      </c>
      <c r="K183"/>
      <c r="L183" s="34" t="s">
        <v>3832</v>
      </c>
    </row>
    <row r="184" spans="1:12" ht="60" customHeight="1" x14ac:dyDescent="0.25">
      <c r="A184" s="34" t="s">
        <v>4431</v>
      </c>
      <c r="B184"/>
      <c r="C184" s="34" t="s">
        <v>4432</v>
      </c>
      <c r="D184"/>
      <c r="E184" s="34" t="s">
        <v>4433</v>
      </c>
      <c r="F184" s="34" t="s">
        <v>4434</v>
      </c>
      <c r="G184" s="34">
        <v>1</v>
      </c>
      <c r="H184" s="34" t="s">
        <v>4435</v>
      </c>
      <c r="I184"/>
      <c r="J184" s="34" t="s">
        <v>3831</v>
      </c>
      <c r="K184"/>
      <c r="L184" s="34" t="s">
        <v>3832</v>
      </c>
    </row>
    <row r="185" spans="1:12" ht="60" customHeight="1" x14ac:dyDescent="0.25">
      <c r="A185" s="34" t="s">
        <v>4436</v>
      </c>
      <c r="B185"/>
      <c r="C185" s="34" t="s">
        <v>4437</v>
      </c>
      <c r="D185"/>
      <c r="E185" s="34" t="s">
        <v>4438</v>
      </c>
      <c r="F185" s="34" t="s">
        <v>4439</v>
      </c>
      <c r="G185" s="34">
        <v>4</v>
      </c>
      <c r="H185" s="34" t="s">
        <v>4440</v>
      </c>
      <c r="I185"/>
      <c r="J185" s="34" t="s">
        <v>3831</v>
      </c>
      <c r="K185"/>
      <c r="L185" s="34" t="s">
        <v>3832</v>
      </c>
    </row>
    <row r="186" spans="1:12" ht="60" customHeight="1" x14ac:dyDescent="0.25">
      <c r="A186" s="34" t="s">
        <v>4441</v>
      </c>
      <c r="B186"/>
      <c r="C186" s="34" t="s">
        <v>4442</v>
      </c>
      <c r="D186"/>
      <c r="E186" s="34" t="s">
        <v>4443</v>
      </c>
      <c r="F186" s="34" t="s">
        <v>4444</v>
      </c>
      <c r="G186" s="34">
        <v>2</v>
      </c>
      <c r="H186" s="34" t="s">
        <v>4445</v>
      </c>
      <c r="I186"/>
      <c r="J186" s="34" t="s">
        <v>3831</v>
      </c>
      <c r="K186"/>
      <c r="L186" s="34" t="s">
        <v>3832</v>
      </c>
    </row>
    <row r="187" spans="1:12" ht="60" customHeight="1" x14ac:dyDescent="0.25">
      <c r="A187" s="34" t="s">
        <v>4446</v>
      </c>
      <c r="B187"/>
      <c r="C187" s="34" t="s">
        <v>4447</v>
      </c>
      <c r="D187"/>
      <c r="E187" s="34" t="s">
        <v>4448</v>
      </c>
      <c r="F187" s="34" t="s">
        <v>4449</v>
      </c>
      <c r="G187" s="34">
        <v>12</v>
      </c>
      <c r="H187" s="34" t="s">
        <v>4450</v>
      </c>
      <c r="I187"/>
      <c r="J187" s="34" t="s">
        <v>3831</v>
      </c>
      <c r="K187"/>
      <c r="L187" s="34" t="s">
        <v>3832</v>
      </c>
    </row>
    <row r="188" spans="1:12" ht="60" customHeight="1" x14ac:dyDescent="0.25">
      <c r="A188" s="34" t="s">
        <v>4451</v>
      </c>
      <c r="B188"/>
      <c r="C188" s="34" t="s">
        <v>4452</v>
      </c>
      <c r="D188"/>
      <c r="E188" s="34" t="s">
        <v>4453</v>
      </c>
      <c r="F188" s="34" t="s">
        <v>4454</v>
      </c>
      <c r="G188" s="34">
        <v>6</v>
      </c>
      <c r="H188" s="34" t="s">
        <v>4455</v>
      </c>
      <c r="I188"/>
      <c r="J188" s="34" t="s">
        <v>3831</v>
      </c>
      <c r="K188"/>
      <c r="L188" s="34" t="s">
        <v>3832</v>
      </c>
    </row>
    <row r="189" spans="1:12" ht="60" customHeight="1" x14ac:dyDescent="0.25">
      <c r="A189" s="34" t="s">
        <v>4456</v>
      </c>
      <c r="B189"/>
      <c r="C189" s="34" t="s">
        <v>4457</v>
      </c>
      <c r="D189"/>
      <c r="E189" s="34" t="s">
        <v>4458</v>
      </c>
      <c r="F189" s="34" t="s">
        <v>4459</v>
      </c>
      <c r="G189" s="34">
        <v>1</v>
      </c>
      <c r="H189" s="34" t="s">
        <v>3931</v>
      </c>
      <c r="I189"/>
      <c r="J189" s="34" t="s">
        <v>3831</v>
      </c>
      <c r="K189"/>
      <c r="L189" s="34" t="s">
        <v>4460</v>
      </c>
    </row>
    <row r="190" spans="1:12" ht="60" customHeight="1" x14ac:dyDescent="0.25">
      <c r="A190" s="34" t="s">
        <v>4461</v>
      </c>
      <c r="B190"/>
      <c r="C190" s="34" t="s">
        <v>4462</v>
      </c>
      <c r="D190"/>
      <c r="E190" s="34" t="s">
        <v>4463</v>
      </c>
      <c r="F190" s="34" t="s">
        <v>4464</v>
      </c>
      <c r="G190" s="34">
        <v>1</v>
      </c>
      <c r="H190" s="34" t="s">
        <v>4465</v>
      </c>
      <c r="I190"/>
      <c r="J190" s="34" t="s">
        <v>3831</v>
      </c>
      <c r="K190"/>
      <c r="L190" s="34" t="s">
        <v>3832</v>
      </c>
    </row>
    <row r="191" spans="1:12" ht="60" customHeight="1" x14ac:dyDescent="0.25">
      <c r="A191" s="34" t="s">
        <v>4466</v>
      </c>
      <c r="B191"/>
      <c r="C191" s="34" t="s">
        <v>4467</v>
      </c>
      <c r="D191"/>
      <c r="E191" s="34" t="s">
        <v>4468</v>
      </c>
      <c r="F191" s="34" t="s">
        <v>4469</v>
      </c>
      <c r="G191" s="34">
        <v>1</v>
      </c>
      <c r="H191" s="34" t="s">
        <v>4470</v>
      </c>
      <c r="I191"/>
      <c r="J191" s="34" t="s">
        <v>3831</v>
      </c>
      <c r="K191"/>
      <c r="L191" s="34" t="s">
        <v>3832</v>
      </c>
    </row>
    <row r="192" spans="1:12" ht="60" customHeight="1" x14ac:dyDescent="0.25">
      <c r="A192" s="34" t="s">
        <v>4471</v>
      </c>
      <c r="B192" s="34" t="s">
        <v>4472</v>
      </c>
      <c r="C192" s="34" t="s">
        <v>4473</v>
      </c>
      <c r="D192"/>
      <c r="E192" s="34" t="s">
        <v>4474</v>
      </c>
      <c r="F192" s="34" t="s">
        <v>4475</v>
      </c>
      <c r="G192" s="34">
        <v>1</v>
      </c>
      <c r="H192" s="34" t="s">
        <v>3914</v>
      </c>
      <c r="I192"/>
      <c r="J192" s="34" t="s">
        <v>3536</v>
      </c>
      <c r="K192"/>
      <c r="L192" s="34" t="s">
        <v>4355</v>
      </c>
    </row>
    <row r="193" spans="1:12" ht="60" customHeight="1" x14ac:dyDescent="0.25">
      <c r="A193" s="34" t="s">
        <v>4476</v>
      </c>
      <c r="B193" s="34" t="s">
        <v>4472</v>
      </c>
      <c r="C193" s="34" t="s">
        <v>4477</v>
      </c>
      <c r="D193"/>
      <c r="E193" s="34" t="s">
        <v>4478</v>
      </c>
      <c r="F193" s="34" t="s">
        <v>4479</v>
      </c>
      <c r="G193" s="34">
        <v>1</v>
      </c>
      <c r="H193" s="34" t="s">
        <v>3914</v>
      </c>
      <c r="I193"/>
      <c r="J193" s="34" t="s">
        <v>3536</v>
      </c>
      <c r="K193"/>
      <c r="L193" s="34" t="s">
        <v>4355</v>
      </c>
    </row>
    <row r="194" spans="1:12" ht="60" customHeight="1" x14ac:dyDescent="0.25">
      <c r="A194" s="34" t="s">
        <v>4480</v>
      </c>
      <c r="B194" s="34" t="s">
        <v>4472</v>
      </c>
      <c r="C194" s="34" t="s">
        <v>4481</v>
      </c>
      <c r="D194"/>
      <c r="E194" s="34" t="s">
        <v>4482</v>
      </c>
      <c r="F194" s="34" t="s">
        <v>4483</v>
      </c>
      <c r="G194" s="34">
        <v>1</v>
      </c>
      <c r="H194" s="34" t="s">
        <v>3914</v>
      </c>
      <c r="I194"/>
      <c r="J194" s="34" t="s">
        <v>3536</v>
      </c>
      <c r="K194"/>
      <c r="L194" s="34" t="s">
        <v>4355</v>
      </c>
    </row>
    <row r="195" spans="1:12" ht="60" customHeight="1" x14ac:dyDescent="0.25">
      <c r="A195" s="34" t="s">
        <v>4484</v>
      </c>
      <c r="B195" s="34" t="s">
        <v>4472</v>
      </c>
      <c r="C195" s="34" t="s">
        <v>4485</v>
      </c>
      <c r="D195"/>
      <c r="E195" s="34" t="s">
        <v>4486</v>
      </c>
      <c r="F195" s="34" t="s">
        <v>4487</v>
      </c>
      <c r="G195" s="34">
        <v>1</v>
      </c>
      <c r="H195" s="34" t="s">
        <v>3914</v>
      </c>
      <c r="I195"/>
      <c r="J195" s="34" t="s">
        <v>3536</v>
      </c>
      <c r="K195"/>
      <c r="L195" s="34" t="s">
        <v>4355</v>
      </c>
    </row>
    <row r="196" spans="1:12" ht="60" customHeight="1" x14ac:dyDescent="0.15">
      <c r="A196" s="46">
        <v>205</v>
      </c>
      <c r="C196" s="46" t="s">
        <v>4590</v>
      </c>
      <c r="D196" s="46">
        <v>0</v>
      </c>
      <c r="E196" s="46" t="s">
        <v>4591</v>
      </c>
      <c r="F196" s="46" t="s">
        <v>4592</v>
      </c>
      <c r="G196" s="46">
        <v>2</v>
      </c>
      <c r="H196" s="46" t="s">
        <v>4211</v>
      </c>
      <c r="J196" s="46" t="s">
        <v>3536</v>
      </c>
    </row>
    <row r="197" spans="1:12" ht="60" customHeight="1" x14ac:dyDescent="0.15"/>
    <row r="198" spans="1:12" ht="60" customHeight="1" x14ac:dyDescent="0.15"/>
    <row r="199" spans="1:12" ht="60" customHeight="1" x14ac:dyDescent="0.15"/>
    <row r="200" spans="1:12" ht="60" customHeight="1" x14ac:dyDescent="0.15"/>
    <row r="201" spans="1:12" ht="60" customHeight="1" x14ac:dyDescent="0.15"/>
    <row r="202" spans="1:12" ht="60" customHeight="1" x14ac:dyDescent="0.15"/>
    <row r="203" spans="1:12" ht="60" customHeight="1" x14ac:dyDescent="0.15"/>
    <row r="204" spans="1:12" ht="60" customHeight="1" x14ac:dyDescent="0.15"/>
    <row r="205" spans="1:12" ht="60" customHeight="1" x14ac:dyDescent="0.15"/>
    <row r="206" spans="1:12" ht="60" customHeight="1" x14ac:dyDescent="0.15"/>
    <row r="207" spans="1:12" ht="60" customHeight="1" x14ac:dyDescent="0.15"/>
    <row r="208" spans="1:12" ht="60" customHeight="1" x14ac:dyDescent="0.15"/>
    <row r="209" ht="60" customHeight="1" x14ac:dyDescent="0.15"/>
    <row r="210" ht="60" customHeight="1" x14ac:dyDescent="0.15"/>
    <row r="211" ht="60" customHeight="1" x14ac:dyDescent="0.15"/>
    <row r="212" ht="60" customHeight="1" x14ac:dyDescent="0.15"/>
    <row r="213" ht="60" customHeight="1" x14ac:dyDescent="0.15"/>
    <row r="214" ht="60" customHeight="1" x14ac:dyDescent="0.15"/>
    <row r="215" ht="60" customHeight="1" x14ac:dyDescent="0.15"/>
    <row r="216" ht="60" customHeight="1" x14ac:dyDescent="0.15"/>
    <row r="217" ht="60" customHeight="1" x14ac:dyDescent="0.15"/>
    <row r="218" ht="60" customHeight="1" x14ac:dyDescent="0.15"/>
    <row r="219" ht="60" customHeight="1" x14ac:dyDescent="0.15"/>
    <row r="220" ht="60" customHeight="1" x14ac:dyDescent="0.15"/>
    <row r="221" ht="60" customHeight="1" x14ac:dyDescent="0.15"/>
    <row r="222" ht="60" customHeight="1" x14ac:dyDescent="0.15"/>
    <row r="223" ht="60" customHeight="1" x14ac:dyDescent="0.15"/>
    <row r="224" ht="60" customHeight="1" x14ac:dyDescent="0.15"/>
    <row r="225" ht="60" customHeight="1" x14ac:dyDescent="0.15"/>
    <row r="226" ht="60" customHeight="1" x14ac:dyDescent="0.15"/>
    <row r="227" ht="60" customHeight="1" x14ac:dyDescent="0.15"/>
    <row r="228" ht="60" customHeight="1" x14ac:dyDescent="0.15"/>
    <row r="229" ht="60" customHeight="1" x14ac:dyDescent="0.15"/>
    <row r="230" ht="60" customHeight="1" x14ac:dyDescent="0.15"/>
    <row r="231" ht="60" customHeight="1" x14ac:dyDescent="0.15"/>
    <row r="232" ht="60" customHeight="1" x14ac:dyDescent="0.15"/>
    <row r="233" ht="60" customHeight="1" x14ac:dyDescent="0.15"/>
    <row r="234" ht="60" customHeight="1" x14ac:dyDescent="0.15"/>
    <row r="235" ht="60" customHeight="1" x14ac:dyDescent="0.15"/>
    <row r="236" ht="60" customHeight="1" x14ac:dyDescent="0.15"/>
    <row r="237" ht="60" customHeight="1" x14ac:dyDescent="0.15"/>
    <row r="238" ht="60" customHeight="1" x14ac:dyDescent="0.15"/>
    <row r="239" ht="60" customHeight="1" x14ac:dyDescent="0.15"/>
    <row r="240" ht="60" customHeight="1" x14ac:dyDescent="0.15"/>
    <row r="241" ht="60" customHeight="1" x14ac:dyDescent="0.15"/>
    <row r="242" ht="60" customHeight="1" x14ac:dyDescent="0.15"/>
    <row r="243" ht="60" customHeight="1" x14ac:dyDescent="0.15"/>
    <row r="244" ht="60" customHeight="1" x14ac:dyDescent="0.15"/>
    <row r="245" ht="60" customHeight="1" x14ac:dyDescent="0.15"/>
    <row r="246" ht="60" customHeight="1" x14ac:dyDescent="0.15"/>
    <row r="247" ht="60" customHeight="1" x14ac:dyDescent="0.15"/>
    <row r="248" ht="60" customHeight="1" x14ac:dyDescent="0.15"/>
    <row r="249" ht="60" customHeight="1" x14ac:dyDescent="0.15"/>
    <row r="250" ht="60" customHeight="1" x14ac:dyDescent="0.15"/>
    <row r="251" ht="60" customHeight="1" x14ac:dyDescent="0.15"/>
    <row r="252" ht="60" customHeight="1" x14ac:dyDescent="0.15"/>
    <row r="253" ht="60" customHeight="1" x14ac:dyDescent="0.15"/>
    <row r="254" ht="60" customHeight="1" x14ac:dyDescent="0.15"/>
    <row r="255" ht="60" customHeight="1" x14ac:dyDescent="0.15"/>
    <row r="256" ht="60" customHeight="1" x14ac:dyDescent="0.15"/>
    <row r="257" ht="60" customHeight="1" x14ac:dyDescent="0.15"/>
    <row r="258" ht="60" customHeight="1" x14ac:dyDescent="0.15"/>
    <row r="259" ht="60" customHeight="1" x14ac:dyDescent="0.15"/>
    <row r="260" ht="60" customHeight="1" x14ac:dyDescent="0.15"/>
    <row r="261" ht="60" customHeight="1" x14ac:dyDescent="0.15"/>
    <row r="262" ht="60" customHeight="1" x14ac:dyDescent="0.15"/>
    <row r="263" ht="60" customHeight="1" x14ac:dyDescent="0.15"/>
    <row r="264" ht="60" customHeight="1" x14ac:dyDescent="0.15"/>
    <row r="265" ht="60" customHeight="1" x14ac:dyDescent="0.15"/>
    <row r="266" ht="60" customHeight="1" x14ac:dyDescent="0.15"/>
    <row r="267" ht="60" customHeight="1" x14ac:dyDescent="0.15"/>
    <row r="268" ht="60" customHeight="1" x14ac:dyDescent="0.15"/>
    <row r="269" ht="60" customHeight="1" x14ac:dyDescent="0.15"/>
    <row r="270" ht="60" customHeight="1" x14ac:dyDescent="0.15"/>
    <row r="271" ht="60" customHeight="1" x14ac:dyDescent="0.15"/>
    <row r="272" ht="60" customHeight="1" x14ac:dyDescent="0.15"/>
    <row r="273" ht="60" customHeight="1" x14ac:dyDescent="0.15"/>
    <row r="274" ht="60" customHeight="1" x14ac:dyDescent="0.15"/>
    <row r="275" ht="60" customHeight="1" x14ac:dyDescent="0.15"/>
    <row r="276" ht="60" customHeight="1" x14ac:dyDescent="0.15"/>
    <row r="277" ht="60" customHeight="1" x14ac:dyDescent="0.15"/>
    <row r="278" ht="60" customHeight="1" x14ac:dyDescent="0.15"/>
    <row r="279" ht="60" customHeight="1" x14ac:dyDescent="0.15"/>
    <row r="280" ht="60" customHeight="1" x14ac:dyDescent="0.15"/>
    <row r="281" ht="60" customHeight="1" x14ac:dyDescent="0.15"/>
    <row r="282" ht="60" customHeight="1" x14ac:dyDescent="0.15"/>
    <row r="283" ht="60" customHeight="1" x14ac:dyDescent="0.15"/>
    <row r="284" ht="60" customHeight="1" x14ac:dyDescent="0.15"/>
    <row r="285" ht="60" customHeight="1" x14ac:dyDescent="0.15"/>
    <row r="286" ht="60" customHeight="1" x14ac:dyDescent="0.15"/>
    <row r="287" ht="60" customHeight="1" x14ac:dyDescent="0.15"/>
    <row r="288" ht="60" customHeight="1" x14ac:dyDescent="0.15"/>
    <row r="289" ht="60" customHeight="1" x14ac:dyDescent="0.15"/>
    <row r="290" ht="60" customHeight="1" x14ac:dyDescent="0.15"/>
    <row r="291" ht="60" customHeight="1" x14ac:dyDescent="0.15"/>
    <row r="292" ht="60" customHeight="1" x14ac:dyDescent="0.15"/>
    <row r="293" ht="60" customHeight="1" x14ac:dyDescent="0.15"/>
    <row r="294" ht="60" customHeight="1" x14ac:dyDescent="0.15"/>
    <row r="295" ht="60" customHeight="1" x14ac:dyDescent="0.15"/>
    <row r="296" ht="60" customHeight="1" x14ac:dyDescent="0.15"/>
    <row r="297" ht="60" customHeight="1" x14ac:dyDescent="0.15"/>
    <row r="298" ht="60" customHeight="1" x14ac:dyDescent="0.15"/>
    <row r="299" ht="60" customHeight="1" x14ac:dyDescent="0.15"/>
    <row r="300" ht="60" customHeight="1" x14ac:dyDescent="0.15"/>
    <row r="301" ht="60" customHeight="1" x14ac:dyDescent="0.15"/>
    <row r="302" ht="60" customHeight="1" x14ac:dyDescent="0.15"/>
    <row r="303" ht="60" customHeight="1" x14ac:dyDescent="0.15"/>
    <row r="304" ht="60" customHeight="1" x14ac:dyDescent="0.15"/>
    <row r="305" ht="60" customHeight="1" x14ac:dyDescent="0.15"/>
    <row r="306" ht="60" customHeight="1" x14ac:dyDescent="0.15"/>
    <row r="307" ht="60" customHeight="1" x14ac:dyDescent="0.15"/>
    <row r="308" ht="60" customHeight="1" x14ac:dyDescent="0.15"/>
    <row r="309" ht="60" customHeight="1" x14ac:dyDescent="0.15"/>
    <row r="310" ht="60" customHeight="1" x14ac:dyDescent="0.15"/>
    <row r="311" ht="60" customHeight="1" x14ac:dyDescent="0.15"/>
    <row r="312" ht="60" customHeight="1" x14ac:dyDescent="0.15"/>
    <row r="313" ht="60" customHeight="1" x14ac:dyDescent="0.15"/>
    <row r="314" ht="60" customHeight="1" x14ac:dyDescent="0.15"/>
    <row r="315" ht="60" customHeight="1" x14ac:dyDescent="0.15"/>
    <row r="316" ht="60" customHeight="1" x14ac:dyDescent="0.15"/>
    <row r="317" ht="60" customHeight="1" x14ac:dyDescent="0.15"/>
    <row r="318" ht="60" customHeight="1" x14ac:dyDescent="0.15"/>
    <row r="319" ht="60" customHeight="1" x14ac:dyDescent="0.15"/>
    <row r="320" ht="60" customHeight="1" x14ac:dyDescent="0.15"/>
    <row r="321" ht="60" customHeight="1" x14ac:dyDescent="0.15"/>
    <row r="322" ht="60" customHeight="1" x14ac:dyDescent="0.15"/>
    <row r="323" ht="60" customHeight="1" x14ac:dyDescent="0.15"/>
    <row r="324" ht="60" customHeight="1" x14ac:dyDescent="0.15"/>
    <row r="325" ht="60" customHeight="1" x14ac:dyDescent="0.15"/>
    <row r="326" ht="60" customHeight="1" x14ac:dyDescent="0.15"/>
    <row r="327" ht="60" customHeight="1" x14ac:dyDescent="0.15"/>
    <row r="328" ht="60" customHeight="1" x14ac:dyDescent="0.15"/>
    <row r="329" ht="60" customHeight="1" x14ac:dyDescent="0.15"/>
    <row r="330" ht="60" customHeight="1" x14ac:dyDescent="0.15"/>
    <row r="331" ht="60" customHeight="1" x14ac:dyDescent="0.15"/>
    <row r="332" ht="60" customHeight="1" x14ac:dyDescent="0.15"/>
    <row r="333" ht="60" customHeight="1" x14ac:dyDescent="0.15"/>
    <row r="334" ht="60" customHeight="1" x14ac:dyDescent="0.15"/>
    <row r="335" ht="60" customHeight="1" x14ac:dyDescent="0.15"/>
    <row r="336" ht="60" customHeight="1" x14ac:dyDescent="0.15"/>
    <row r="337" ht="60" customHeight="1" x14ac:dyDescent="0.15"/>
    <row r="338" ht="60" customHeight="1" x14ac:dyDescent="0.15"/>
    <row r="339" ht="60" customHeight="1" x14ac:dyDescent="0.15"/>
    <row r="340" ht="60" customHeight="1" x14ac:dyDescent="0.15"/>
    <row r="341" ht="60" customHeight="1" x14ac:dyDescent="0.15"/>
    <row r="342" ht="60" customHeight="1" x14ac:dyDescent="0.15"/>
    <row r="343" ht="60" customHeight="1" x14ac:dyDescent="0.15"/>
    <row r="344" ht="60" customHeight="1" x14ac:dyDescent="0.15"/>
    <row r="345" ht="60" customHeight="1" x14ac:dyDescent="0.15"/>
    <row r="346" ht="60" customHeight="1" x14ac:dyDescent="0.15"/>
    <row r="347" ht="60" customHeight="1" x14ac:dyDescent="0.15"/>
    <row r="348" ht="60" customHeight="1" x14ac:dyDescent="0.15"/>
    <row r="349" ht="60" customHeight="1" x14ac:dyDescent="0.15"/>
    <row r="350" ht="60" customHeight="1" x14ac:dyDescent="0.15"/>
    <row r="351" ht="60" customHeight="1" x14ac:dyDescent="0.15"/>
    <row r="352" ht="60" customHeight="1" x14ac:dyDescent="0.15"/>
    <row r="353" ht="60" customHeight="1" x14ac:dyDescent="0.15"/>
    <row r="354" ht="60" customHeight="1" x14ac:dyDescent="0.15"/>
    <row r="355" ht="60" customHeight="1" x14ac:dyDescent="0.15"/>
    <row r="356" ht="60" customHeight="1" x14ac:dyDescent="0.15"/>
    <row r="357" ht="60" customHeight="1" x14ac:dyDescent="0.15"/>
    <row r="358" ht="60" customHeight="1" x14ac:dyDescent="0.15"/>
    <row r="359" ht="60" customHeight="1" x14ac:dyDescent="0.15"/>
    <row r="360" ht="60" customHeight="1" x14ac:dyDescent="0.15"/>
    <row r="361" ht="60" customHeight="1" x14ac:dyDescent="0.15"/>
    <row r="362" ht="60" customHeight="1" x14ac:dyDescent="0.15"/>
    <row r="363" ht="60" customHeight="1" x14ac:dyDescent="0.15"/>
    <row r="364" ht="60" customHeight="1" x14ac:dyDescent="0.15"/>
    <row r="365" ht="60" customHeight="1" x14ac:dyDescent="0.15"/>
    <row r="366" ht="60" customHeight="1" x14ac:dyDescent="0.15"/>
    <row r="367" ht="60" customHeight="1" x14ac:dyDescent="0.15"/>
    <row r="368" ht="60" customHeight="1" x14ac:dyDescent="0.15"/>
    <row r="369" ht="60" customHeight="1" x14ac:dyDescent="0.15"/>
    <row r="370" ht="60" customHeight="1" x14ac:dyDescent="0.15"/>
    <row r="371" ht="60" customHeight="1" x14ac:dyDescent="0.15"/>
    <row r="372" ht="60" customHeight="1" x14ac:dyDescent="0.15"/>
    <row r="373" ht="60" customHeight="1" x14ac:dyDescent="0.15"/>
    <row r="374" ht="60" customHeight="1" x14ac:dyDescent="0.15"/>
    <row r="375" ht="60" customHeight="1" x14ac:dyDescent="0.15"/>
    <row r="376" ht="60" customHeight="1" x14ac:dyDescent="0.15"/>
    <row r="377" ht="60" customHeight="1" x14ac:dyDescent="0.15"/>
    <row r="378" ht="60" customHeight="1" x14ac:dyDescent="0.15"/>
    <row r="379" ht="60" customHeight="1" x14ac:dyDescent="0.15"/>
    <row r="380" ht="60" customHeight="1" x14ac:dyDescent="0.15"/>
    <row r="381" ht="60" customHeight="1" x14ac:dyDescent="0.15"/>
    <row r="382" ht="60" customHeight="1" x14ac:dyDescent="0.15"/>
    <row r="383" ht="60" customHeight="1" x14ac:dyDescent="0.15"/>
    <row r="384" ht="60" customHeight="1" x14ac:dyDescent="0.15"/>
    <row r="385" ht="60" customHeight="1" x14ac:dyDescent="0.15"/>
    <row r="386" ht="60" customHeight="1" x14ac:dyDescent="0.15"/>
    <row r="387" ht="60" customHeight="1" x14ac:dyDescent="0.15"/>
    <row r="388" ht="60" customHeight="1" x14ac:dyDescent="0.15"/>
    <row r="389" ht="60" customHeight="1" x14ac:dyDescent="0.15"/>
    <row r="390" ht="60" customHeight="1" x14ac:dyDescent="0.15"/>
    <row r="391" ht="60" customHeight="1" x14ac:dyDescent="0.15"/>
    <row r="392" ht="60" customHeight="1" x14ac:dyDescent="0.15"/>
    <row r="393" ht="60" customHeight="1" x14ac:dyDescent="0.15"/>
    <row r="394" ht="60" customHeight="1" x14ac:dyDescent="0.15"/>
    <row r="395" ht="60" customHeight="1" x14ac:dyDescent="0.15"/>
    <row r="396" ht="60" customHeight="1" x14ac:dyDescent="0.15"/>
    <row r="397" ht="60" customHeight="1" x14ac:dyDescent="0.15"/>
    <row r="398" ht="60" customHeight="1" x14ac:dyDescent="0.15"/>
    <row r="399" ht="60" customHeight="1" x14ac:dyDescent="0.15"/>
    <row r="400" ht="60" customHeight="1" x14ac:dyDescent="0.15"/>
    <row r="401" ht="60" customHeight="1" x14ac:dyDescent="0.15"/>
    <row r="402" ht="60" customHeight="1" x14ac:dyDescent="0.15"/>
    <row r="403" ht="60" customHeight="1" x14ac:dyDescent="0.15"/>
    <row r="404" ht="60" customHeight="1" x14ac:dyDescent="0.15"/>
    <row r="405" ht="60" customHeight="1" x14ac:dyDescent="0.15"/>
    <row r="406" ht="60" customHeight="1" x14ac:dyDescent="0.15"/>
    <row r="407" ht="60" customHeight="1" x14ac:dyDescent="0.15"/>
    <row r="408" ht="60" customHeight="1" x14ac:dyDescent="0.15"/>
    <row r="409" ht="60" customHeight="1" x14ac:dyDescent="0.15"/>
    <row r="410" ht="60" customHeight="1" x14ac:dyDescent="0.15"/>
    <row r="411" ht="60" customHeight="1" x14ac:dyDescent="0.15"/>
    <row r="412" ht="60" customHeight="1" x14ac:dyDescent="0.15"/>
    <row r="413" ht="60" customHeight="1" x14ac:dyDescent="0.15"/>
    <row r="414" ht="60" customHeight="1" x14ac:dyDescent="0.15"/>
    <row r="415" ht="60" customHeight="1" x14ac:dyDescent="0.15"/>
    <row r="416" ht="60" customHeight="1" x14ac:dyDescent="0.15"/>
    <row r="417" ht="60" customHeight="1" x14ac:dyDescent="0.15"/>
    <row r="418" ht="60" customHeight="1" x14ac:dyDescent="0.15"/>
    <row r="419" ht="60" customHeight="1" x14ac:dyDescent="0.15"/>
    <row r="420" ht="60" customHeight="1" x14ac:dyDescent="0.15"/>
    <row r="421" ht="60" customHeight="1" x14ac:dyDescent="0.15"/>
    <row r="422" ht="60" customHeight="1" x14ac:dyDescent="0.15"/>
    <row r="423" ht="60" customHeight="1" x14ac:dyDescent="0.15"/>
    <row r="424" ht="60" customHeight="1" x14ac:dyDescent="0.15"/>
    <row r="425" ht="60" customHeight="1" x14ac:dyDescent="0.15"/>
    <row r="426" ht="60" customHeight="1" x14ac:dyDescent="0.15"/>
    <row r="427" ht="60" customHeight="1" x14ac:dyDescent="0.15"/>
    <row r="428" ht="60" customHeight="1" x14ac:dyDescent="0.15"/>
    <row r="429" ht="60" customHeight="1" x14ac:dyDescent="0.15"/>
    <row r="430" ht="60" customHeight="1" x14ac:dyDescent="0.15"/>
    <row r="431" ht="60" customHeight="1" x14ac:dyDescent="0.15"/>
    <row r="432" ht="60" customHeight="1" x14ac:dyDescent="0.15"/>
    <row r="433" ht="60" customHeight="1" x14ac:dyDescent="0.15"/>
    <row r="434" ht="60" customHeight="1" x14ac:dyDescent="0.15"/>
    <row r="435" ht="60" customHeight="1" x14ac:dyDescent="0.15"/>
    <row r="436" ht="60" customHeight="1" x14ac:dyDescent="0.15"/>
    <row r="437" ht="60" customHeight="1" x14ac:dyDescent="0.15"/>
    <row r="438" ht="60" customHeight="1" x14ac:dyDescent="0.15"/>
    <row r="439" ht="60" customHeight="1" x14ac:dyDescent="0.15"/>
    <row r="440" ht="60" customHeight="1" x14ac:dyDescent="0.15"/>
    <row r="441" ht="60" customHeight="1" x14ac:dyDescent="0.15"/>
    <row r="442" ht="60" customHeight="1" x14ac:dyDescent="0.15"/>
    <row r="443" ht="60" customHeight="1" x14ac:dyDescent="0.15"/>
    <row r="444" ht="60" customHeight="1" x14ac:dyDescent="0.15"/>
    <row r="445" ht="60" customHeight="1" x14ac:dyDescent="0.15"/>
    <row r="446" ht="60" customHeight="1" x14ac:dyDescent="0.15"/>
    <row r="447" ht="60" customHeight="1" x14ac:dyDescent="0.15"/>
    <row r="448" ht="60" customHeight="1" x14ac:dyDescent="0.15"/>
    <row r="449" ht="60" customHeight="1" x14ac:dyDescent="0.15"/>
    <row r="450" ht="60" customHeight="1" x14ac:dyDescent="0.15"/>
    <row r="451" ht="60" customHeight="1" x14ac:dyDescent="0.15"/>
    <row r="452" ht="60" customHeight="1" x14ac:dyDescent="0.15"/>
    <row r="453" ht="60" customHeight="1" x14ac:dyDescent="0.15"/>
    <row r="454" ht="60" customHeight="1" x14ac:dyDescent="0.15"/>
    <row r="455" ht="60" customHeight="1" x14ac:dyDescent="0.15"/>
    <row r="456" ht="60" customHeight="1" x14ac:dyDescent="0.15"/>
    <row r="457" ht="60" customHeight="1" x14ac:dyDescent="0.15"/>
    <row r="458" ht="60" customHeight="1" x14ac:dyDescent="0.15"/>
    <row r="459" ht="60" customHeight="1" x14ac:dyDescent="0.15"/>
    <row r="460" ht="60" customHeight="1" x14ac:dyDescent="0.15"/>
    <row r="461" ht="60" customHeight="1" x14ac:dyDescent="0.15"/>
    <row r="462" ht="60" customHeight="1" x14ac:dyDescent="0.15"/>
    <row r="463" ht="60" customHeight="1" x14ac:dyDescent="0.15"/>
    <row r="464" ht="60" customHeight="1" x14ac:dyDescent="0.15"/>
    <row r="465" ht="60" customHeight="1" x14ac:dyDescent="0.15"/>
    <row r="466" ht="60" customHeight="1" x14ac:dyDescent="0.15"/>
    <row r="467" ht="60" customHeight="1" x14ac:dyDescent="0.15"/>
    <row r="468" ht="60" customHeight="1" x14ac:dyDescent="0.15"/>
    <row r="469" ht="60" customHeight="1" x14ac:dyDescent="0.15"/>
    <row r="470" ht="60" customHeight="1" x14ac:dyDescent="0.15"/>
    <row r="471" ht="60" customHeight="1" x14ac:dyDescent="0.15"/>
    <row r="472" ht="60" customHeight="1" x14ac:dyDescent="0.15"/>
    <row r="473" ht="60" customHeight="1" x14ac:dyDescent="0.15"/>
    <row r="474" ht="60" customHeight="1" x14ac:dyDescent="0.15"/>
    <row r="475" ht="60" customHeight="1" x14ac:dyDescent="0.15"/>
    <row r="476" ht="60" customHeight="1" x14ac:dyDescent="0.15"/>
    <row r="477" ht="60" customHeight="1" x14ac:dyDescent="0.15"/>
    <row r="478" ht="60" customHeight="1" x14ac:dyDescent="0.15"/>
    <row r="479" ht="60" customHeight="1" x14ac:dyDescent="0.15"/>
    <row r="480" ht="60" customHeight="1" x14ac:dyDescent="0.15"/>
    <row r="481" ht="60" customHeight="1" x14ac:dyDescent="0.15"/>
    <row r="482" ht="60" customHeight="1" x14ac:dyDescent="0.15"/>
    <row r="483" ht="60" customHeight="1" x14ac:dyDescent="0.15"/>
    <row r="484" ht="60" customHeight="1" x14ac:dyDescent="0.15"/>
    <row r="485" ht="60" customHeight="1" x14ac:dyDescent="0.15"/>
    <row r="486" ht="60" customHeight="1" x14ac:dyDescent="0.15"/>
    <row r="487" ht="60" customHeight="1" x14ac:dyDescent="0.15"/>
    <row r="488" ht="60" customHeight="1" x14ac:dyDescent="0.15"/>
    <row r="489" ht="60" customHeight="1" x14ac:dyDescent="0.15"/>
    <row r="490" ht="60" customHeight="1" x14ac:dyDescent="0.15"/>
    <row r="491" ht="60" customHeight="1" x14ac:dyDescent="0.15"/>
    <row r="492" ht="60" customHeight="1" x14ac:dyDescent="0.15"/>
    <row r="493" ht="60" customHeight="1" x14ac:dyDescent="0.15"/>
    <row r="494" ht="60" customHeight="1" x14ac:dyDescent="0.15"/>
    <row r="495" ht="60" customHeight="1" x14ac:dyDescent="0.15"/>
    <row r="496" ht="60" customHeight="1" x14ac:dyDescent="0.15"/>
    <row r="497" ht="60" customHeight="1" x14ac:dyDescent="0.15"/>
    <row r="498" ht="60" customHeight="1" x14ac:dyDescent="0.15"/>
    <row r="499" ht="60" customHeight="1" x14ac:dyDescent="0.15"/>
    <row r="500" ht="60" customHeight="1" x14ac:dyDescent="0.15"/>
    <row r="501" ht="60" customHeight="1" x14ac:dyDescent="0.15"/>
    <row r="502" ht="60" customHeight="1" x14ac:dyDescent="0.15"/>
    <row r="503" ht="60" customHeight="1" x14ac:dyDescent="0.15"/>
    <row r="504" ht="60" customHeight="1" x14ac:dyDescent="0.15"/>
    <row r="505" ht="60" customHeight="1" x14ac:dyDescent="0.15"/>
    <row r="506" ht="60" customHeight="1" x14ac:dyDescent="0.15"/>
    <row r="507" ht="60" customHeight="1" x14ac:dyDescent="0.15"/>
    <row r="508" ht="60" customHeight="1" x14ac:dyDescent="0.15"/>
    <row r="509" ht="60" customHeight="1" x14ac:dyDescent="0.15"/>
    <row r="510" ht="60" customHeight="1" x14ac:dyDescent="0.15"/>
    <row r="511" ht="60" customHeight="1" x14ac:dyDescent="0.15"/>
    <row r="512" ht="60" customHeight="1" x14ac:dyDescent="0.15"/>
    <row r="513" ht="60" customHeight="1" x14ac:dyDescent="0.15"/>
    <row r="514" ht="60" customHeight="1" x14ac:dyDescent="0.15"/>
    <row r="515" ht="60" customHeight="1" x14ac:dyDescent="0.15"/>
    <row r="516" ht="60" customHeight="1" x14ac:dyDescent="0.15"/>
    <row r="517" ht="60" customHeight="1" x14ac:dyDescent="0.15"/>
    <row r="518" ht="60" customHeight="1" x14ac:dyDescent="0.15"/>
    <row r="519" ht="60" customHeight="1" x14ac:dyDescent="0.15"/>
    <row r="520" ht="60" customHeight="1" x14ac:dyDescent="0.15"/>
    <row r="521" ht="60" customHeight="1" x14ac:dyDescent="0.15"/>
    <row r="522" ht="60" customHeight="1" x14ac:dyDescent="0.15"/>
    <row r="523" ht="60" customHeight="1" x14ac:dyDescent="0.15"/>
    <row r="524" ht="60" customHeight="1" x14ac:dyDescent="0.15"/>
    <row r="525" ht="60" customHeight="1" x14ac:dyDescent="0.15"/>
    <row r="526" ht="60" customHeight="1" x14ac:dyDescent="0.15"/>
    <row r="527" ht="60" customHeight="1" x14ac:dyDescent="0.15"/>
    <row r="528" ht="60" customHeight="1" x14ac:dyDescent="0.15"/>
    <row r="529" ht="60" customHeight="1" x14ac:dyDescent="0.15"/>
    <row r="530" ht="60" customHeight="1" x14ac:dyDescent="0.15"/>
    <row r="531" ht="60" customHeight="1" x14ac:dyDescent="0.15"/>
    <row r="532" ht="60" customHeight="1" x14ac:dyDescent="0.15"/>
    <row r="533" ht="60" customHeight="1" x14ac:dyDescent="0.15"/>
    <row r="534" ht="60" customHeight="1" x14ac:dyDescent="0.15"/>
    <row r="535" ht="60" customHeight="1" x14ac:dyDescent="0.15"/>
    <row r="536" ht="60" customHeight="1" x14ac:dyDescent="0.15"/>
    <row r="537" ht="60" customHeight="1" x14ac:dyDescent="0.15"/>
    <row r="538" ht="60" customHeight="1" x14ac:dyDescent="0.15"/>
    <row r="539" ht="60" customHeight="1" x14ac:dyDescent="0.15"/>
    <row r="540" ht="60" customHeight="1" x14ac:dyDescent="0.15"/>
    <row r="541" ht="60" customHeight="1" x14ac:dyDescent="0.15"/>
    <row r="542" ht="60" customHeight="1" x14ac:dyDescent="0.15"/>
    <row r="543" ht="60" customHeight="1" x14ac:dyDescent="0.15"/>
    <row r="544" ht="60" customHeight="1" x14ac:dyDescent="0.15"/>
    <row r="545" ht="60" customHeight="1" x14ac:dyDescent="0.15"/>
    <row r="546" ht="60" customHeight="1" x14ac:dyDescent="0.15"/>
    <row r="547" ht="60" customHeight="1" x14ac:dyDescent="0.15"/>
    <row r="548" ht="60" customHeight="1" x14ac:dyDescent="0.15"/>
    <row r="549" ht="60" customHeight="1" x14ac:dyDescent="0.15"/>
    <row r="550" ht="60" customHeight="1" x14ac:dyDescent="0.15"/>
    <row r="551" ht="60" customHeight="1" x14ac:dyDescent="0.15"/>
    <row r="552" ht="60" customHeight="1" x14ac:dyDescent="0.15"/>
    <row r="553" ht="60" customHeight="1" x14ac:dyDescent="0.15"/>
    <row r="554" ht="60" customHeight="1" x14ac:dyDescent="0.15"/>
    <row r="555" ht="60" customHeight="1" x14ac:dyDescent="0.15"/>
    <row r="556" ht="60" customHeight="1" x14ac:dyDescent="0.15"/>
    <row r="557" ht="60" customHeight="1" x14ac:dyDescent="0.15"/>
    <row r="558" ht="60" customHeight="1" x14ac:dyDescent="0.15"/>
    <row r="559" ht="60" customHeight="1" x14ac:dyDescent="0.15"/>
    <row r="560" ht="60" customHeight="1" x14ac:dyDescent="0.15"/>
    <row r="561" spans="1:8" ht="60" customHeight="1" x14ac:dyDescent="0.15"/>
    <row r="562" spans="1:8" ht="60" customHeight="1" x14ac:dyDescent="0.15"/>
    <row r="563" spans="1:8" ht="60" customHeight="1" x14ac:dyDescent="0.15"/>
    <row r="564" spans="1:8" ht="60" customHeight="1" x14ac:dyDescent="0.15"/>
    <row r="565" spans="1:8" ht="60" customHeight="1" x14ac:dyDescent="0.15"/>
    <row r="566" spans="1:8" ht="60" customHeight="1" x14ac:dyDescent="0.15"/>
    <row r="567" spans="1:8" ht="60" customHeight="1" x14ac:dyDescent="0.15"/>
    <row r="568" spans="1:8" ht="60" customHeight="1" x14ac:dyDescent="0.15"/>
    <row r="569" spans="1:8" ht="60" customHeight="1" x14ac:dyDescent="0.15"/>
    <row r="570" spans="1:8" ht="60" customHeight="1" x14ac:dyDescent="0.15"/>
    <row r="571" spans="1:8" ht="60" customHeight="1" x14ac:dyDescent="0.15"/>
    <row r="572" spans="1:8" ht="60" customHeight="1" x14ac:dyDescent="0.15"/>
    <row r="573" spans="1:8" s="99" customFormat="1" ht="60" customHeight="1" x14ac:dyDescent="0.15">
      <c r="A573" s="46"/>
      <c r="B573" s="46"/>
      <c r="C573" s="46"/>
      <c r="D573" s="46"/>
      <c r="E573" s="46"/>
      <c r="F573" s="46"/>
      <c r="G573" s="46"/>
      <c r="H573" s="46"/>
    </row>
    <row r="574" spans="1:8" ht="60" customHeight="1" x14ac:dyDescent="0.15"/>
    <row r="575" spans="1:8" ht="60" customHeight="1" x14ac:dyDescent="0.15"/>
    <row r="576" spans="1:8" ht="60" customHeight="1" x14ac:dyDescent="0.15"/>
    <row r="577" ht="60" customHeight="1" x14ac:dyDescent="0.15"/>
    <row r="578" ht="60" customHeight="1" x14ac:dyDescent="0.15"/>
    <row r="579" ht="60" customHeight="1" x14ac:dyDescent="0.15"/>
    <row r="580" ht="60" customHeight="1" x14ac:dyDescent="0.15"/>
    <row r="581" ht="60" customHeight="1" x14ac:dyDescent="0.15"/>
    <row r="582" ht="60" customHeight="1" x14ac:dyDescent="0.15"/>
    <row r="583" ht="60" customHeight="1" x14ac:dyDescent="0.15"/>
    <row r="584" ht="60" customHeight="1" x14ac:dyDescent="0.15"/>
    <row r="585" ht="60" customHeight="1" x14ac:dyDescent="0.15"/>
    <row r="586" ht="60" customHeight="1" x14ac:dyDescent="0.15"/>
    <row r="587" ht="60" customHeight="1" x14ac:dyDescent="0.15"/>
    <row r="588" ht="60" customHeight="1" x14ac:dyDescent="0.15"/>
    <row r="589" ht="60" customHeight="1" x14ac:dyDescent="0.15"/>
    <row r="590" ht="60" customHeight="1" x14ac:dyDescent="0.15"/>
    <row r="591" ht="60" customHeight="1" x14ac:dyDescent="0.15"/>
    <row r="592" ht="60" customHeight="1" x14ac:dyDescent="0.15"/>
    <row r="593" ht="60" customHeight="1" x14ac:dyDescent="0.15"/>
    <row r="594" ht="60" customHeight="1" x14ac:dyDescent="0.15"/>
    <row r="595" ht="60" customHeight="1" x14ac:dyDescent="0.15"/>
    <row r="596" ht="60" customHeight="1" x14ac:dyDescent="0.15"/>
    <row r="597" ht="60" customHeight="1" x14ac:dyDescent="0.15"/>
    <row r="598" ht="60" customHeight="1" x14ac:dyDescent="0.15"/>
    <row r="599" ht="60" customHeight="1" x14ac:dyDescent="0.15"/>
    <row r="600" ht="60" customHeight="1" x14ac:dyDescent="0.15"/>
    <row r="601" ht="60" customHeight="1" x14ac:dyDescent="0.15"/>
    <row r="602" ht="60" customHeight="1" x14ac:dyDescent="0.15"/>
    <row r="603" ht="60" customHeight="1" x14ac:dyDescent="0.15"/>
    <row r="604" ht="60" customHeight="1" x14ac:dyDescent="0.15"/>
    <row r="605" ht="60" customHeight="1" x14ac:dyDescent="0.15"/>
    <row r="606" ht="60" customHeight="1" x14ac:dyDescent="0.15"/>
    <row r="607" ht="60" customHeight="1" x14ac:dyDescent="0.15"/>
    <row r="608" ht="60" customHeight="1" x14ac:dyDescent="0.15"/>
    <row r="609" ht="60" customHeight="1" x14ac:dyDescent="0.15"/>
    <row r="610" ht="60" customHeight="1" x14ac:dyDescent="0.15"/>
    <row r="611" ht="60" customHeight="1" x14ac:dyDescent="0.15"/>
    <row r="612" ht="60" customHeight="1" x14ac:dyDescent="0.15"/>
    <row r="613" ht="60" customHeight="1" x14ac:dyDescent="0.15"/>
    <row r="614" ht="60" customHeight="1" x14ac:dyDescent="0.15"/>
    <row r="615" ht="60" customHeight="1" x14ac:dyDescent="0.15"/>
    <row r="616" ht="60" customHeight="1" x14ac:dyDescent="0.15"/>
    <row r="617" ht="60" customHeight="1" x14ac:dyDescent="0.15"/>
    <row r="618" ht="60" customHeight="1" x14ac:dyDescent="0.15"/>
    <row r="619" ht="60" customHeight="1" x14ac:dyDescent="0.15"/>
    <row r="620" ht="60" customHeight="1" x14ac:dyDescent="0.15"/>
    <row r="621" ht="60" customHeight="1" x14ac:dyDescent="0.15"/>
    <row r="622" ht="60" customHeight="1" x14ac:dyDescent="0.15"/>
    <row r="623" ht="60" customHeight="1" x14ac:dyDescent="0.15"/>
    <row r="624" ht="60" customHeight="1" x14ac:dyDescent="0.15"/>
    <row r="625" ht="60" customHeight="1" x14ac:dyDescent="0.15"/>
    <row r="626" ht="60" customHeight="1" x14ac:dyDescent="0.15"/>
    <row r="627" ht="60" customHeight="1" x14ac:dyDescent="0.15"/>
    <row r="628" ht="60" customHeight="1" x14ac:dyDescent="0.15"/>
    <row r="629" ht="60" customHeight="1" x14ac:dyDescent="0.15"/>
    <row r="630" ht="60" customHeight="1" x14ac:dyDescent="0.15"/>
    <row r="631" ht="60" customHeight="1" x14ac:dyDescent="0.15"/>
    <row r="632" ht="60" customHeight="1" x14ac:dyDescent="0.15"/>
    <row r="633" ht="60" customHeight="1" x14ac:dyDescent="0.15"/>
    <row r="634" ht="60" customHeight="1" x14ac:dyDescent="0.15"/>
    <row r="635" ht="60" customHeight="1" x14ac:dyDescent="0.15"/>
    <row r="636" ht="60" customHeight="1" x14ac:dyDescent="0.15"/>
    <row r="637" ht="60" customHeight="1" x14ac:dyDescent="0.15"/>
    <row r="638" ht="60" customHeight="1" x14ac:dyDescent="0.15"/>
    <row r="639" ht="60" customHeight="1" x14ac:dyDescent="0.15"/>
    <row r="640" ht="60" customHeight="1" x14ac:dyDescent="0.15"/>
    <row r="641" ht="60" customHeight="1" x14ac:dyDescent="0.15"/>
    <row r="642" ht="60" customHeight="1" x14ac:dyDescent="0.15"/>
    <row r="643" ht="60" customHeight="1" x14ac:dyDescent="0.15"/>
    <row r="644" ht="60" customHeight="1" x14ac:dyDescent="0.15"/>
    <row r="645" ht="60" customHeight="1" x14ac:dyDescent="0.15"/>
    <row r="646" ht="60" customHeight="1" x14ac:dyDescent="0.15"/>
    <row r="647" ht="60" customHeight="1" x14ac:dyDescent="0.15"/>
    <row r="648" ht="60" customHeight="1" x14ac:dyDescent="0.15"/>
    <row r="649" ht="60" customHeight="1" x14ac:dyDescent="0.15"/>
    <row r="650" ht="60" customHeight="1" x14ac:dyDescent="0.15"/>
    <row r="651" ht="60" customHeight="1" x14ac:dyDescent="0.15"/>
    <row r="652" ht="60" customHeight="1" x14ac:dyDescent="0.15"/>
    <row r="653" ht="60" customHeight="1" x14ac:dyDescent="0.15"/>
    <row r="654" ht="60" customHeight="1" x14ac:dyDescent="0.15"/>
    <row r="655" ht="60" customHeight="1" x14ac:dyDescent="0.15"/>
    <row r="656" ht="60" customHeight="1" x14ac:dyDescent="0.15"/>
    <row r="657" ht="60" customHeight="1" x14ac:dyDescent="0.15"/>
    <row r="658" ht="60" customHeight="1" x14ac:dyDescent="0.15"/>
    <row r="659" ht="60" customHeight="1" x14ac:dyDescent="0.15"/>
    <row r="660" ht="60" customHeight="1" x14ac:dyDescent="0.15"/>
    <row r="661" ht="60" customHeight="1" x14ac:dyDescent="0.15"/>
    <row r="662" ht="60" customHeight="1" x14ac:dyDescent="0.15"/>
    <row r="663" ht="60" customHeight="1" x14ac:dyDescent="0.15"/>
    <row r="664" ht="60" customHeight="1" x14ac:dyDescent="0.15"/>
    <row r="665" ht="60" customHeight="1" x14ac:dyDescent="0.15"/>
    <row r="666" ht="60" customHeight="1" x14ac:dyDescent="0.15"/>
    <row r="667" ht="60" customHeight="1" x14ac:dyDescent="0.15"/>
    <row r="668" ht="60" customHeight="1" x14ac:dyDescent="0.15"/>
    <row r="669" ht="60" customHeight="1" x14ac:dyDescent="0.15"/>
    <row r="670" ht="60" customHeight="1" x14ac:dyDescent="0.15"/>
    <row r="671" ht="60" customHeight="1" x14ac:dyDescent="0.15"/>
    <row r="672" ht="60" customHeight="1" x14ac:dyDescent="0.15"/>
    <row r="673" ht="60" customHeight="1" x14ac:dyDescent="0.15"/>
    <row r="674" ht="60" customHeight="1" x14ac:dyDescent="0.15"/>
    <row r="675" ht="60" customHeight="1" x14ac:dyDescent="0.15"/>
    <row r="676" ht="60" customHeight="1" x14ac:dyDescent="0.15"/>
    <row r="677" ht="60" customHeight="1" x14ac:dyDescent="0.15"/>
    <row r="678" ht="60" customHeight="1" x14ac:dyDescent="0.15"/>
    <row r="679" ht="60" customHeight="1" x14ac:dyDescent="0.15"/>
    <row r="680" ht="60" customHeight="1" x14ac:dyDescent="0.15"/>
    <row r="681" ht="60" customHeight="1" x14ac:dyDescent="0.15"/>
    <row r="682" ht="60" customHeight="1" x14ac:dyDescent="0.15"/>
    <row r="683" ht="60" customHeight="1" x14ac:dyDescent="0.15"/>
    <row r="684" ht="60" customHeight="1" x14ac:dyDescent="0.15"/>
    <row r="685" ht="60" customHeight="1" x14ac:dyDescent="0.15"/>
    <row r="686" ht="60" customHeight="1" x14ac:dyDescent="0.15"/>
    <row r="687" ht="60" customHeight="1" x14ac:dyDescent="0.15"/>
    <row r="688" ht="60" customHeight="1" x14ac:dyDescent="0.15"/>
    <row r="689" ht="60" customHeight="1" x14ac:dyDescent="0.15"/>
    <row r="690" ht="60" customHeight="1" x14ac:dyDescent="0.15"/>
    <row r="691" ht="60" customHeight="1" x14ac:dyDescent="0.15"/>
    <row r="692" ht="60" customHeight="1" x14ac:dyDescent="0.15"/>
    <row r="693" ht="60" customHeight="1" x14ac:dyDescent="0.15"/>
    <row r="694" ht="60" customHeight="1" x14ac:dyDescent="0.15"/>
    <row r="695" ht="60" customHeight="1" x14ac:dyDescent="0.15"/>
    <row r="696" ht="60" customHeight="1" x14ac:dyDescent="0.15"/>
    <row r="697" ht="60" customHeight="1" x14ac:dyDescent="0.15"/>
    <row r="698" ht="60" customHeight="1" x14ac:dyDescent="0.15"/>
    <row r="699" ht="60" customHeight="1" x14ac:dyDescent="0.15"/>
    <row r="700" ht="60" customHeight="1" x14ac:dyDescent="0.15"/>
    <row r="701" ht="60" customHeight="1" x14ac:dyDescent="0.15"/>
    <row r="702" ht="60" customHeight="1" x14ac:dyDescent="0.15"/>
    <row r="703" ht="60" customHeight="1" x14ac:dyDescent="0.15"/>
    <row r="704" ht="60" customHeight="1" x14ac:dyDescent="0.15"/>
    <row r="705" ht="60" customHeight="1" x14ac:dyDescent="0.15"/>
    <row r="706" ht="60" customHeight="1" x14ac:dyDescent="0.15"/>
    <row r="707" ht="60" customHeight="1" x14ac:dyDescent="0.15"/>
    <row r="708" ht="60" customHeight="1" x14ac:dyDescent="0.15"/>
    <row r="709" ht="60" customHeight="1" x14ac:dyDescent="0.15"/>
    <row r="710" ht="60" customHeight="1" x14ac:dyDescent="0.15"/>
    <row r="711" ht="60" customHeight="1" x14ac:dyDescent="0.15"/>
    <row r="712" ht="60" customHeight="1" x14ac:dyDescent="0.15"/>
    <row r="713" ht="60" customHeight="1" x14ac:dyDescent="0.15"/>
    <row r="714" ht="60" customHeight="1" x14ac:dyDescent="0.15"/>
    <row r="715" ht="60" customHeight="1" x14ac:dyDescent="0.15"/>
    <row r="716" ht="60" customHeight="1" x14ac:dyDescent="0.15"/>
    <row r="717" ht="60" customHeight="1" x14ac:dyDescent="0.15"/>
    <row r="718" ht="60" customHeight="1" x14ac:dyDescent="0.15"/>
    <row r="719" ht="60" customHeight="1" x14ac:dyDescent="0.15"/>
    <row r="720" ht="60" customHeight="1" x14ac:dyDescent="0.15"/>
    <row r="721" ht="60" customHeight="1" x14ac:dyDescent="0.15"/>
    <row r="722" ht="60" customHeight="1" x14ac:dyDescent="0.15"/>
    <row r="723" ht="60" customHeight="1" x14ac:dyDescent="0.15"/>
    <row r="724" ht="60" customHeight="1" x14ac:dyDescent="0.15"/>
    <row r="725" ht="60" customHeight="1" x14ac:dyDescent="0.15"/>
    <row r="726" ht="60" customHeight="1" x14ac:dyDescent="0.15"/>
    <row r="727" ht="60" customHeight="1" x14ac:dyDescent="0.15"/>
    <row r="728" ht="60" customHeight="1" x14ac:dyDescent="0.15"/>
    <row r="729" ht="60" customHeight="1" x14ac:dyDescent="0.15"/>
    <row r="730" ht="60" customHeight="1" x14ac:dyDescent="0.15"/>
    <row r="731" ht="60" customHeight="1" x14ac:dyDescent="0.15"/>
    <row r="732" ht="60" customHeight="1" x14ac:dyDescent="0.15"/>
    <row r="733" ht="60" customHeight="1" x14ac:dyDescent="0.15"/>
    <row r="734" ht="60" customHeight="1" x14ac:dyDescent="0.15"/>
    <row r="735" ht="60" customHeight="1" x14ac:dyDescent="0.15"/>
    <row r="736" ht="60" customHeight="1" x14ac:dyDescent="0.15"/>
    <row r="737" ht="60" customHeight="1" x14ac:dyDescent="0.15"/>
    <row r="738" ht="60" customHeight="1" x14ac:dyDescent="0.15"/>
    <row r="739" ht="60" customHeight="1" x14ac:dyDescent="0.15"/>
    <row r="740" ht="60" customHeight="1" x14ac:dyDescent="0.15"/>
    <row r="741" ht="60" customHeight="1" x14ac:dyDescent="0.15"/>
    <row r="742" ht="60" customHeight="1" x14ac:dyDescent="0.15"/>
    <row r="743" ht="60" customHeight="1" x14ac:dyDescent="0.15"/>
    <row r="744" ht="60" customHeight="1" x14ac:dyDescent="0.15"/>
    <row r="745" ht="60" customHeight="1" x14ac:dyDescent="0.15"/>
    <row r="746" ht="60" customHeight="1" x14ac:dyDescent="0.15"/>
    <row r="747" ht="60" customHeight="1" x14ac:dyDescent="0.15"/>
    <row r="748" ht="60" customHeight="1" x14ac:dyDescent="0.15"/>
    <row r="749" ht="60" customHeight="1" x14ac:dyDescent="0.15"/>
    <row r="750" ht="60" customHeight="1" x14ac:dyDescent="0.15"/>
    <row r="751" ht="60" customHeight="1" x14ac:dyDescent="0.15"/>
    <row r="752" ht="60" customHeight="1" x14ac:dyDescent="0.15"/>
    <row r="753" ht="60" customHeight="1" x14ac:dyDescent="0.15"/>
    <row r="754" ht="60" customHeight="1" x14ac:dyDescent="0.15"/>
    <row r="755" ht="60" customHeight="1" x14ac:dyDescent="0.15"/>
    <row r="756" ht="60" customHeight="1" x14ac:dyDescent="0.15"/>
    <row r="757" ht="60" customHeight="1" x14ac:dyDescent="0.15"/>
    <row r="758" ht="60" customHeight="1" x14ac:dyDescent="0.15"/>
    <row r="759" ht="60" customHeight="1" x14ac:dyDescent="0.15"/>
    <row r="760" ht="60" customHeight="1" x14ac:dyDescent="0.15"/>
    <row r="761" ht="60" customHeight="1" x14ac:dyDescent="0.15"/>
    <row r="762" ht="60" customHeight="1" x14ac:dyDescent="0.15"/>
    <row r="763" ht="60" customHeight="1" x14ac:dyDescent="0.15"/>
    <row r="764" ht="60" customHeight="1" x14ac:dyDescent="0.15"/>
    <row r="765" ht="60" customHeight="1" x14ac:dyDescent="0.15"/>
    <row r="766" ht="60" customHeight="1" x14ac:dyDescent="0.15"/>
    <row r="767" ht="60" customHeight="1" x14ac:dyDescent="0.15"/>
    <row r="768" ht="60" customHeight="1" x14ac:dyDescent="0.15"/>
    <row r="769" ht="60" customHeight="1" x14ac:dyDescent="0.15"/>
    <row r="770" ht="60" customHeight="1" x14ac:dyDescent="0.15"/>
    <row r="771" ht="60" customHeight="1" x14ac:dyDescent="0.15"/>
    <row r="772" ht="60" customHeight="1" x14ac:dyDescent="0.15"/>
    <row r="773" ht="60" customHeight="1" x14ac:dyDescent="0.15"/>
    <row r="774" ht="60" customHeight="1" x14ac:dyDescent="0.15"/>
    <row r="775" ht="60" customHeight="1" x14ac:dyDescent="0.15"/>
    <row r="776" ht="60" customHeight="1" x14ac:dyDescent="0.15"/>
    <row r="777" ht="60" customHeight="1" x14ac:dyDescent="0.15"/>
    <row r="778" ht="60" customHeight="1" x14ac:dyDescent="0.15"/>
    <row r="779" ht="60" customHeight="1" x14ac:dyDescent="0.15"/>
    <row r="780" ht="60" customHeight="1" x14ac:dyDescent="0.15"/>
    <row r="781" ht="60" customHeight="1" x14ac:dyDescent="0.15"/>
    <row r="782" ht="60" customHeight="1" x14ac:dyDescent="0.15"/>
    <row r="783" ht="60" customHeight="1" x14ac:dyDescent="0.15"/>
    <row r="784" ht="60" customHeight="1" x14ac:dyDescent="0.15"/>
    <row r="785" ht="60" customHeight="1" x14ac:dyDescent="0.15"/>
    <row r="786" ht="60" customHeight="1" x14ac:dyDescent="0.15"/>
    <row r="787" ht="60" customHeight="1" x14ac:dyDescent="0.15"/>
    <row r="788" ht="60" customHeight="1" x14ac:dyDescent="0.15"/>
    <row r="789" ht="60" customHeight="1" x14ac:dyDescent="0.15"/>
    <row r="790" ht="60" customHeight="1" x14ac:dyDescent="0.15"/>
    <row r="791" ht="60" customHeight="1" x14ac:dyDescent="0.15"/>
    <row r="792" ht="60" customHeight="1" x14ac:dyDescent="0.15"/>
    <row r="793" ht="60" customHeight="1" x14ac:dyDescent="0.15"/>
    <row r="794" ht="60" customHeight="1" x14ac:dyDescent="0.15"/>
    <row r="795" ht="60" customHeight="1" x14ac:dyDescent="0.15"/>
    <row r="796" ht="60" customHeight="1" x14ac:dyDescent="0.15"/>
    <row r="797" ht="60" customHeight="1" x14ac:dyDescent="0.15"/>
    <row r="798" ht="60" customHeight="1" x14ac:dyDescent="0.15"/>
    <row r="799" ht="60" customHeight="1" x14ac:dyDescent="0.15"/>
    <row r="800" ht="60" customHeight="1" x14ac:dyDescent="0.15"/>
    <row r="801" ht="60" customHeight="1" x14ac:dyDescent="0.15"/>
    <row r="802" ht="60" customHeight="1" x14ac:dyDescent="0.15"/>
    <row r="803" ht="60" customHeight="1" x14ac:dyDescent="0.15"/>
    <row r="804" ht="60" customHeight="1" x14ac:dyDescent="0.15"/>
    <row r="805" ht="60" customHeight="1" x14ac:dyDescent="0.15"/>
    <row r="806" ht="60" customHeight="1" x14ac:dyDescent="0.15"/>
    <row r="807" ht="60" customHeight="1" x14ac:dyDescent="0.15"/>
    <row r="808" ht="60" customHeight="1" x14ac:dyDescent="0.15"/>
    <row r="809" ht="60" customHeight="1" x14ac:dyDescent="0.15"/>
    <row r="810" ht="60" customHeight="1" x14ac:dyDescent="0.15"/>
    <row r="811" ht="60" customHeight="1" x14ac:dyDescent="0.15"/>
    <row r="812" ht="60" customHeight="1" x14ac:dyDescent="0.15"/>
    <row r="813" ht="60" customHeight="1" x14ac:dyDescent="0.15"/>
    <row r="814" ht="60" customHeight="1" x14ac:dyDescent="0.15"/>
    <row r="815" ht="60" customHeight="1" x14ac:dyDescent="0.15"/>
    <row r="816" ht="60" customHeight="1" x14ac:dyDescent="0.15"/>
    <row r="817" ht="60" customHeight="1" x14ac:dyDescent="0.15"/>
    <row r="818" ht="60" customHeight="1" x14ac:dyDescent="0.15"/>
    <row r="819" ht="60" customHeight="1" x14ac:dyDescent="0.15"/>
    <row r="820" ht="60" customHeight="1" x14ac:dyDescent="0.15"/>
    <row r="821" ht="60" customHeight="1" x14ac:dyDescent="0.15"/>
    <row r="822" ht="60" customHeight="1" x14ac:dyDescent="0.15"/>
    <row r="823" ht="60" customHeight="1" x14ac:dyDescent="0.15"/>
    <row r="824" ht="60" customHeight="1" x14ac:dyDescent="0.15"/>
    <row r="825" ht="60" customHeight="1" x14ac:dyDescent="0.15"/>
    <row r="826" ht="60" customHeight="1" x14ac:dyDescent="0.15"/>
    <row r="827" ht="60" customHeight="1" x14ac:dyDescent="0.15"/>
    <row r="828" ht="60" customHeight="1" x14ac:dyDescent="0.15"/>
    <row r="829" ht="60" customHeight="1" x14ac:dyDescent="0.15"/>
    <row r="830" ht="60" customHeight="1" x14ac:dyDescent="0.15"/>
    <row r="831" ht="60" customHeight="1" x14ac:dyDescent="0.15"/>
    <row r="832" ht="60" customHeight="1" x14ac:dyDescent="0.15"/>
    <row r="833" ht="60" customHeight="1" x14ac:dyDescent="0.15"/>
    <row r="834" ht="60" customHeight="1" x14ac:dyDescent="0.15"/>
    <row r="835" ht="60" customHeight="1" x14ac:dyDescent="0.15"/>
    <row r="836" ht="60" customHeight="1" x14ac:dyDescent="0.15"/>
    <row r="837" ht="60" customHeight="1" x14ac:dyDescent="0.15"/>
    <row r="838" ht="60" customHeight="1" x14ac:dyDescent="0.15"/>
    <row r="839" ht="60" customHeight="1" x14ac:dyDescent="0.15"/>
    <row r="840" ht="60" customHeight="1" x14ac:dyDescent="0.15"/>
    <row r="841" ht="60" customHeight="1" x14ac:dyDescent="0.15"/>
    <row r="842" ht="60" customHeight="1" x14ac:dyDescent="0.15"/>
    <row r="843" ht="60" customHeight="1" x14ac:dyDescent="0.15"/>
    <row r="844" ht="60" customHeight="1" x14ac:dyDescent="0.15"/>
    <row r="845" ht="60" customHeight="1" x14ac:dyDescent="0.15"/>
    <row r="846" ht="60" customHeight="1" x14ac:dyDescent="0.15"/>
    <row r="847" ht="60" customHeight="1" x14ac:dyDescent="0.15"/>
    <row r="848" ht="60" customHeight="1" x14ac:dyDescent="0.15"/>
    <row r="849" ht="60" customHeight="1" x14ac:dyDescent="0.15"/>
    <row r="850" ht="60" customHeight="1" x14ac:dyDescent="0.15"/>
    <row r="851" ht="60" customHeight="1" x14ac:dyDescent="0.15"/>
    <row r="852" ht="60" customHeight="1" x14ac:dyDescent="0.15"/>
    <row r="853" ht="60" customHeight="1" x14ac:dyDescent="0.15"/>
    <row r="854" ht="60" customHeight="1" x14ac:dyDescent="0.15"/>
    <row r="855" ht="60" customHeight="1" x14ac:dyDescent="0.15"/>
    <row r="856" ht="60" customHeight="1" x14ac:dyDescent="0.15"/>
    <row r="857" ht="60" customHeight="1" x14ac:dyDescent="0.15"/>
    <row r="858" ht="60" customHeight="1" x14ac:dyDescent="0.15"/>
    <row r="859" ht="60" customHeight="1" x14ac:dyDescent="0.15"/>
    <row r="860" ht="60" customHeight="1" x14ac:dyDescent="0.15"/>
    <row r="861" ht="60" customHeight="1" x14ac:dyDescent="0.15"/>
    <row r="862" ht="60" customHeight="1" x14ac:dyDescent="0.15"/>
    <row r="863" ht="60" customHeight="1" x14ac:dyDescent="0.15"/>
    <row r="864" ht="60" customHeight="1" x14ac:dyDescent="0.15"/>
    <row r="865" ht="60" customHeight="1" x14ac:dyDescent="0.15"/>
    <row r="866" ht="60" customHeight="1" x14ac:dyDescent="0.15"/>
    <row r="867" ht="60" customHeight="1" x14ac:dyDescent="0.15"/>
    <row r="868" ht="60" customHeight="1" x14ac:dyDescent="0.15"/>
    <row r="869" ht="60" customHeight="1" x14ac:dyDescent="0.15"/>
    <row r="870" ht="60" customHeight="1" x14ac:dyDescent="0.15"/>
    <row r="871" ht="60" customHeight="1" x14ac:dyDescent="0.15"/>
    <row r="872" ht="60" customHeight="1" x14ac:dyDescent="0.15"/>
    <row r="873" ht="60" customHeight="1" x14ac:dyDescent="0.15"/>
    <row r="874" ht="60" customHeight="1" x14ac:dyDescent="0.15"/>
    <row r="875" ht="60" customHeight="1" x14ac:dyDescent="0.15"/>
    <row r="876" ht="60" customHeight="1" x14ac:dyDescent="0.15"/>
    <row r="877" ht="60" customHeight="1" x14ac:dyDescent="0.15"/>
    <row r="878" ht="60" customHeight="1" x14ac:dyDescent="0.15"/>
    <row r="879" ht="60" customHeight="1" x14ac:dyDescent="0.15"/>
    <row r="880" ht="60" customHeight="1" x14ac:dyDescent="0.15"/>
    <row r="881" ht="60" customHeight="1" x14ac:dyDescent="0.15"/>
    <row r="882" ht="60" customHeight="1" x14ac:dyDescent="0.15"/>
    <row r="883" ht="60" customHeight="1" x14ac:dyDescent="0.15"/>
    <row r="884" ht="60" customHeight="1" x14ac:dyDescent="0.15"/>
    <row r="885" ht="60" customHeight="1" x14ac:dyDescent="0.15"/>
    <row r="886" ht="60" customHeight="1" x14ac:dyDescent="0.15"/>
    <row r="887" ht="60" customHeight="1" x14ac:dyDescent="0.15"/>
    <row r="888" ht="60" customHeight="1" x14ac:dyDescent="0.15"/>
    <row r="889" ht="60" customHeight="1" x14ac:dyDescent="0.15"/>
    <row r="890" ht="60" customHeight="1" x14ac:dyDescent="0.15"/>
    <row r="891" ht="60" customHeight="1" x14ac:dyDescent="0.15"/>
    <row r="892" ht="60" customHeight="1" x14ac:dyDescent="0.15"/>
    <row r="893" ht="60" customHeight="1" x14ac:dyDescent="0.15"/>
    <row r="894" ht="60" customHeight="1" x14ac:dyDescent="0.15"/>
    <row r="895" ht="60" customHeight="1" x14ac:dyDescent="0.15"/>
    <row r="896" ht="60" customHeight="1" x14ac:dyDescent="0.15"/>
    <row r="897" ht="60" customHeight="1" x14ac:dyDescent="0.15"/>
    <row r="898" ht="60" customHeight="1" x14ac:dyDescent="0.15"/>
    <row r="899" ht="60" customHeight="1" x14ac:dyDescent="0.15"/>
    <row r="900" ht="60" customHeight="1" x14ac:dyDescent="0.15"/>
    <row r="901" ht="60" customHeight="1" x14ac:dyDescent="0.15"/>
    <row r="902" ht="60" customHeight="1" x14ac:dyDescent="0.15"/>
    <row r="903" ht="60" customHeight="1" x14ac:dyDescent="0.15"/>
    <row r="904" ht="60" customHeight="1" x14ac:dyDescent="0.15"/>
    <row r="905" ht="60" customHeight="1" x14ac:dyDescent="0.15"/>
    <row r="906" ht="60" customHeight="1" x14ac:dyDescent="0.15"/>
    <row r="907" ht="60" customHeight="1" x14ac:dyDescent="0.15"/>
    <row r="908" ht="60" customHeight="1" x14ac:dyDescent="0.15"/>
    <row r="909" ht="60" customHeight="1" x14ac:dyDescent="0.15"/>
    <row r="910" ht="60" customHeight="1" x14ac:dyDescent="0.15"/>
    <row r="911" ht="60" customHeight="1" x14ac:dyDescent="0.15"/>
    <row r="912" ht="60" customHeight="1" x14ac:dyDescent="0.15"/>
    <row r="913" ht="60" customHeight="1" x14ac:dyDescent="0.15"/>
    <row r="914" ht="60" customHeight="1" x14ac:dyDescent="0.15"/>
    <row r="915" ht="60" customHeight="1" x14ac:dyDescent="0.15"/>
    <row r="916" ht="60" customHeight="1" x14ac:dyDescent="0.15"/>
    <row r="917" ht="60" customHeight="1" x14ac:dyDescent="0.15"/>
    <row r="918" ht="60" customHeight="1" x14ac:dyDescent="0.15"/>
    <row r="919" ht="60" customHeight="1" x14ac:dyDescent="0.15"/>
    <row r="920" ht="60" customHeight="1" x14ac:dyDescent="0.15"/>
    <row r="921" ht="60" customHeight="1" x14ac:dyDescent="0.15"/>
    <row r="922" ht="60" customHeight="1" x14ac:dyDescent="0.15"/>
    <row r="923" ht="60" customHeight="1" x14ac:dyDescent="0.15"/>
    <row r="924" ht="60" customHeight="1" x14ac:dyDescent="0.15"/>
    <row r="925" ht="60" customHeight="1" x14ac:dyDescent="0.15"/>
    <row r="926" ht="60" customHeight="1" x14ac:dyDescent="0.15"/>
    <row r="927" ht="60" customHeight="1" x14ac:dyDescent="0.15"/>
    <row r="928" ht="60" customHeight="1" x14ac:dyDescent="0.15"/>
    <row r="929" ht="60" customHeight="1" x14ac:dyDescent="0.15"/>
    <row r="930" ht="60" customHeight="1" x14ac:dyDescent="0.15"/>
    <row r="931" ht="60" customHeight="1" x14ac:dyDescent="0.15"/>
    <row r="932" ht="60" customHeight="1" x14ac:dyDescent="0.15"/>
    <row r="933" ht="60" customHeight="1" x14ac:dyDescent="0.15"/>
    <row r="934" ht="60" customHeight="1" x14ac:dyDescent="0.15"/>
    <row r="935" ht="60" customHeight="1" x14ac:dyDescent="0.15"/>
    <row r="936" ht="60" customHeight="1" x14ac:dyDescent="0.15"/>
    <row r="937" ht="60" customHeight="1" x14ac:dyDescent="0.15"/>
    <row r="938" ht="60" customHeight="1" x14ac:dyDescent="0.15"/>
    <row r="939" ht="60" customHeight="1" x14ac:dyDescent="0.15"/>
    <row r="940" ht="60" customHeight="1" x14ac:dyDescent="0.15"/>
    <row r="941" ht="60" customHeight="1" x14ac:dyDescent="0.15"/>
    <row r="942" ht="60" customHeight="1" x14ac:dyDescent="0.15"/>
    <row r="943" ht="60" customHeight="1" x14ac:dyDescent="0.15"/>
    <row r="944" ht="60" customHeight="1" x14ac:dyDescent="0.15"/>
    <row r="945" ht="60" customHeight="1" x14ac:dyDescent="0.15"/>
    <row r="946" ht="60" customHeight="1" x14ac:dyDescent="0.15"/>
    <row r="947" ht="60" customHeight="1" x14ac:dyDescent="0.15"/>
    <row r="948" ht="60" customHeight="1" x14ac:dyDescent="0.15"/>
    <row r="949" ht="60" customHeight="1" x14ac:dyDescent="0.15"/>
    <row r="950" ht="60" customHeight="1" x14ac:dyDescent="0.15"/>
    <row r="951" ht="60" customHeight="1" x14ac:dyDescent="0.15"/>
    <row r="952" ht="60" customHeight="1" x14ac:dyDescent="0.15"/>
    <row r="953" ht="60" customHeight="1" x14ac:dyDescent="0.15"/>
    <row r="954" ht="60" customHeight="1" x14ac:dyDescent="0.15"/>
    <row r="955" ht="60" customHeight="1" x14ac:dyDescent="0.15"/>
    <row r="956" ht="60" customHeight="1" x14ac:dyDescent="0.15"/>
    <row r="957" ht="60" customHeight="1" x14ac:dyDescent="0.15"/>
    <row r="958" ht="60" customHeight="1" x14ac:dyDescent="0.15"/>
    <row r="959" ht="60" customHeight="1" x14ac:dyDescent="0.15"/>
    <row r="960" ht="60" customHeight="1" x14ac:dyDescent="0.15"/>
    <row r="961" ht="60" customHeight="1" x14ac:dyDescent="0.15"/>
    <row r="962" ht="60" customHeight="1" x14ac:dyDescent="0.15"/>
    <row r="963" ht="60" customHeight="1" x14ac:dyDescent="0.15"/>
    <row r="964" ht="60" customHeight="1" x14ac:dyDescent="0.15"/>
    <row r="965" ht="60" customHeight="1" x14ac:dyDescent="0.15"/>
    <row r="966" ht="60" customHeight="1" x14ac:dyDescent="0.15"/>
    <row r="967" ht="60" customHeight="1" x14ac:dyDescent="0.15"/>
    <row r="968" ht="60" customHeight="1" x14ac:dyDescent="0.15"/>
    <row r="969" ht="60" customHeight="1" x14ac:dyDescent="0.15"/>
    <row r="970" ht="60" customHeight="1" x14ac:dyDescent="0.15"/>
    <row r="971" ht="60" customHeight="1" x14ac:dyDescent="0.15"/>
    <row r="972" ht="60" customHeight="1" x14ac:dyDescent="0.15"/>
    <row r="973" ht="60" customHeight="1" x14ac:dyDescent="0.15"/>
    <row r="974" ht="60" customHeight="1" x14ac:dyDescent="0.15"/>
    <row r="975" ht="60" customHeight="1" x14ac:dyDescent="0.15"/>
    <row r="976" ht="60" customHeight="1" x14ac:dyDescent="0.15"/>
    <row r="977" ht="60" customHeight="1" x14ac:dyDescent="0.15"/>
    <row r="978" ht="60" customHeight="1" x14ac:dyDescent="0.15"/>
    <row r="979" ht="60" customHeight="1" x14ac:dyDescent="0.15"/>
    <row r="980" ht="60" customHeight="1" x14ac:dyDescent="0.15"/>
    <row r="981" ht="60" customHeight="1" x14ac:dyDescent="0.15"/>
    <row r="982" ht="60" customHeight="1" x14ac:dyDescent="0.15"/>
    <row r="983" ht="60" customHeight="1" x14ac:dyDescent="0.15"/>
    <row r="984" ht="60" customHeight="1" x14ac:dyDescent="0.15"/>
    <row r="985" ht="60" customHeight="1" x14ac:dyDescent="0.15"/>
    <row r="986" ht="60" customHeight="1" x14ac:dyDescent="0.15"/>
    <row r="987" ht="60" customHeight="1" x14ac:dyDescent="0.15"/>
    <row r="988" ht="60" customHeight="1" x14ac:dyDescent="0.15"/>
    <row r="989" ht="60" customHeight="1" x14ac:dyDescent="0.15"/>
    <row r="990" ht="60" customHeight="1" x14ac:dyDescent="0.15"/>
    <row r="991" ht="60" customHeight="1" x14ac:dyDescent="0.15"/>
    <row r="992" ht="60" customHeight="1" x14ac:dyDescent="0.15"/>
    <row r="993" ht="60" customHeight="1" x14ac:dyDescent="0.15"/>
    <row r="994" ht="60" customHeight="1" x14ac:dyDescent="0.15"/>
    <row r="995" ht="60" customHeight="1" x14ac:dyDescent="0.15"/>
    <row r="996" ht="60" customHeight="1" x14ac:dyDescent="0.15"/>
    <row r="997" ht="60" customHeight="1" x14ac:dyDescent="0.15"/>
    <row r="998" ht="60" customHeight="1" x14ac:dyDescent="0.15"/>
    <row r="999" ht="60" customHeight="1" x14ac:dyDescent="0.15"/>
    <row r="1000" ht="60" customHeight="1" x14ac:dyDescent="0.15"/>
    <row r="1001" ht="60" customHeight="1" x14ac:dyDescent="0.15"/>
    <row r="1002" ht="60" customHeight="1" x14ac:dyDescent="0.15"/>
    <row r="1003" ht="60" customHeight="1" x14ac:dyDescent="0.15"/>
    <row r="1004" ht="60" customHeight="1" x14ac:dyDescent="0.15"/>
    <row r="1005" ht="60" customHeight="1" x14ac:dyDescent="0.15"/>
    <row r="1006" ht="60" customHeight="1" x14ac:dyDescent="0.15"/>
    <row r="1007" ht="60" customHeight="1" x14ac:dyDescent="0.15"/>
    <row r="1008" ht="60" customHeight="1" x14ac:dyDescent="0.15"/>
    <row r="1009" ht="60" customHeight="1" x14ac:dyDescent="0.15"/>
    <row r="1010" ht="60" customHeight="1" x14ac:dyDescent="0.15"/>
    <row r="1011" ht="60" customHeight="1" x14ac:dyDescent="0.15"/>
    <row r="1012" ht="60" customHeight="1" x14ac:dyDescent="0.15"/>
    <row r="1013" ht="60" customHeight="1" x14ac:dyDescent="0.15"/>
    <row r="1014" ht="60" customHeight="1" x14ac:dyDescent="0.15"/>
    <row r="1015" ht="60" customHeight="1" x14ac:dyDescent="0.15"/>
    <row r="1016" ht="60" customHeight="1" x14ac:dyDescent="0.15"/>
    <row r="1017" ht="60" customHeight="1" x14ac:dyDescent="0.15"/>
    <row r="1018" ht="60" customHeight="1" x14ac:dyDescent="0.15"/>
    <row r="1019" ht="60" customHeight="1" x14ac:dyDescent="0.15"/>
    <row r="1020" ht="60" customHeight="1" x14ac:dyDescent="0.15"/>
    <row r="1021" ht="60" customHeight="1" x14ac:dyDescent="0.15"/>
    <row r="1022" ht="60" customHeight="1" x14ac:dyDescent="0.15"/>
    <row r="1023" ht="60" customHeight="1" x14ac:dyDescent="0.15"/>
    <row r="1024" ht="60" customHeight="1" x14ac:dyDescent="0.15"/>
    <row r="1025" ht="60" customHeight="1" x14ac:dyDescent="0.15"/>
    <row r="1026" ht="60" customHeight="1" x14ac:dyDescent="0.15"/>
    <row r="1027" ht="60" customHeight="1" x14ac:dyDescent="0.15"/>
    <row r="1028" ht="60" customHeight="1" x14ac:dyDescent="0.15"/>
    <row r="1029" ht="60" customHeight="1" x14ac:dyDescent="0.15"/>
    <row r="1030" ht="60" customHeight="1" x14ac:dyDescent="0.15"/>
    <row r="1031" ht="60" customHeight="1" x14ac:dyDescent="0.15"/>
    <row r="1032" ht="60" customHeight="1" x14ac:dyDescent="0.15"/>
    <row r="1033" ht="60" customHeight="1" x14ac:dyDescent="0.15"/>
    <row r="1034" ht="60" customHeight="1" x14ac:dyDescent="0.15"/>
    <row r="1035" ht="60" customHeight="1" x14ac:dyDescent="0.15"/>
    <row r="1036" ht="60" customHeight="1" x14ac:dyDescent="0.15"/>
    <row r="1037" ht="60" customHeight="1" x14ac:dyDescent="0.15"/>
    <row r="1038" ht="60" customHeight="1" x14ac:dyDescent="0.15"/>
    <row r="1039" ht="60" customHeight="1" x14ac:dyDescent="0.15"/>
    <row r="1040" ht="60" customHeight="1" x14ac:dyDescent="0.15"/>
    <row r="1041" ht="60" customHeight="1" x14ac:dyDescent="0.15"/>
    <row r="1042" ht="60" customHeight="1" x14ac:dyDescent="0.15"/>
    <row r="1043" ht="60" customHeight="1" x14ac:dyDescent="0.15"/>
    <row r="1044" ht="60" customHeight="1" x14ac:dyDescent="0.15"/>
    <row r="1045" ht="60" customHeight="1" x14ac:dyDescent="0.15"/>
    <row r="1046" ht="60" customHeight="1" x14ac:dyDescent="0.15"/>
    <row r="1047" ht="60" customHeight="1" x14ac:dyDescent="0.15"/>
    <row r="1048" ht="60" customHeight="1" x14ac:dyDescent="0.15"/>
    <row r="1049" ht="60" customHeight="1" x14ac:dyDescent="0.15"/>
    <row r="1050" ht="60" customHeight="1" x14ac:dyDescent="0.15"/>
    <row r="1051" ht="60" customHeight="1" x14ac:dyDescent="0.15"/>
    <row r="1052" ht="60" customHeight="1" x14ac:dyDescent="0.15"/>
    <row r="1053" ht="60" customHeight="1" x14ac:dyDescent="0.15"/>
    <row r="1054" ht="60" customHeight="1" x14ac:dyDescent="0.15"/>
    <row r="1055" ht="60" customHeight="1" x14ac:dyDescent="0.15"/>
    <row r="1056" ht="60" customHeight="1" x14ac:dyDescent="0.15"/>
    <row r="1057" ht="60" customHeight="1" x14ac:dyDescent="0.15"/>
    <row r="1058" ht="60" customHeight="1" x14ac:dyDescent="0.15"/>
    <row r="1059" ht="60" customHeight="1" x14ac:dyDescent="0.15"/>
    <row r="1060" ht="60" customHeight="1" x14ac:dyDescent="0.15"/>
    <row r="1061" ht="60" customHeight="1" x14ac:dyDescent="0.15"/>
    <row r="1062" ht="60" customHeight="1" x14ac:dyDescent="0.15"/>
    <row r="1063" ht="60" customHeight="1" x14ac:dyDescent="0.15"/>
    <row r="1064" ht="60" customHeight="1" x14ac:dyDescent="0.15"/>
    <row r="1065" ht="60" customHeight="1" x14ac:dyDescent="0.15"/>
    <row r="1066" ht="60" customHeight="1" x14ac:dyDescent="0.15"/>
    <row r="1067" ht="60" customHeight="1" x14ac:dyDescent="0.15"/>
    <row r="1068" ht="60" customHeight="1" x14ac:dyDescent="0.15"/>
    <row r="1069" ht="60" customHeight="1" x14ac:dyDescent="0.15"/>
    <row r="1070" ht="60" customHeight="1" x14ac:dyDescent="0.15"/>
    <row r="1071" ht="60" customHeight="1" x14ac:dyDescent="0.15"/>
    <row r="1072" ht="60" customHeight="1" x14ac:dyDescent="0.15"/>
    <row r="1073" ht="60" customHeight="1" x14ac:dyDescent="0.15"/>
    <row r="1074" ht="60" customHeight="1" x14ac:dyDescent="0.15"/>
    <row r="1075" ht="60" customHeight="1" x14ac:dyDescent="0.15"/>
    <row r="1076" ht="60" customHeight="1" x14ac:dyDescent="0.15"/>
    <row r="1077" ht="60" customHeight="1" x14ac:dyDescent="0.15"/>
    <row r="1078" ht="60" customHeight="1" x14ac:dyDescent="0.15"/>
    <row r="1079" ht="60" customHeight="1" x14ac:dyDescent="0.15"/>
    <row r="1080" ht="60" customHeight="1" x14ac:dyDescent="0.15"/>
    <row r="1081" ht="60" customHeight="1" x14ac:dyDescent="0.15"/>
    <row r="1082" ht="60" customHeight="1" x14ac:dyDescent="0.15"/>
    <row r="1083" ht="60" customHeight="1" x14ac:dyDescent="0.15"/>
    <row r="1084" ht="60" customHeight="1" x14ac:dyDescent="0.15"/>
    <row r="1085" ht="60" customHeight="1" x14ac:dyDescent="0.15"/>
    <row r="1086" ht="60" customHeight="1" x14ac:dyDescent="0.15"/>
    <row r="1087" ht="60" customHeight="1" x14ac:dyDescent="0.15"/>
    <row r="1088" ht="60" customHeight="1" x14ac:dyDescent="0.15"/>
    <row r="1089" ht="60" customHeight="1" x14ac:dyDescent="0.15"/>
    <row r="1090" ht="60" customHeight="1" x14ac:dyDescent="0.15"/>
    <row r="1091" ht="60" customHeight="1" x14ac:dyDescent="0.15"/>
    <row r="1092" ht="60" customHeight="1" x14ac:dyDescent="0.15"/>
    <row r="1093" ht="60" customHeight="1" x14ac:dyDescent="0.15"/>
    <row r="1094" ht="60" customHeight="1" x14ac:dyDescent="0.15"/>
    <row r="1095" ht="60" customHeight="1" x14ac:dyDescent="0.15"/>
    <row r="1096" ht="60" customHeight="1" x14ac:dyDescent="0.15"/>
    <row r="1097" ht="60" customHeight="1" x14ac:dyDescent="0.15"/>
    <row r="1098" ht="60" customHeight="1" x14ac:dyDescent="0.15"/>
    <row r="1099" ht="60" customHeight="1" x14ac:dyDescent="0.15"/>
    <row r="1100" ht="60" customHeight="1" x14ac:dyDescent="0.15"/>
    <row r="1101" ht="60" customHeight="1" x14ac:dyDescent="0.15"/>
    <row r="1102" ht="60" customHeight="1" x14ac:dyDescent="0.15"/>
    <row r="1103" ht="60" customHeight="1" x14ac:dyDescent="0.15"/>
    <row r="1104" ht="60" customHeight="1" x14ac:dyDescent="0.15"/>
    <row r="1105" ht="60" customHeight="1" x14ac:dyDescent="0.15"/>
    <row r="1106" ht="60" customHeight="1" x14ac:dyDescent="0.15"/>
    <row r="1107" ht="60" customHeight="1" x14ac:dyDescent="0.15"/>
    <row r="1108" ht="60" customHeight="1" x14ac:dyDescent="0.15"/>
    <row r="1109" ht="60" customHeight="1" x14ac:dyDescent="0.15"/>
    <row r="1110" ht="60" customHeight="1" x14ac:dyDescent="0.15"/>
    <row r="1111" ht="60" customHeight="1" x14ac:dyDescent="0.15"/>
    <row r="1112" ht="60" customHeight="1" x14ac:dyDescent="0.15"/>
    <row r="1113" ht="60" customHeight="1" x14ac:dyDescent="0.15"/>
    <row r="1114" ht="60" customHeight="1" x14ac:dyDescent="0.15"/>
    <row r="1115" ht="60" customHeight="1" x14ac:dyDescent="0.15"/>
    <row r="1116" ht="60" customHeight="1" x14ac:dyDescent="0.15"/>
    <row r="1117" ht="60" customHeight="1" x14ac:dyDescent="0.15"/>
    <row r="1118" ht="60" customHeight="1" x14ac:dyDescent="0.15"/>
    <row r="1119" ht="60" customHeight="1" x14ac:dyDescent="0.15"/>
    <row r="1120" ht="60" customHeight="1" x14ac:dyDescent="0.15"/>
    <row r="1121" ht="60" customHeight="1" x14ac:dyDescent="0.15"/>
    <row r="1122" ht="60" customHeight="1" x14ac:dyDescent="0.15"/>
    <row r="1123" ht="60" customHeight="1" x14ac:dyDescent="0.15"/>
    <row r="1124" ht="60" customHeight="1" x14ac:dyDescent="0.15"/>
    <row r="1125" ht="60" customHeight="1" x14ac:dyDescent="0.15"/>
    <row r="1126" ht="60" customHeight="1" x14ac:dyDescent="0.15"/>
    <row r="1127" ht="60" customHeight="1" x14ac:dyDescent="0.15"/>
    <row r="1128" ht="60" customHeight="1" x14ac:dyDescent="0.15"/>
    <row r="1129" ht="60" customHeight="1" x14ac:dyDescent="0.15"/>
    <row r="1130" ht="60" customHeight="1" x14ac:dyDescent="0.15"/>
    <row r="1131" ht="60" customHeight="1" x14ac:dyDescent="0.15"/>
    <row r="1132" ht="60" customHeight="1" x14ac:dyDescent="0.15"/>
    <row r="1133" ht="60" customHeight="1" x14ac:dyDescent="0.15"/>
    <row r="1134" ht="60" customHeight="1" x14ac:dyDescent="0.15"/>
    <row r="1135" ht="60" customHeight="1" x14ac:dyDescent="0.15"/>
    <row r="1136" ht="60" customHeight="1" x14ac:dyDescent="0.15"/>
    <row r="1137" ht="60" customHeight="1" x14ac:dyDescent="0.15"/>
    <row r="1138" ht="60" customHeight="1" x14ac:dyDescent="0.15"/>
    <row r="1139" ht="60" customHeight="1" x14ac:dyDescent="0.15"/>
    <row r="1140" ht="60" customHeight="1" x14ac:dyDescent="0.15"/>
    <row r="1141" ht="60" customHeight="1" x14ac:dyDescent="0.15"/>
    <row r="1142" ht="60" customHeight="1" x14ac:dyDescent="0.15"/>
    <row r="1143" ht="60" customHeight="1" x14ac:dyDescent="0.15"/>
    <row r="1144" ht="60" customHeight="1" x14ac:dyDescent="0.15"/>
    <row r="1145" ht="60" customHeight="1" x14ac:dyDescent="0.15"/>
    <row r="1146" ht="60" customHeight="1" x14ac:dyDescent="0.15"/>
    <row r="1147" ht="60" customHeight="1" x14ac:dyDescent="0.15"/>
    <row r="1148" ht="60" customHeight="1" x14ac:dyDescent="0.15"/>
    <row r="1149" ht="60" customHeight="1" x14ac:dyDescent="0.15"/>
    <row r="1150" ht="60" customHeight="1" x14ac:dyDescent="0.15"/>
    <row r="1151" ht="60" customHeight="1" x14ac:dyDescent="0.15"/>
    <row r="1152" ht="60" customHeight="1" x14ac:dyDescent="0.15"/>
    <row r="1153" ht="60" customHeight="1" x14ac:dyDescent="0.15"/>
    <row r="1154" ht="60" customHeight="1" x14ac:dyDescent="0.15"/>
    <row r="1155" ht="60" customHeight="1" x14ac:dyDescent="0.15"/>
    <row r="1156" ht="60" customHeight="1" x14ac:dyDescent="0.15"/>
    <row r="1157" ht="60" customHeight="1" x14ac:dyDescent="0.15"/>
    <row r="1158" ht="60" customHeight="1" x14ac:dyDescent="0.15"/>
    <row r="1159" ht="60" customHeight="1" x14ac:dyDescent="0.15"/>
    <row r="1160" ht="60" customHeight="1" x14ac:dyDescent="0.15"/>
    <row r="1161" ht="60" customHeight="1" x14ac:dyDescent="0.15"/>
    <row r="1162" ht="60" customHeight="1" x14ac:dyDescent="0.15"/>
    <row r="1163" ht="60" customHeight="1" x14ac:dyDescent="0.15"/>
    <row r="1164" ht="60" customHeight="1" x14ac:dyDescent="0.15"/>
    <row r="1165" ht="60" customHeight="1" x14ac:dyDescent="0.15"/>
    <row r="1166" ht="60" customHeight="1" x14ac:dyDescent="0.15"/>
    <row r="1167" ht="60" customHeight="1" x14ac:dyDescent="0.15"/>
    <row r="1168" ht="60" customHeight="1" x14ac:dyDescent="0.15"/>
    <row r="1169" ht="60" customHeight="1" x14ac:dyDescent="0.15"/>
    <row r="1170" ht="60" customHeight="1" x14ac:dyDescent="0.15"/>
    <row r="1171" ht="60" customHeight="1" x14ac:dyDescent="0.15"/>
    <row r="1172" ht="60" customHeight="1" x14ac:dyDescent="0.15"/>
    <row r="1173" ht="60" customHeight="1" x14ac:dyDescent="0.15"/>
    <row r="1174" ht="60" customHeight="1" x14ac:dyDescent="0.15"/>
    <row r="1175" ht="60" customHeight="1" x14ac:dyDescent="0.15"/>
    <row r="1176" ht="60" customHeight="1" x14ac:dyDescent="0.15"/>
    <row r="1177" ht="60" customHeight="1" x14ac:dyDescent="0.15"/>
    <row r="1178" ht="60" customHeight="1" x14ac:dyDescent="0.15"/>
    <row r="1179" ht="60" customHeight="1" x14ac:dyDescent="0.15"/>
    <row r="1180" ht="60" customHeight="1" x14ac:dyDescent="0.15"/>
    <row r="1181" ht="60" customHeight="1" x14ac:dyDescent="0.15"/>
    <row r="1182" ht="60" customHeight="1" x14ac:dyDescent="0.15"/>
    <row r="1183" ht="60" customHeight="1" x14ac:dyDescent="0.15"/>
    <row r="1184" ht="60" customHeight="1" x14ac:dyDescent="0.15"/>
    <row r="1185" ht="60" customHeight="1" x14ac:dyDescent="0.15"/>
    <row r="1186" ht="60" customHeight="1" x14ac:dyDescent="0.15"/>
    <row r="1187" ht="60" customHeight="1" x14ac:dyDescent="0.15"/>
    <row r="1188" ht="60" customHeight="1" x14ac:dyDescent="0.15"/>
    <row r="1189" ht="60" customHeight="1" x14ac:dyDescent="0.15"/>
    <row r="1190" ht="60" customHeight="1" x14ac:dyDescent="0.15"/>
    <row r="1191" ht="60" customHeight="1" x14ac:dyDescent="0.15"/>
    <row r="1192" ht="60" customHeight="1" x14ac:dyDescent="0.15"/>
    <row r="1193" ht="60" customHeight="1" x14ac:dyDescent="0.15"/>
    <row r="1194" ht="60" customHeight="1" x14ac:dyDescent="0.15"/>
    <row r="1195" ht="60" customHeight="1" x14ac:dyDescent="0.15"/>
    <row r="1196" ht="60" customHeight="1" x14ac:dyDescent="0.15"/>
    <row r="1197" ht="60" customHeight="1" x14ac:dyDescent="0.15"/>
    <row r="1198" ht="60" customHeight="1" x14ac:dyDescent="0.15"/>
    <row r="1199" ht="60" customHeight="1" x14ac:dyDescent="0.15"/>
    <row r="1200" ht="60" customHeight="1" x14ac:dyDescent="0.15"/>
    <row r="1201" ht="60" customHeight="1" x14ac:dyDescent="0.15"/>
    <row r="1202" ht="60" customHeight="1" x14ac:dyDescent="0.15"/>
    <row r="1203" ht="60" customHeight="1" x14ac:dyDescent="0.15"/>
    <row r="1204" ht="60" customHeight="1" x14ac:dyDescent="0.15"/>
    <row r="1205" ht="60" customHeight="1" x14ac:dyDescent="0.15"/>
    <row r="1206" ht="60" customHeight="1" x14ac:dyDescent="0.15"/>
    <row r="1207" ht="60" customHeight="1" x14ac:dyDescent="0.15"/>
    <row r="1208" ht="60" customHeight="1" x14ac:dyDescent="0.15"/>
    <row r="1209" ht="60" customHeight="1" x14ac:dyDescent="0.15"/>
    <row r="1210" ht="60" customHeight="1" x14ac:dyDescent="0.15"/>
    <row r="1211" ht="60" customHeight="1" x14ac:dyDescent="0.15"/>
    <row r="1212" ht="60" customHeight="1" x14ac:dyDescent="0.15"/>
    <row r="1213" ht="60" customHeight="1" x14ac:dyDescent="0.15"/>
    <row r="1214" ht="60" customHeight="1" x14ac:dyDescent="0.15"/>
    <row r="1215" ht="60" customHeight="1" x14ac:dyDescent="0.15"/>
    <row r="1216" ht="60" customHeight="1" x14ac:dyDescent="0.15"/>
    <row r="1217" ht="60" customHeight="1" x14ac:dyDescent="0.15"/>
    <row r="1218" ht="60" customHeight="1" x14ac:dyDescent="0.15"/>
    <row r="1219" ht="60" customHeight="1" x14ac:dyDescent="0.15"/>
    <row r="1220" ht="60" customHeight="1" x14ac:dyDescent="0.15"/>
    <row r="1221" ht="60" customHeight="1" x14ac:dyDescent="0.15"/>
    <row r="1222" ht="60" customHeight="1" x14ac:dyDescent="0.15"/>
    <row r="1223" ht="60" customHeight="1" x14ac:dyDescent="0.15"/>
    <row r="1224" ht="60" customHeight="1" x14ac:dyDescent="0.15"/>
    <row r="1225" ht="60" customHeight="1" x14ac:dyDescent="0.15"/>
    <row r="1226" ht="60" customHeight="1" x14ac:dyDescent="0.15"/>
    <row r="1227" ht="60" customHeight="1" x14ac:dyDescent="0.15"/>
    <row r="1228" ht="60" customHeight="1" x14ac:dyDescent="0.15"/>
    <row r="1229" ht="60" customHeight="1" x14ac:dyDescent="0.15"/>
    <row r="1230" ht="60" customHeight="1" x14ac:dyDescent="0.15"/>
    <row r="1231" ht="60" customHeight="1" x14ac:dyDescent="0.15"/>
    <row r="1232" ht="60" customHeight="1" x14ac:dyDescent="0.15"/>
    <row r="1233" ht="60" customHeight="1" x14ac:dyDescent="0.15"/>
    <row r="1234" ht="60" customHeight="1" x14ac:dyDescent="0.15"/>
    <row r="1235" ht="60" customHeight="1" x14ac:dyDescent="0.15"/>
    <row r="1236" ht="60" customHeight="1" x14ac:dyDescent="0.15"/>
    <row r="1237" ht="60" customHeight="1" x14ac:dyDescent="0.15"/>
    <row r="1238" ht="60" customHeight="1" x14ac:dyDescent="0.15"/>
    <row r="1239" ht="60" customHeight="1" x14ac:dyDescent="0.15"/>
    <row r="1240" ht="60" customHeight="1" x14ac:dyDescent="0.15"/>
    <row r="1241" ht="60" customHeight="1" x14ac:dyDescent="0.15"/>
    <row r="1242" ht="60" customHeight="1" x14ac:dyDescent="0.15"/>
    <row r="1243" ht="60" customHeight="1" x14ac:dyDescent="0.15"/>
    <row r="1244" ht="60" customHeight="1" x14ac:dyDescent="0.15"/>
    <row r="1245" ht="60" customHeight="1" x14ac:dyDescent="0.15"/>
    <row r="1246" ht="60" customHeight="1" x14ac:dyDescent="0.15"/>
    <row r="1247" ht="60" customHeight="1" x14ac:dyDescent="0.15"/>
    <row r="1248" ht="60" customHeight="1" x14ac:dyDescent="0.15"/>
    <row r="1249" ht="60" customHeight="1" x14ac:dyDescent="0.15"/>
    <row r="1250" ht="60" customHeight="1" x14ac:dyDescent="0.15"/>
    <row r="1251" ht="60" customHeight="1" x14ac:dyDescent="0.15"/>
    <row r="1252" ht="60" customHeight="1" x14ac:dyDescent="0.15"/>
    <row r="1253" ht="60" customHeight="1" x14ac:dyDescent="0.15"/>
    <row r="1254" ht="60" customHeight="1" x14ac:dyDescent="0.15"/>
    <row r="1255" ht="60" customHeight="1" x14ac:dyDescent="0.15"/>
    <row r="1256" ht="60" customHeight="1" x14ac:dyDescent="0.15"/>
    <row r="1257" ht="60" customHeight="1" x14ac:dyDescent="0.15"/>
    <row r="1258" ht="60" customHeight="1" x14ac:dyDescent="0.15"/>
    <row r="1259" ht="60" customHeight="1" x14ac:dyDescent="0.15"/>
    <row r="1260" ht="60" customHeight="1" x14ac:dyDescent="0.15"/>
    <row r="1261" ht="60" customHeight="1" x14ac:dyDescent="0.15"/>
    <row r="1262" ht="60" customHeight="1" x14ac:dyDescent="0.15"/>
    <row r="1263" ht="60" customHeight="1" x14ac:dyDescent="0.15"/>
    <row r="1264" ht="60" customHeight="1" x14ac:dyDescent="0.15"/>
    <row r="1265" ht="60" customHeight="1" x14ac:dyDescent="0.15"/>
    <row r="1266" ht="60" customHeight="1" x14ac:dyDescent="0.15"/>
    <row r="1267" ht="60" customHeight="1" x14ac:dyDescent="0.15"/>
    <row r="1268" ht="60" customHeight="1" x14ac:dyDescent="0.15"/>
    <row r="1269" ht="60" customHeight="1" x14ac:dyDescent="0.15"/>
    <row r="1270" ht="60" customHeight="1" x14ac:dyDescent="0.15"/>
    <row r="1271" ht="60" customHeight="1" x14ac:dyDescent="0.15"/>
    <row r="1272" ht="60" customHeight="1" x14ac:dyDescent="0.15"/>
    <row r="1273" ht="60" customHeight="1" x14ac:dyDescent="0.15"/>
    <row r="1274" ht="60" customHeight="1" x14ac:dyDescent="0.15"/>
    <row r="1275" ht="60" customHeight="1" x14ac:dyDescent="0.15"/>
    <row r="1276" ht="60" customHeight="1" x14ac:dyDescent="0.15"/>
    <row r="1277" ht="60" customHeight="1" x14ac:dyDescent="0.15"/>
    <row r="1278" ht="60" customHeight="1" x14ac:dyDescent="0.15"/>
    <row r="1279" ht="60" customHeight="1" x14ac:dyDescent="0.15"/>
    <row r="1280" ht="60" customHeight="1" x14ac:dyDescent="0.15"/>
    <row r="1281" ht="60" customHeight="1" x14ac:dyDescent="0.15"/>
    <row r="1282" ht="60" customHeight="1" x14ac:dyDescent="0.15"/>
    <row r="1283" ht="60" customHeight="1" x14ac:dyDescent="0.15"/>
    <row r="1284" ht="60" customHeight="1" x14ac:dyDescent="0.15"/>
    <row r="1285" ht="60" customHeight="1" x14ac:dyDescent="0.15"/>
    <row r="1286" ht="60" customHeight="1" x14ac:dyDescent="0.15"/>
    <row r="1287" ht="60" customHeight="1" x14ac:dyDescent="0.15"/>
    <row r="1288" ht="60" customHeight="1" x14ac:dyDescent="0.15"/>
    <row r="1289" ht="60" customHeight="1" x14ac:dyDescent="0.15"/>
    <row r="1290" ht="60" customHeight="1" x14ac:dyDescent="0.15"/>
    <row r="1291" ht="60" customHeight="1" x14ac:dyDescent="0.15"/>
    <row r="1292" ht="60" customHeight="1" x14ac:dyDescent="0.15"/>
    <row r="1293" ht="60" customHeight="1" x14ac:dyDescent="0.15"/>
    <row r="1294" ht="60" customHeight="1" x14ac:dyDescent="0.15"/>
    <row r="1295" ht="60" customHeight="1" x14ac:dyDescent="0.15"/>
    <row r="1296" ht="60" customHeight="1" x14ac:dyDescent="0.15"/>
    <row r="1297" ht="60" customHeight="1" x14ac:dyDescent="0.15"/>
    <row r="1298" ht="60" customHeight="1" x14ac:dyDescent="0.15"/>
    <row r="1299" ht="60" customHeight="1" x14ac:dyDescent="0.15"/>
    <row r="1300" ht="60" customHeight="1" x14ac:dyDescent="0.15"/>
    <row r="1301" ht="60" customHeight="1" x14ac:dyDescent="0.15"/>
    <row r="1302" ht="60" customHeight="1" x14ac:dyDescent="0.15"/>
    <row r="1303" ht="60" customHeight="1" x14ac:dyDescent="0.15"/>
    <row r="1304" ht="60" customHeight="1" x14ac:dyDescent="0.15"/>
    <row r="1305" ht="60" customHeight="1" x14ac:dyDescent="0.15"/>
    <row r="1306" ht="60" customHeight="1" x14ac:dyDescent="0.15"/>
    <row r="1307" ht="60" customHeight="1" x14ac:dyDescent="0.15"/>
    <row r="1308" ht="60" customHeight="1" x14ac:dyDescent="0.15"/>
    <row r="1309" ht="60" customHeight="1" x14ac:dyDescent="0.15"/>
    <row r="1310" ht="60" customHeight="1" x14ac:dyDescent="0.15"/>
    <row r="1311" ht="60" customHeight="1" x14ac:dyDescent="0.15"/>
    <row r="1312" ht="60" customHeight="1" x14ac:dyDescent="0.15"/>
    <row r="1313" ht="60" customHeight="1" x14ac:dyDescent="0.15"/>
    <row r="1314" ht="60" customHeight="1" x14ac:dyDescent="0.15"/>
    <row r="1315" ht="60" customHeight="1" x14ac:dyDescent="0.15"/>
    <row r="1316" ht="60" customHeight="1" x14ac:dyDescent="0.15"/>
    <row r="1317" ht="60" customHeight="1" x14ac:dyDescent="0.15"/>
    <row r="1318" ht="60" customHeight="1" x14ac:dyDescent="0.15"/>
    <row r="1319" ht="60" customHeight="1" x14ac:dyDescent="0.15"/>
    <row r="1320" ht="60" customHeight="1" x14ac:dyDescent="0.15"/>
    <row r="1321" ht="60" customHeight="1" x14ac:dyDescent="0.15"/>
    <row r="1322" ht="60" customHeight="1" x14ac:dyDescent="0.15"/>
    <row r="1323" ht="60" customHeight="1" x14ac:dyDescent="0.15"/>
    <row r="1324" ht="60" customHeight="1" x14ac:dyDescent="0.15"/>
    <row r="1325" ht="60" customHeight="1" x14ac:dyDescent="0.15"/>
    <row r="1326" ht="60" customHeight="1" x14ac:dyDescent="0.15"/>
    <row r="1327" ht="60" customHeight="1" x14ac:dyDescent="0.15"/>
    <row r="1328" ht="60" customHeight="1" x14ac:dyDescent="0.15"/>
    <row r="1329" ht="60" customHeight="1" x14ac:dyDescent="0.15"/>
    <row r="1330" ht="60" customHeight="1" x14ac:dyDescent="0.15"/>
    <row r="1331" ht="60" customHeight="1" x14ac:dyDescent="0.15"/>
    <row r="1332" ht="60" customHeight="1" x14ac:dyDescent="0.15"/>
    <row r="1333" ht="60" customHeight="1" x14ac:dyDescent="0.15"/>
    <row r="1334" ht="60" customHeight="1" x14ac:dyDescent="0.15"/>
    <row r="1335" ht="60" customHeight="1" x14ac:dyDescent="0.15"/>
    <row r="1336" ht="60" customHeight="1" x14ac:dyDescent="0.15"/>
    <row r="1337" ht="60" customHeight="1" x14ac:dyDescent="0.15"/>
    <row r="1338" ht="60" customHeight="1" x14ac:dyDescent="0.15"/>
    <row r="1339" ht="60" customHeight="1" x14ac:dyDescent="0.15"/>
    <row r="1340" ht="60" customHeight="1" x14ac:dyDescent="0.15"/>
    <row r="1341" ht="60" customHeight="1" x14ac:dyDescent="0.15"/>
    <row r="1342" ht="60" customHeight="1" x14ac:dyDescent="0.15"/>
    <row r="1343" ht="60" customHeight="1" x14ac:dyDescent="0.15"/>
    <row r="1344" ht="60" customHeight="1" x14ac:dyDescent="0.15"/>
    <row r="1345" ht="60" customHeight="1" x14ac:dyDescent="0.15"/>
    <row r="1346" ht="60" customHeight="1" x14ac:dyDescent="0.15"/>
    <row r="1347" ht="60" customHeight="1" x14ac:dyDescent="0.15"/>
    <row r="1348" ht="60" customHeight="1" x14ac:dyDescent="0.15"/>
    <row r="1349" ht="60" customHeight="1" x14ac:dyDescent="0.15"/>
    <row r="1350" ht="60" customHeight="1" x14ac:dyDescent="0.15"/>
    <row r="1351" ht="60" customHeight="1" x14ac:dyDescent="0.15"/>
    <row r="1352" ht="60" customHeight="1" x14ac:dyDescent="0.15"/>
    <row r="1353" ht="60" customHeight="1" x14ac:dyDescent="0.15"/>
    <row r="1354" ht="60" customHeight="1" x14ac:dyDescent="0.15"/>
    <row r="1355" ht="60" customHeight="1" x14ac:dyDescent="0.15"/>
    <row r="1356" ht="60" customHeight="1" x14ac:dyDescent="0.15"/>
    <row r="1357" ht="60" customHeight="1" x14ac:dyDescent="0.15"/>
    <row r="1358" ht="60" customHeight="1" x14ac:dyDescent="0.15"/>
    <row r="1359" ht="60" customHeight="1" x14ac:dyDescent="0.15"/>
    <row r="1360" ht="60" customHeight="1" x14ac:dyDescent="0.15"/>
    <row r="1361" ht="60" customHeight="1" x14ac:dyDescent="0.15"/>
    <row r="1362" ht="60" customHeight="1" x14ac:dyDescent="0.15"/>
    <row r="1363" ht="60" customHeight="1" x14ac:dyDescent="0.15"/>
    <row r="1364" ht="60" customHeight="1" x14ac:dyDescent="0.15"/>
    <row r="1365" ht="60" customHeight="1" x14ac:dyDescent="0.15"/>
    <row r="1366" ht="60" customHeight="1" x14ac:dyDescent="0.15"/>
    <row r="1367" ht="60" customHeight="1" x14ac:dyDescent="0.15"/>
    <row r="1368" ht="60" customHeight="1" x14ac:dyDescent="0.15"/>
    <row r="1369" ht="60" customHeight="1" x14ac:dyDescent="0.15"/>
    <row r="1370" ht="60" customHeight="1" x14ac:dyDescent="0.15"/>
    <row r="1371" ht="60" customHeight="1" x14ac:dyDescent="0.15"/>
    <row r="1372" ht="60" customHeight="1" x14ac:dyDescent="0.15"/>
    <row r="1373" ht="60" customHeight="1" x14ac:dyDescent="0.15"/>
    <row r="1374" ht="60" customHeight="1" x14ac:dyDescent="0.15"/>
    <row r="1375" ht="60" customHeight="1" x14ac:dyDescent="0.15"/>
    <row r="1376" ht="60" customHeight="1" x14ac:dyDescent="0.15"/>
    <row r="1377" ht="60" customHeight="1" x14ac:dyDescent="0.15"/>
    <row r="1378" ht="60" customHeight="1" x14ac:dyDescent="0.15"/>
    <row r="1379" ht="60" customHeight="1" x14ac:dyDescent="0.15"/>
    <row r="1380" ht="60" customHeight="1" x14ac:dyDescent="0.15"/>
    <row r="1381" ht="60" customHeight="1" x14ac:dyDescent="0.15"/>
    <row r="1382" ht="60" customHeight="1" x14ac:dyDescent="0.15"/>
    <row r="1383" ht="60" customHeight="1" x14ac:dyDescent="0.15"/>
    <row r="1384" ht="60" customHeight="1" x14ac:dyDescent="0.15"/>
    <row r="1385" ht="60" customHeight="1" x14ac:dyDescent="0.15"/>
    <row r="1386" ht="60" customHeight="1" x14ac:dyDescent="0.15"/>
    <row r="1387" ht="60" customHeight="1" x14ac:dyDescent="0.15"/>
    <row r="1388" ht="60" customHeight="1" x14ac:dyDescent="0.15"/>
    <row r="1389" ht="60" customHeight="1" x14ac:dyDescent="0.15"/>
    <row r="1390" ht="60" customHeight="1" x14ac:dyDescent="0.15"/>
    <row r="1391" ht="60" customHeight="1" x14ac:dyDescent="0.15"/>
    <row r="1392" ht="60" customHeight="1" x14ac:dyDescent="0.15"/>
    <row r="1393" ht="60" customHeight="1" x14ac:dyDescent="0.15"/>
    <row r="1394" ht="60" customHeight="1" x14ac:dyDescent="0.15"/>
    <row r="1395" ht="60" customHeight="1" x14ac:dyDescent="0.15"/>
    <row r="1396" ht="60" customHeight="1" x14ac:dyDescent="0.15"/>
    <row r="1397" ht="60" customHeight="1" x14ac:dyDescent="0.15"/>
    <row r="1398" ht="60" customHeight="1" x14ac:dyDescent="0.15"/>
    <row r="1399" ht="60" customHeight="1" x14ac:dyDescent="0.15"/>
    <row r="1400" ht="60" customHeight="1" x14ac:dyDescent="0.15"/>
    <row r="1401" ht="60" customHeight="1" x14ac:dyDescent="0.15"/>
    <row r="1402" ht="60" customHeight="1" x14ac:dyDescent="0.15"/>
    <row r="1403" ht="60" customHeight="1" x14ac:dyDescent="0.15"/>
    <row r="1404" ht="60" customHeight="1" x14ac:dyDescent="0.15"/>
    <row r="1405" ht="60" customHeight="1" x14ac:dyDescent="0.15"/>
    <row r="1406" ht="60" customHeight="1" x14ac:dyDescent="0.15"/>
    <row r="1407" ht="60" customHeight="1" x14ac:dyDescent="0.15"/>
    <row r="1408" ht="60" customHeight="1" x14ac:dyDescent="0.15"/>
    <row r="1409" ht="60" customHeight="1" x14ac:dyDescent="0.15"/>
    <row r="1410" ht="60" customHeight="1" x14ac:dyDescent="0.15"/>
    <row r="1411" ht="60" customHeight="1" x14ac:dyDescent="0.15"/>
    <row r="1412" ht="60" customHeight="1" x14ac:dyDescent="0.15"/>
    <row r="1413" ht="60" customHeight="1" x14ac:dyDescent="0.15"/>
    <row r="1414" ht="60" customHeight="1" x14ac:dyDescent="0.15"/>
    <row r="1415" ht="60" customHeight="1" x14ac:dyDescent="0.15"/>
    <row r="1416" ht="60" customHeight="1" x14ac:dyDescent="0.15"/>
    <row r="1417" ht="60" customHeight="1" x14ac:dyDescent="0.15"/>
    <row r="1418" ht="60" customHeight="1" x14ac:dyDescent="0.15"/>
    <row r="1419" ht="60" customHeight="1" x14ac:dyDescent="0.15"/>
    <row r="1420" ht="60" customHeight="1" x14ac:dyDescent="0.15"/>
    <row r="1421" ht="60" customHeight="1" x14ac:dyDescent="0.15"/>
    <row r="1422" ht="60" customHeight="1" x14ac:dyDescent="0.15"/>
    <row r="1423" ht="60" customHeight="1" x14ac:dyDescent="0.15"/>
    <row r="1424" ht="60" customHeight="1" x14ac:dyDescent="0.15"/>
    <row r="1425" ht="60" customHeight="1" x14ac:dyDescent="0.15"/>
    <row r="1426" ht="60" customHeight="1" x14ac:dyDescent="0.15"/>
    <row r="1427" ht="60" customHeight="1" x14ac:dyDescent="0.15"/>
    <row r="1428" ht="60" customHeight="1" x14ac:dyDescent="0.15"/>
    <row r="1429" ht="60" customHeight="1" x14ac:dyDescent="0.15"/>
    <row r="1430" ht="60" customHeight="1" x14ac:dyDescent="0.15"/>
    <row r="1431" ht="60" customHeight="1" x14ac:dyDescent="0.15"/>
    <row r="1432" ht="60" customHeight="1" x14ac:dyDescent="0.15"/>
    <row r="1433" ht="60" customHeight="1" x14ac:dyDescent="0.15"/>
    <row r="1434" ht="60" customHeight="1" x14ac:dyDescent="0.15"/>
    <row r="1435" ht="60" customHeight="1" x14ac:dyDescent="0.15"/>
    <row r="1436" ht="60" customHeight="1" x14ac:dyDescent="0.15"/>
    <row r="1437" ht="60" customHeight="1" x14ac:dyDescent="0.15"/>
    <row r="1438" ht="60" customHeight="1" x14ac:dyDescent="0.15"/>
    <row r="1439" ht="60" customHeight="1" x14ac:dyDescent="0.15"/>
    <row r="1440" ht="60" customHeight="1" x14ac:dyDescent="0.15"/>
    <row r="1441" ht="60" customHeight="1" x14ac:dyDescent="0.15"/>
    <row r="1442" ht="60" customHeight="1" x14ac:dyDescent="0.15"/>
    <row r="1443" ht="60" customHeight="1" x14ac:dyDescent="0.15"/>
    <row r="1444" ht="60" customHeight="1" x14ac:dyDescent="0.15"/>
    <row r="1445" ht="60" customHeight="1" x14ac:dyDescent="0.15"/>
    <row r="1446" ht="60" customHeight="1" x14ac:dyDescent="0.15"/>
    <row r="1447" ht="60" customHeight="1" x14ac:dyDescent="0.15"/>
    <row r="1448" ht="60" customHeight="1" x14ac:dyDescent="0.15"/>
    <row r="1449" ht="60" customHeight="1" x14ac:dyDescent="0.15"/>
    <row r="1450" ht="60" customHeight="1" x14ac:dyDescent="0.15"/>
    <row r="1451" ht="60" customHeight="1" x14ac:dyDescent="0.15"/>
    <row r="1452" ht="60" customHeight="1" x14ac:dyDescent="0.15"/>
    <row r="1453" ht="60" customHeight="1" x14ac:dyDescent="0.15"/>
    <row r="1454" ht="60" customHeight="1" x14ac:dyDescent="0.15"/>
    <row r="1455" ht="60" customHeight="1" x14ac:dyDescent="0.15"/>
    <row r="1456" ht="60" customHeight="1" x14ac:dyDescent="0.15"/>
    <row r="1457" ht="60" customHeight="1" x14ac:dyDescent="0.15"/>
    <row r="1458" ht="60" customHeight="1" x14ac:dyDescent="0.15"/>
    <row r="1459" ht="60" customHeight="1" x14ac:dyDescent="0.15"/>
    <row r="1460" ht="60" customHeight="1" x14ac:dyDescent="0.15"/>
    <row r="1461" ht="60" customHeight="1" x14ac:dyDescent="0.15"/>
    <row r="1462" ht="60" customHeight="1" x14ac:dyDescent="0.15"/>
    <row r="1463" ht="60" customHeight="1" x14ac:dyDescent="0.15"/>
    <row r="1464" ht="60" customHeight="1" x14ac:dyDescent="0.15"/>
    <row r="1465" ht="60" customHeight="1" x14ac:dyDescent="0.15"/>
    <row r="1466" ht="60" customHeight="1" x14ac:dyDescent="0.15"/>
    <row r="1467" ht="60" customHeight="1" x14ac:dyDescent="0.15"/>
    <row r="1468" ht="60" customHeight="1" x14ac:dyDescent="0.15"/>
    <row r="1469" ht="60" customHeight="1" x14ac:dyDescent="0.15"/>
    <row r="1470" ht="60" customHeight="1" x14ac:dyDescent="0.15"/>
    <row r="1471" ht="60" customHeight="1" x14ac:dyDescent="0.15"/>
    <row r="1472" ht="60" customHeight="1" x14ac:dyDescent="0.15"/>
    <row r="1473" ht="60" customHeight="1" x14ac:dyDescent="0.15"/>
    <row r="1474" ht="60" customHeight="1" x14ac:dyDescent="0.15"/>
    <row r="1475" ht="60" customHeight="1" x14ac:dyDescent="0.15"/>
    <row r="1476" ht="60" customHeight="1" x14ac:dyDescent="0.15"/>
    <row r="1477" ht="60" customHeight="1" x14ac:dyDescent="0.15"/>
    <row r="1478" ht="60" customHeight="1" x14ac:dyDescent="0.15"/>
    <row r="1479" ht="60" customHeight="1" x14ac:dyDescent="0.15"/>
    <row r="1480" ht="60" customHeight="1" x14ac:dyDescent="0.15"/>
    <row r="1481" ht="60" customHeight="1" x14ac:dyDescent="0.15"/>
    <row r="1482" ht="60" customHeight="1" x14ac:dyDescent="0.15"/>
    <row r="1483" ht="60" customHeight="1" x14ac:dyDescent="0.15"/>
    <row r="1484" ht="60" customHeight="1" x14ac:dyDescent="0.15"/>
    <row r="1485" ht="60" customHeight="1" x14ac:dyDescent="0.15"/>
    <row r="1486" ht="60" customHeight="1" x14ac:dyDescent="0.15"/>
    <row r="1487" ht="60" customHeight="1" x14ac:dyDescent="0.15"/>
    <row r="1488" ht="60" customHeight="1" x14ac:dyDescent="0.15"/>
    <row r="1489" ht="60" customHeight="1" x14ac:dyDescent="0.15"/>
    <row r="1490" ht="60" customHeight="1" x14ac:dyDescent="0.15"/>
    <row r="1491" ht="60" customHeight="1" x14ac:dyDescent="0.15"/>
    <row r="1492" ht="60" customHeight="1" x14ac:dyDescent="0.15"/>
    <row r="1493" ht="60" customHeight="1" x14ac:dyDescent="0.15"/>
    <row r="1494" ht="60" customHeight="1" x14ac:dyDescent="0.15"/>
    <row r="1495" ht="60" customHeight="1" x14ac:dyDescent="0.15"/>
    <row r="1496" ht="60" customHeight="1" x14ac:dyDescent="0.15"/>
    <row r="1497" ht="60" customHeight="1" x14ac:dyDescent="0.15"/>
    <row r="1498" ht="60" customHeight="1" x14ac:dyDescent="0.15"/>
    <row r="1499" ht="60" customHeight="1" x14ac:dyDescent="0.15"/>
    <row r="1500" ht="60" customHeight="1" x14ac:dyDescent="0.15"/>
    <row r="1501" ht="60" customHeight="1" x14ac:dyDescent="0.15"/>
    <row r="1502" ht="60" customHeight="1" x14ac:dyDescent="0.15"/>
    <row r="1503" ht="60" customHeight="1" x14ac:dyDescent="0.15"/>
    <row r="1504" ht="60" customHeight="1" x14ac:dyDescent="0.15"/>
    <row r="1505" ht="60" customHeight="1" x14ac:dyDescent="0.15"/>
    <row r="1506" ht="60" customHeight="1" x14ac:dyDescent="0.15"/>
    <row r="1507" ht="60" customHeight="1" x14ac:dyDescent="0.15"/>
    <row r="1508" ht="60" customHeight="1" x14ac:dyDescent="0.15"/>
    <row r="1509" ht="60" customHeight="1" x14ac:dyDescent="0.15"/>
    <row r="1510" ht="60" customHeight="1" x14ac:dyDescent="0.15"/>
    <row r="1511" ht="60" customHeight="1" x14ac:dyDescent="0.15"/>
    <row r="1512" ht="60" customHeight="1" x14ac:dyDescent="0.15"/>
    <row r="1513" ht="60" customHeight="1" x14ac:dyDescent="0.15"/>
    <row r="1514" ht="60" customHeight="1" x14ac:dyDescent="0.15"/>
    <row r="1515" ht="60" customHeight="1" x14ac:dyDescent="0.15"/>
    <row r="1516" ht="60" customHeight="1" x14ac:dyDescent="0.15"/>
    <row r="1517" ht="60" customHeight="1" x14ac:dyDescent="0.15"/>
    <row r="1518" ht="60" customHeight="1" x14ac:dyDescent="0.15"/>
    <row r="1519" ht="60" customHeight="1" x14ac:dyDescent="0.15"/>
    <row r="1520" ht="60" customHeight="1" x14ac:dyDescent="0.15"/>
    <row r="1521" ht="60" customHeight="1" x14ac:dyDescent="0.15"/>
    <row r="1522" ht="60" customHeight="1" x14ac:dyDescent="0.15"/>
    <row r="1523" ht="60" customHeight="1" x14ac:dyDescent="0.15"/>
    <row r="1524" ht="60" customHeight="1" x14ac:dyDescent="0.15"/>
    <row r="1525" ht="60" customHeight="1" x14ac:dyDescent="0.15"/>
    <row r="1526" ht="60" customHeight="1" x14ac:dyDescent="0.15"/>
    <row r="1527" ht="60" customHeight="1" x14ac:dyDescent="0.15"/>
    <row r="1528" ht="60" customHeight="1" x14ac:dyDescent="0.15"/>
    <row r="1529" ht="60" customHeight="1" x14ac:dyDescent="0.15"/>
    <row r="1530" ht="60" customHeight="1" x14ac:dyDescent="0.15"/>
    <row r="1531" ht="60" customHeight="1" x14ac:dyDescent="0.15"/>
    <row r="1532" ht="60" customHeight="1" x14ac:dyDescent="0.15"/>
    <row r="1533" ht="60" customHeight="1" x14ac:dyDescent="0.15"/>
    <row r="1534" ht="60" customHeight="1" x14ac:dyDescent="0.15"/>
    <row r="1535" ht="60" customHeight="1" x14ac:dyDescent="0.15"/>
    <row r="1536" ht="60" customHeight="1" x14ac:dyDescent="0.15"/>
    <row r="1537" ht="60" customHeight="1" x14ac:dyDescent="0.15"/>
    <row r="1538" ht="60" customHeight="1" x14ac:dyDescent="0.15"/>
    <row r="1539" ht="60" customHeight="1" x14ac:dyDescent="0.15"/>
    <row r="1540" ht="60" customHeight="1" x14ac:dyDescent="0.15"/>
    <row r="1541" ht="60" customHeight="1" x14ac:dyDescent="0.15"/>
    <row r="1542" ht="60" customHeight="1" x14ac:dyDescent="0.15"/>
    <row r="1543" ht="60" customHeight="1" x14ac:dyDescent="0.15"/>
    <row r="1544" ht="60" customHeight="1" x14ac:dyDescent="0.15"/>
    <row r="1545" ht="60" customHeight="1" x14ac:dyDescent="0.15"/>
    <row r="1546" ht="60" customHeight="1" x14ac:dyDescent="0.15"/>
    <row r="1547" ht="60" customHeight="1" x14ac:dyDescent="0.15"/>
    <row r="1548" ht="60" customHeight="1" x14ac:dyDescent="0.15"/>
    <row r="1549" ht="60" customHeight="1" x14ac:dyDescent="0.15"/>
    <row r="1550" ht="60" customHeight="1" x14ac:dyDescent="0.15"/>
    <row r="1551" ht="60" customHeight="1" x14ac:dyDescent="0.15"/>
    <row r="1552" ht="60" customHeight="1" x14ac:dyDescent="0.15"/>
    <row r="1553" ht="60" customHeight="1" x14ac:dyDescent="0.15"/>
    <row r="1554" ht="60" customHeight="1" x14ac:dyDescent="0.15"/>
    <row r="1555" ht="60" customHeight="1" x14ac:dyDescent="0.15"/>
    <row r="1556" ht="60" customHeight="1" x14ac:dyDescent="0.15"/>
    <row r="1557" ht="60" customHeight="1" x14ac:dyDescent="0.15"/>
    <row r="1558" ht="60" customHeight="1" x14ac:dyDescent="0.15"/>
    <row r="1559" ht="60" customHeight="1" x14ac:dyDescent="0.15"/>
    <row r="1560" ht="60" customHeight="1" x14ac:dyDescent="0.15"/>
    <row r="1561" ht="60" customHeight="1" x14ac:dyDescent="0.15"/>
    <row r="1562" ht="60" customHeight="1" x14ac:dyDescent="0.15"/>
    <row r="1563" ht="60" customHeight="1" x14ac:dyDescent="0.15"/>
    <row r="1564" ht="60" customHeight="1" x14ac:dyDescent="0.15"/>
    <row r="1565" ht="60" customHeight="1" x14ac:dyDescent="0.15"/>
    <row r="1566" ht="60" customHeight="1" x14ac:dyDescent="0.15"/>
    <row r="1567" ht="60" customHeight="1" x14ac:dyDescent="0.15"/>
    <row r="1568" ht="60" customHeight="1" x14ac:dyDescent="0.15"/>
    <row r="1569" ht="60" customHeight="1" x14ac:dyDescent="0.15"/>
    <row r="1570" ht="60" customHeight="1" x14ac:dyDescent="0.15"/>
    <row r="1571" ht="60" customHeight="1" x14ac:dyDescent="0.15"/>
    <row r="1572" ht="60" customHeight="1" x14ac:dyDescent="0.15"/>
    <row r="1573" ht="60" customHeight="1" x14ac:dyDescent="0.15"/>
    <row r="1574" ht="60" customHeight="1" x14ac:dyDescent="0.15"/>
    <row r="1575" ht="60" customHeight="1" x14ac:dyDescent="0.15"/>
    <row r="1576" ht="60" customHeight="1" x14ac:dyDescent="0.15"/>
    <row r="1577" ht="60" customHeight="1" x14ac:dyDescent="0.15"/>
    <row r="1578" ht="60" customHeight="1" x14ac:dyDescent="0.15"/>
    <row r="1579" ht="60" customHeight="1" x14ac:dyDescent="0.15"/>
    <row r="1580" ht="60" customHeight="1" x14ac:dyDescent="0.15"/>
    <row r="1581" ht="60" customHeight="1" x14ac:dyDescent="0.15"/>
    <row r="1582" ht="60" customHeight="1" x14ac:dyDescent="0.15"/>
    <row r="1583" ht="60" customHeight="1" x14ac:dyDescent="0.15"/>
    <row r="1584" ht="60" customHeight="1" x14ac:dyDescent="0.15"/>
    <row r="1585" ht="60" customHeight="1" x14ac:dyDescent="0.15"/>
    <row r="1586" ht="60" customHeight="1" x14ac:dyDescent="0.15"/>
    <row r="1587" ht="60" customHeight="1" x14ac:dyDescent="0.15"/>
    <row r="1588" ht="60" customHeight="1" x14ac:dyDescent="0.15"/>
    <row r="1589" ht="60" customHeight="1" x14ac:dyDescent="0.15"/>
    <row r="1590" ht="60" customHeight="1" x14ac:dyDescent="0.15"/>
    <row r="1591" ht="60" customHeight="1" x14ac:dyDescent="0.15"/>
    <row r="1592" ht="60" customHeight="1" x14ac:dyDescent="0.15"/>
    <row r="1593" ht="60" customHeight="1" x14ac:dyDescent="0.15"/>
    <row r="1594" ht="60" customHeight="1" x14ac:dyDescent="0.15"/>
    <row r="1595" ht="60" customHeight="1" x14ac:dyDescent="0.15"/>
    <row r="1596" ht="60" customHeight="1" x14ac:dyDescent="0.15"/>
    <row r="1597" ht="60" customHeight="1" x14ac:dyDescent="0.15"/>
    <row r="1598" ht="60" customHeight="1" x14ac:dyDescent="0.15"/>
    <row r="1599" ht="60" customHeight="1" x14ac:dyDescent="0.15"/>
    <row r="1600" ht="60" customHeight="1" x14ac:dyDescent="0.15"/>
    <row r="1601" ht="60" customHeight="1" x14ac:dyDescent="0.15"/>
    <row r="1602" ht="60" customHeight="1" x14ac:dyDescent="0.15"/>
    <row r="1603" ht="60" customHeight="1" x14ac:dyDescent="0.15"/>
    <row r="1604" ht="60" customHeight="1" x14ac:dyDescent="0.15"/>
    <row r="1605" ht="60" customHeight="1" x14ac:dyDescent="0.15"/>
    <row r="1606" ht="60" customHeight="1" x14ac:dyDescent="0.15"/>
    <row r="1607" ht="60" customHeight="1" x14ac:dyDescent="0.15"/>
    <row r="1608" ht="60" customHeight="1" x14ac:dyDescent="0.15"/>
    <row r="1609" ht="60" customHeight="1" x14ac:dyDescent="0.15"/>
    <row r="1610" ht="60" customHeight="1" x14ac:dyDescent="0.15"/>
    <row r="1611" ht="60" customHeight="1" x14ac:dyDescent="0.15"/>
    <row r="1612" ht="60" customHeight="1" x14ac:dyDescent="0.15"/>
    <row r="1613" ht="60" customHeight="1" x14ac:dyDescent="0.15"/>
    <row r="1614" ht="60" customHeight="1" x14ac:dyDescent="0.15"/>
    <row r="1615" ht="60" customHeight="1" x14ac:dyDescent="0.15"/>
    <row r="1616" ht="60" customHeight="1" x14ac:dyDescent="0.15"/>
    <row r="1617" ht="60" customHeight="1" x14ac:dyDescent="0.15"/>
    <row r="1618" ht="60" customHeight="1" x14ac:dyDescent="0.15"/>
    <row r="1619" ht="60" customHeight="1" x14ac:dyDescent="0.15"/>
    <row r="1620" ht="60" customHeight="1" x14ac:dyDescent="0.15"/>
    <row r="1621" ht="60" customHeight="1" x14ac:dyDescent="0.15"/>
    <row r="1622" ht="60" customHeight="1" x14ac:dyDescent="0.15"/>
    <row r="1623" ht="60" customHeight="1" x14ac:dyDescent="0.15"/>
    <row r="1624" ht="60" customHeight="1" x14ac:dyDescent="0.15"/>
    <row r="1625" ht="60" customHeight="1" x14ac:dyDescent="0.15"/>
    <row r="1626" ht="60" customHeight="1" x14ac:dyDescent="0.15"/>
    <row r="1627" ht="60" customHeight="1" x14ac:dyDescent="0.15"/>
    <row r="1628" ht="60" customHeight="1" x14ac:dyDescent="0.15"/>
    <row r="1629" ht="60" customHeight="1" x14ac:dyDescent="0.15"/>
    <row r="1630" ht="60" customHeight="1" x14ac:dyDescent="0.15"/>
    <row r="1631" ht="60" customHeight="1" x14ac:dyDescent="0.15"/>
    <row r="1632" ht="60" customHeight="1" x14ac:dyDescent="0.15"/>
    <row r="1633" ht="60" customHeight="1" x14ac:dyDescent="0.15"/>
    <row r="1634" ht="60" customHeight="1" x14ac:dyDescent="0.15"/>
    <row r="1635" ht="60" customHeight="1" x14ac:dyDescent="0.15"/>
    <row r="1636" ht="60" customHeight="1" x14ac:dyDescent="0.15"/>
    <row r="1637" ht="60" customHeight="1" x14ac:dyDescent="0.15"/>
    <row r="1638" ht="60" customHeight="1" x14ac:dyDescent="0.15"/>
    <row r="1639" ht="60" customHeight="1" x14ac:dyDescent="0.15"/>
    <row r="1640" ht="60" customHeight="1" x14ac:dyDescent="0.15"/>
    <row r="1641" ht="60" customHeight="1" x14ac:dyDescent="0.15"/>
    <row r="1642" ht="60" customHeight="1" x14ac:dyDescent="0.15"/>
    <row r="1643" ht="60" customHeight="1" x14ac:dyDescent="0.15"/>
    <row r="1644" ht="60" customHeight="1" x14ac:dyDescent="0.15"/>
    <row r="1645" ht="60" customHeight="1" x14ac:dyDescent="0.15"/>
    <row r="1646" ht="60" customHeight="1" x14ac:dyDescent="0.15"/>
    <row r="1647" ht="60" customHeight="1" x14ac:dyDescent="0.15"/>
    <row r="1648" ht="60" customHeight="1" x14ac:dyDescent="0.15"/>
    <row r="1649" ht="60" customHeight="1" x14ac:dyDescent="0.15"/>
    <row r="1650" ht="60" customHeight="1" x14ac:dyDescent="0.15"/>
    <row r="1651" ht="60" customHeight="1" x14ac:dyDescent="0.15"/>
    <row r="1652" ht="60" customHeight="1" x14ac:dyDescent="0.15"/>
    <row r="1653" ht="60" customHeight="1" x14ac:dyDescent="0.15"/>
    <row r="1654" ht="60" customHeight="1" x14ac:dyDescent="0.15"/>
    <row r="1655" ht="60" customHeight="1" x14ac:dyDescent="0.15"/>
    <row r="1656" ht="60" customHeight="1" x14ac:dyDescent="0.15"/>
    <row r="1657" ht="60" customHeight="1" x14ac:dyDescent="0.15"/>
    <row r="1658" ht="60" customHeight="1" x14ac:dyDescent="0.15"/>
    <row r="1659" ht="60" customHeight="1" x14ac:dyDescent="0.15"/>
    <row r="1660" ht="60" customHeight="1" x14ac:dyDescent="0.15"/>
    <row r="1661" ht="60" customHeight="1" x14ac:dyDescent="0.15"/>
    <row r="1662" ht="60" customHeight="1" x14ac:dyDescent="0.15"/>
    <row r="1663" ht="60" customHeight="1" x14ac:dyDescent="0.15"/>
    <row r="1664" ht="60" customHeight="1" x14ac:dyDescent="0.15"/>
    <row r="1665" ht="60" customHeight="1" x14ac:dyDescent="0.15"/>
    <row r="1666" ht="60" customHeight="1" x14ac:dyDescent="0.15"/>
    <row r="1667" ht="60" customHeight="1" x14ac:dyDescent="0.15"/>
    <row r="1668" ht="60" customHeight="1" x14ac:dyDescent="0.15"/>
    <row r="1669" ht="60" customHeight="1" x14ac:dyDescent="0.15"/>
    <row r="1670" ht="60" customHeight="1" x14ac:dyDescent="0.15"/>
    <row r="1671" ht="60" customHeight="1" x14ac:dyDescent="0.15"/>
    <row r="1672" ht="60" customHeight="1" x14ac:dyDescent="0.15"/>
    <row r="1673" ht="60" customHeight="1" x14ac:dyDescent="0.15"/>
    <row r="1674" ht="60" customHeight="1" x14ac:dyDescent="0.15"/>
    <row r="1675" ht="60" customHeight="1" x14ac:dyDescent="0.15"/>
    <row r="1676" ht="60" customHeight="1" x14ac:dyDescent="0.15"/>
    <row r="1677" ht="60" customHeight="1" x14ac:dyDescent="0.15"/>
    <row r="1678" ht="60" customHeight="1" x14ac:dyDescent="0.15"/>
    <row r="1679" ht="60" customHeight="1" x14ac:dyDescent="0.15"/>
    <row r="1680" ht="60" customHeight="1" x14ac:dyDescent="0.15"/>
    <row r="1681" ht="60" customHeight="1" x14ac:dyDescent="0.15"/>
    <row r="1682" ht="60" customHeight="1" x14ac:dyDescent="0.15"/>
    <row r="1683" ht="60" customHeight="1" x14ac:dyDescent="0.15"/>
    <row r="1684" ht="60" customHeight="1" x14ac:dyDescent="0.15"/>
    <row r="1685" ht="60" customHeight="1" x14ac:dyDescent="0.15"/>
    <row r="1686" ht="60" customHeight="1" x14ac:dyDescent="0.15"/>
    <row r="1687" ht="60" customHeight="1" x14ac:dyDescent="0.15"/>
    <row r="1688" ht="60" customHeight="1" x14ac:dyDescent="0.15"/>
    <row r="1689" ht="60" customHeight="1" x14ac:dyDescent="0.15"/>
    <row r="1690" ht="60" customHeight="1" x14ac:dyDescent="0.15"/>
    <row r="1691" ht="60" customHeight="1" x14ac:dyDescent="0.15"/>
    <row r="1692" ht="60" customHeight="1" x14ac:dyDescent="0.15"/>
    <row r="1693" ht="60" customHeight="1" x14ac:dyDescent="0.15"/>
    <row r="1694" ht="60" customHeight="1" x14ac:dyDescent="0.15"/>
    <row r="1695" ht="60" customHeight="1" x14ac:dyDescent="0.15"/>
    <row r="1696" ht="60" customHeight="1" x14ac:dyDescent="0.15"/>
    <row r="1697" ht="60" customHeight="1" x14ac:dyDescent="0.15"/>
    <row r="1698" ht="60" customHeight="1" x14ac:dyDescent="0.15"/>
    <row r="1699" ht="60" customHeight="1" x14ac:dyDescent="0.15"/>
    <row r="1700" ht="60" customHeight="1" x14ac:dyDescent="0.15"/>
    <row r="1701" ht="60" customHeight="1" x14ac:dyDescent="0.15"/>
    <row r="1702" ht="60" customHeight="1" x14ac:dyDescent="0.15"/>
    <row r="1703" ht="60" customHeight="1" x14ac:dyDescent="0.15"/>
    <row r="1704" ht="60" customHeight="1" x14ac:dyDescent="0.15"/>
    <row r="1705" ht="60" customHeight="1" x14ac:dyDescent="0.15"/>
    <row r="1706" ht="60" customHeight="1" x14ac:dyDescent="0.15"/>
    <row r="1707" ht="60" customHeight="1" x14ac:dyDescent="0.15"/>
    <row r="1708" ht="60" customHeight="1" x14ac:dyDescent="0.15"/>
    <row r="1709" ht="60" customHeight="1" x14ac:dyDescent="0.15"/>
    <row r="1710" ht="60" customHeight="1" x14ac:dyDescent="0.15"/>
    <row r="1711" ht="60" customHeight="1" x14ac:dyDescent="0.15"/>
    <row r="1712" ht="60" customHeight="1" x14ac:dyDescent="0.15"/>
    <row r="1713" ht="60" customHeight="1" x14ac:dyDescent="0.15"/>
    <row r="1714" ht="60" customHeight="1" x14ac:dyDescent="0.15"/>
    <row r="1715" ht="60" customHeight="1" x14ac:dyDescent="0.15"/>
    <row r="1716" ht="60" customHeight="1" x14ac:dyDescent="0.15"/>
    <row r="1717" ht="60" customHeight="1" x14ac:dyDescent="0.15"/>
    <row r="1718" ht="60" customHeight="1" x14ac:dyDescent="0.15"/>
    <row r="1719" ht="60" customHeight="1" x14ac:dyDescent="0.15"/>
    <row r="1720" ht="60" customHeight="1" x14ac:dyDescent="0.15"/>
    <row r="1721" ht="60" customHeight="1" x14ac:dyDescent="0.15"/>
    <row r="1722" ht="60" customHeight="1" x14ac:dyDescent="0.15"/>
    <row r="1723" ht="60" customHeight="1" x14ac:dyDescent="0.15"/>
    <row r="1724" ht="60" customHeight="1" x14ac:dyDescent="0.15"/>
    <row r="1725" ht="60" customHeight="1" x14ac:dyDescent="0.15"/>
    <row r="1726" ht="60" customHeight="1" x14ac:dyDescent="0.15"/>
    <row r="1727" ht="60" customHeight="1" x14ac:dyDescent="0.15"/>
    <row r="1728" ht="60" customHeight="1" x14ac:dyDescent="0.15"/>
    <row r="1729" ht="60" customHeight="1" x14ac:dyDescent="0.15"/>
    <row r="1730" ht="60" customHeight="1" x14ac:dyDescent="0.15"/>
    <row r="1731" ht="60" customHeight="1" x14ac:dyDescent="0.15"/>
    <row r="1732" ht="60" customHeight="1" x14ac:dyDescent="0.15"/>
    <row r="1733" ht="60" customHeight="1" x14ac:dyDescent="0.15"/>
    <row r="1734" ht="60" customHeight="1" x14ac:dyDescent="0.15"/>
    <row r="1735" ht="60" customHeight="1" x14ac:dyDescent="0.15"/>
    <row r="1736" ht="60" customHeight="1" x14ac:dyDescent="0.15"/>
    <row r="1737" ht="60" customHeight="1" x14ac:dyDescent="0.15"/>
    <row r="1738" ht="60" customHeight="1" x14ac:dyDescent="0.15"/>
    <row r="1739" ht="60" customHeight="1" x14ac:dyDescent="0.15"/>
    <row r="1740" ht="60" customHeight="1" x14ac:dyDescent="0.15"/>
    <row r="1741" ht="60" customHeight="1" x14ac:dyDescent="0.15"/>
    <row r="1742" ht="60" customHeight="1" x14ac:dyDescent="0.15"/>
    <row r="1743" ht="60" customHeight="1" x14ac:dyDescent="0.15"/>
    <row r="1744" ht="60" customHeight="1" x14ac:dyDescent="0.15"/>
    <row r="1745" ht="60" customHeight="1" x14ac:dyDescent="0.15"/>
    <row r="1746" ht="60" customHeight="1" x14ac:dyDescent="0.15"/>
    <row r="1747" ht="60" customHeight="1" x14ac:dyDescent="0.15"/>
    <row r="1748" ht="60" customHeight="1" x14ac:dyDescent="0.15"/>
    <row r="1749" ht="60" customHeight="1" x14ac:dyDescent="0.15"/>
    <row r="1750" ht="60" customHeight="1" x14ac:dyDescent="0.15"/>
    <row r="1751" ht="60" customHeight="1" x14ac:dyDescent="0.15"/>
    <row r="1752" ht="60" customHeight="1" x14ac:dyDescent="0.15"/>
    <row r="1753" ht="60" customHeight="1" x14ac:dyDescent="0.15"/>
    <row r="1754" ht="60" customHeight="1" x14ac:dyDescent="0.15"/>
    <row r="1755" ht="60" customHeight="1" x14ac:dyDescent="0.15"/>
    <row r="1756" ht="60" customHeight="1" x14ac:dyDescent="0.15"/>
    <row r="1757" ht="60" customHeight="1" x14ac:dyDescent="0.15"/>
    <row r="1758" ht="60" customHeight="1" x14ac:dyDescent="0.15"/>
    <row r="1759" ht="60" customHeight="1" x14ac:dyDescent="0.15"/>
    <row r="1760" ht="60" customHeight="1" x14ac:dyDescent="0.15"/>
    <row r="1761" ht="60" customHeight="1" x14ac:dyDescent="0.15"/>
    <row r="1762" ht="60" customHeight="1" x14ac:dyDescent="0.15"/>
    <row r="1763" ht="60" customHeight="1" x14ac:dyDescent="0.15"/>
    <row r="1764" ht="60" customHeight="1" x14ac:dyDescent="0.15"/>
    <row r="1765" ht="60" customHeight="1" x14ac:dyDescent="0.15"/>
    <row r="1766" ht="60" customHeight="1" x14ac:dyDescent="0.15"/>
    <row r="1767" ht="60" customHeight="1" x14ac:dyDescent="0.15"/>
    <row r="1768" ht="60" customHeight="1" x14ac:dyDescent="0.15"/>
    <row r="1769" ht="60" customHeight="1" x14ac:dyDescent="0.15"/>
    <row r="1770" ht="60" customHeight="1" x14ac:dyDescent="0.15"/>
    <row r="1771" ht="60" customHeight="1" x14ac:dyDescent="0.15"/>
    <row r="1772" ht="60" customHeight="1" x14ac:dyDescent="0.15"/>
    <row r="1773" ht="60" customHeight="1" x14ac:dyDescent="0.15"/>
  </sheetData>
  <sheetProtection formatCells="0" formatColumns="0" formatRows="0" insertColumns="0" insertRows="0" insertHyperlinks="0" deleteColumns="0" deleteRows="0" selectLockedCells="1" sort="0" autoFilter="0" pivotTables="0"/>
  <autoFilter ref="A7:L195" xr:uid="{1A91427D-C7CC-4FC4-9DC4-86D6A361C0F1}"/>
  <mergeCells count="11">
    <mergeCell ref="J1:K6"/>
    <mergeCell ref="L1:L6"/>
    <mergeCell ref="A1:C6"/>
    <mergeCell ref="D2:D3"/>
    <mergeCell ref="G2:G3"/>
    <mergeCell ref="F2:F3"/>
    <mergeCell ref="F4:I6"/>
    <mergeCell ref="H1:I1"/>
    <mergeCell ref="H2:I3"/>
    <mergeCell ref="E2:E3"/>
    <mergeCell ref="D4:E6"/>
  </mergeCells>
  <phoneticPr fontId="7" type="noConversion"/>
  <conditionalFormatting sqref="G2:H2">
    <cfRule type="cellIs" dxfId="33" priority="2" operator="equal">
      <formula>10</formula>
    </cfRule>
    <cfRule type="cellIs" dxfId="32" priority="3" operator="equal">
      <formula>9</formula>
    </cfRule>
    <cfRule type="cellIs" dxfId="31" priority="4" operator="equal">
      <formula>8</formula>
    </cfRule>
    <cfRule type="cellIs" dxfId="30" priority="5" operator="equal">
      <formula>7</formula>
    </cfRule>
    <cfRule type="cellIs" dxfId="29" priority="6" operator="equal">
      <formula>6</formula>
    </cfRule>
    <cfRule type="cellIs" dxfId="28" priority="7" operator="equal">
      <formula>5</formula>
    </cfRule>
    <cfRule type="cellIs" dxfId="27" priority="8" operator="equal">
      <formula>4</formula>
    </cfRule>
    <cfRule type="cellIs" dxfId="26" priority="9" operator="equal">
      <formula>3</formula>
    </cfRule>
    <cfRule type="cellIs" dxfId="25" priority="10" operator="equal">
      <formula>2</formula>
    </cfRule>
    <cfRule type="cellIs" dxfId="24" priority="11" operator="equal">
      <formula>1</formula>
    </cfRule>
  </conditionalFormatting>
  <pageMargins left="0.7" right="0.7" top="0.75" bottom="0.75" header="0.3" footer="0.3"/>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ggiornaDati">
                <anchor moveWithCells="1" sizeWithCells="1">
                  <from>
                    <xdr:col>9</xdr:col>
                    <xdr:colOff>85725</xdr:colOff>
                    <xdr:row>1</xdr:row>
                    <xdr:rowOff>76200</xdr:rowOff>
                  </from>
                  <to>
                    <xdr:col>10</xdr:col>
                    <xdr:colOff>704850</xdr:colOff>
                    <xdr:row>4</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8FA2B-B76A-41A7-84BA-30405A9ED806}">
  <sheetPr codeName="Foglio4">
    <pageSetUpPr fitToPage="1"/>
  </sheetPr>
  <dimension ref="A1:L806"/>
  <sheetViews>
    <sheetView view="pageBreakPreview" topLeftCell="A156" zoomScale="85" zoomScaleNormal="100" zoomScaleSheetLayoutView="85" workbookViewId="0">
      <selection activeCell="J158" sqref="J158"/>
    </sheetView>
  </sheetViews>
  <sheetFormatPr defaultRowHeight="10.5" x14ac:dyDescent="0.15"/>
  <cols>
    <col min="1" max="1" width="10.83203125" style="46" bestFit="1" customWidth="1"/>
    <col min="2" max="2" width="15.33203125" style="46" customWidth="1"/>
    <col min="3" max="3" width="56.83203125" style="46" bestFit="1" customWidth="1"/>
    <col min="4" max="4" width="10.5" style="46" bestFit="1" customWidth="1"/>
    <col min="5" max="5" width="50.6640625" style="46" customWidth="1"/>
    <col min="6" max="6" width="39.6640625" style="46" customWidth="1"/>
    <col min="7" max="7" width="7.33203125" style="46" customWidth="1"/>
    <col min="8" max="8" width="17.6640625" style="46" customWidth="1"/>
    <col min="9" max="9" width="13.83203125" style="46" customWidth="1"/>
    <col min="10" max="10" width="18.6640625" style="46" bestFit="1" customWidth="1"/>
    <col min="11" max="11" width="10.1640625" style="46" bestFit="1" customWidth="1"/>
    <col min="12" max="12" width="18.6640625" style="46" customWidth="1"/>
    <col min="13" max="16384" width="9.33203125" style="46"/>
  </cols>
  <sheetData>
    <row r="1" spans="1:12" ht="15" customHeight="1" x14ac:dyDescent="0.15">
      <c r="A1" s="172"/>
      <c r="B1" s="172"/>
      <c r="C1" s="172"/>
      <c r="D1" s="140" t="s">
        <v>216</v>
      </c>
      <c r="E1" s="141" t="s">
        <v>217</v>
      </c>
      <c r="F1" s="141" t="s">
        <v>209</v>
      </c>
      <c r="G1" s="141" t="s">
        <v>1</v>
      </c>
      <c r="H1" s="206" t="s">
        <v>218</v>
      </c>
      <c r="I1" s="207"/>
      <c r="J1" s="208"/>
      <c r="K1" s="208"/>
      <c r="L1" s="208"/>
    </row>
    <row r="2" spans="1:12" ht="15" customHeight="1" x14ac:dyDescent="0.15">
      <c r="A2" s="172"/>
      <c r="B2" s="172"/>
      <c r="C2" s="172"/>
      <c r="D2" s="197" t="str">
        <f>'BOM Index'!A34</f>
        <v>BE0806C</v>
      </c>
      <c r="E2" s="197" t="str">
        <f>'BOM Index'!C34</f>
        <v>BE0806C-C010270</v>
      </c>
      <c r="F2" s="199">
        <f ca="1">'BOM Index'!F34</f>
        <v>45845</v>
      </c>
      <c r="G2" s="198">
        <f>'BOM Index'!E34</f>
        <v>0</v>
      </c>
      <c r="H2" s="198" t="s">
        <v>249</v>
      </c>
      <c r="I2" s="198"/>
      <c r="J2" s="208"/>
      <c r="K2" s="208"/>
      <c r="L2" s="208"/>
    </row>
    <row r="3" spans="1:12" ht="15" customHeight="1" x14ac:dyDescent="0.15">
      <c r="A3" s="172"/>
      <c r="B3" s="172"/>
      <c r="C3" s="172"/>
      <c r="D3" s="197"/>
      <c r="E3" s="197"/>
      <c r="F3" s="199"/>
      <c r="G3" s="198"/>
      <c r="H3" s="198"/>
      <c r="I3" s="198"/>
      <c r="J3" s="208"/>
      <c r="K3" s="208"/>
      <c r="L3" s="208"/>
    </row>
    <row r="4" spans="1:12" ht="15" customHeight="1" x14ac:dyDescent="0.15">
      <c r="A4" s="172"/>
      <c r="B4" s="172"/>
      <c r="C4" s="172"/>
      <c r="D4" s="176" t="s">
        <v>226</v>
      </c>
      <c r="E4" s="178"/>
      <c r="F4" s="159" t="str">
        <f>'BOM Index'!D4</f>
        <v>COC-CP 700 S</v>
      </c>
      <c r="G4" s="160"/>
      <c r="H4" s="160"/>
      <c r="I4" s="165"/>
      <c r="J4" s="208"/>
      <c r="K4" s="208"/>
      <c r="L4" s="208"/>
    </row>
    <row r="5" spans="1:12" ht="15" customHeight="1" x14ac:dyDescent="0.15">
      <c r="A5" s="172"/>
      <c r="B5" s="172"/>
      <c r="C5" s="172"/>
      <c r="D5" s="176"/>
      <c r="E5" s="178"/>
      <c r="F5" s="161"/>
      <c r="G5" s="162"/>
      <c r="H5" s="162"/>
      <c r="I5" s="166"/>
      <c r="J5" s="208"/>
      <c r="K5" s="208"/>
      <c r="L5" s="208"/>
    </row>
    <row r="6" spans="1:12" ht="15" customHeight="1" x14ac:dyDescent="0.15">
      <c r="A6" s="172"/>
      <c r="B6" s="172"/>
      <c r="C6" s="172"/>
      <c r="D6" s="179"/>
      <c r="E6" s="181"/>
      <c r="F6" s="163"/>
      <c r="G6" s="164"/>
      <c r="H6" s="164"/>
      <c r="I6" s="167"/>
      <c r="J6" s="208"/>
      <c r="K6" s="208"/>
      <c r="L6" s="208"/>
    </row>
    <row r="7" spans="1:12" ht="20.100000000000001" customHeight="1" x14ac:dyDescent="0.25">
      <c r="A7" s="139" t="s">
        <v>144</v>
      </c>
      <c r="B7" s="139" t="s">
        <v>227</v>
      </c>
      <c r="C7" s="139" t="s">
        <v>145</v>
      </c>
      <c r="D7" s="139" t="s">
        <v>150</v>
      </c>
      <c r="E7" s="139" t="s">
        <v>146</v>
      </c>
      <c r="F7" s="139" t="s">
        <v>147</v>
      </c>
      <c r="G7" s="139" t="s">
        <v>148</v>
      </c>
      <c r="H7" s="139" t="s">
        <v>149</v>
      </c>
      <c r="I7" s="139" t="s">
        <v>246</v>
      </c>
      <c r="J7" s="139" t="s">
        <v>269</v>
      </c>
      <c r="K7" s="139" t="s">
        <v>270</v>
      </c>
      <c r="L7" s="139" t="s">
        <v>3180</v>
      </c>
    </row>
    <row r="8" spans="1:12" s="99" customFormat="1" ht="60" customHeight="1" x14ac:dyDescent="0.25">
      <c r="A8" s="95">
        <v>0</v>
      </c>
      <c r="B8" s="49" t="e" vm="1">
        <v>#VALUE!</v>
      </c>
      <c r="C8" s="95" t="s">
        <v>3533</v>
      </c>
      <c r="D8" s="95">
        <v>0</v>
      </c>
      <c r="E8" s="95" t="s">
        <v>3535</v>
      </c>
      <c r="F8" s="95" t="s">
        <v>3534</v>
      </c>
      <c r="G8" s="95">
        <v>1</v>
      </c>
      <c r="H8" s="95">
        <v>0</v>
      </c>
      <c r="I8" s="46"/>
      <c r="J8" s="95" t="s">
        <v>3536</v>
      </c>
      <c r="K8" s="46"/>
      <c r="L8" s="46"/>
    </row>
    <row r="9" spans="1:12" s="99" customFormat="1" ht="60" customHeight="1" x14ac:dyDescent="0.25">
      <c r="A9" s="34" t="s">
        <v>151</v>
      </c>
      <c r="B9"/>
      <c r="C9" s="34" t="s">
        <v>3911</v>
      </c>
      <c r="D9" s="34" t="s">
        <v>3667</v>
      </c>
      <c r="E9" s="34" t="s">
        <v>3912</v>
      </c>
      <c r="F9" s="34" t="s">
        <v>3913</v>
      </c>
      <c r="G9" s="34">
        <v>2</v>
      </c>
      <c r="H9" s="34" t="s">
        <v>3914</v>
      </c>
      <c r="I9"/>
      <c r="J9" s="34" t="s">
        <v>3915</v>
      </c>
      <c r="K9"/>
      <c r="L9" s="34" t="s">
        <v>3916</v>
      </c>
    </row>
    <row r="10" spans="1:12" ht="60" customHeight="1" x14ac:dyDescent="0.25">
      <c r="A10" s="34" t="s">
        <v>160</v>
      </c>
      <c r="B10"/>
      <c r="C10" s="34" t="s">
        <v>3896</v>
      </c>
      <c r="D10" s="34" t="s">
        <v>3667</v>
      </c>
      <c r="E10" s="34" t="s">
        <v>3897</v>
      </c>
      <c r="F10" s="34" t="s">
        <v>3898</v>
      </c>
      <c r="G10" s="34">
        <v>1</v>
      </c>
      <c r="H10" s="34" t="s">
        <v>3899</v>
      </c>
      <c r="I10"/>
      <c r="J10" s="34" t="s">
        <v>3714</v>
      </c>
      <c r="K10"/>
      <c r="L10" s="34" t="s">
        <v>3678</v>
      </c>
    </row>
    <row r="11" spans="1:12" ht="60" customHeight="1" x14ac:dyDescent="0.25">
      <c r="A11" s="34" t="s">
        <v>161</v>
      </c>
      <c r="B11"/>
      <c r="C11" s="34" t="s">
        <v>3901</v>
      </c>
      <c r="D11" s="34" t="s">
        <v>3667</v>
      </c>
      <c r="E11" s="34" t="s">
        <v>3902</v>
      </c>
      <c r="F11" s="34" t="s">
        <v>3903</v>
      </c>
      <c r="G11" s="34">
        <v>1</v>
      </c>
      <c r="H11" s="34" t="s">
        <v>3904</v>
      </c>
      <c r="I11"/>
      <c r="J11" s="34" t="s">
        <v>3714</v>
      </c>
      <c r="K11"/>
      <c r="L11" s="34" t="s">
        <v>3678</v>
      </c>
    </row>
    <row r="12" spans="1:12" ht="60" customHeight="1" x14ac:dyDescent="0.25">
      <c r="A12" s="34" t="s">
        <v>163</v>
      </c>
      <c r="B12"/>
      <c r="C12" s="34" t="s">
        <v>3906</v>
      </c>
      <c r="D12" s="34" t="s">
        <v>3667</v>
      </c>
      <c r="E12" s="34" t="s">
        <v>3907</v>
      </c>
      <c r="F12" s="34" t="s">
        <v>3908</v>
      </c>
      <c r="G12" s="34">
        <v>1</v>
      </c>
      <c r="H12" s="34" t="s">
        <v>3909</v>
      </c>
      <c r="I12"/>
      <c r="J12" s="34" t="s">
        <v>3714</v>
      </c>
      <c r="K12"/>
      <c r="L12" s="34" t="s">
        <v>3678</v>
      </c>
    </row>
    <row r="13" spans="1:12" ht="60" customHeight="1" x14ac:dyDescent="0.25">
      <c r="A13" s="34" t="s">
        <v>3890</v>
      </c>
      <c r="B13"/>
      <c r="C13" s="34" t="s">
        <v>3970</v>
      </c>
      <c r="D13" s="34" t="s">
        <v>3667</v>
      </c>
      <c r="E13" s="34" t="s">
        <v>3971</v>
      </c>
      <c r="F13" s="34" t="s">
        <v>3972</v>
      </c>
      <c r="G13" s="34">
        <v>1</v>
      </c>
      <c r="H13" s="34" t="s">
        <v>3973</v>
      </c>
      <c r="I13"/>
      <c r="J13" s="34" t="s">
        <v>3714</v>
      </c>
      <c r="K13"/>
      <c r="L13" s="34" t="s">
        <v>3678</v>
      </c>
    </row>
    <row r="14" spans="1:12" ht="60" customHeight="1" x14ac:dyDescent="0.25">
      <c r="A14" s="34" t="s">
        <v>164</v>
      </c>
      <c r="B14"/>
      <c r="C14" s="34" t="s">
        <v>3975</v>
      </c>
      <c r="D14" s="34" t="s">
        <v>3667</v>
      </c>
      <c r="E14" s="34" t="s">
        <v>3976</v>
      </c>
      <c r="F14" s="34" t="s">
        <v>3977</v>
      </c>
      <c r="G14" s="34">
        <v>1</v>
      </c>
      <c r="H14" s="34" t="s">
        <v>3978</v>
      </c>
      <c r="I14"/>
      <c r="J14" s="34" t="s">
        <v>3714</v>
      </c>
      <c r="K14"/>
      <c r="L14" s="34" t="s">
        <v>3678</v>
      </c>
    </row>
    <row r="15" spans="1:12" ht="60" customHeight="1" x14ac:dyDescent="0.25">
      <c r="A15" s="34" t="s">
        <v>4001</v>
      </c>
      <c r="B15"/>
      <c r="C15" s="34" t="s">
        <v>3951</v>
      </c>
      <c r="D15" s="34" t="s">
        <v>3667</v>
      </c>
      <c r="E15" s="34" t="s">
        <v>3952</v>
      </c>
      <c r="F15" s="34" t="s">
        <v>3953</v>
      </c>
      <c r="G15" s="34">
        <v>1</v>
      </c>
      <c r="H15" s="34" t="s">
        <v>3954</v>
      </c>
      <c r="I15" s="34" t="s">
        <v>3942</v>
      </c>
      <c r="J15" s="34" t="s">
        <v>3536</v>
      </c>
      <c r="K15"/>
      <c r="L15" s="34" t="s">
        <v>3949</v>
      </c>
    </row>
    <row r="16" spans="1:12" ht="60" customHeight="1" x14ac:dyDescent="0.25">
      <c r="A16" s="34" t="s">
        <v>165</v>
      </c>
      <c r="B16"/>
      <c r="C16" s="34" t="s">
        <v>3956</v>
      </c>
      <c r="D16" s="34" t="s">
        <v>3667</v>
      </c>
      <c r="E16" s="34" t="s">
        <v>3957</v>
      </c>
      <c r="F16" s="34" t="s">
        <v>3958</v>
      </c>
      <c r="G16" s="34">
        <v>1</v>
      </c>
      <c r="H16" s="34" t="s">
        <v>3959</v>
      </c>
      <c r="I16" s="34" t="s">
        <v>3942</v>
      </c>
      <c r="J16" s="34" t="s">
        <v>3536</v>
      </c>
      <c r="K16"/>
      <c r="L16" s="34" t="s">
        <v>3949</v>
      </c>
    </row>
    <row r="17" spans="1:12" ht="60" customHeight="1" x14ac:dyDescent="0.25">
      <c r="A17" s="34" t="s">
        <v>169</v>
      </c>
      <c r="B17"/>
      <c r="C17" s="34" t="s">
        <v>3961</v>
      </c>
      <c r="D17" s="34" t="s">
        <v>3667</v>
      </c>
      <c r="E17" s="34" t="s">
        <v>3962</v>
      </c>
      <c r="F17" s="34" t="s">
        <v>3963</v>
      </c>
      <c r="G17" s="34">
        <v>1</v>
      </c>
      <c r="H17" s="34" t="s">
        <v>3964</v>
      </c>
      <c r="I17" s="34" t="s">
        <v>3942</v>
      </c>
      <c r="J17" s="34" t="s">
        <v>3536</v>
      </c>
      <c r="K17"/>
      <c r="L17" s="34" t="s">
        <v>3949</v>
      </c>
    </row>
    <row r="18" spans="1:12" ht="60" customHeight="1" x14ac:dyDescent="0.25">
      <c r="A18" s="34" t="s">
        <v>166</v>
      </c>
      <c r="B18"/>
      <c r="C18" s="34" t="s">
        <v>4357</v>
      </c>
      <c r="D18" s="34" t="s">
        <v>3667</v>
      </c>
      <c r="E18" s="34" t="s">
        <v>4358</v>
      </c>
      <c r="F18" s="34" t="s">
        <v>4359</v>
      </c>
      <c r="G18" s="34">
        <v>1</v>
      </c>
      <c r="H18" s="34" t="s">
        <v>4360</v>
      </c>
      <c r="I18" s="34" t="s">
        <v>3942</v>
      </c>
      <c r="J18" s="34" t="s">
        <v>3536</v>
      </c>
      <c r="K18"/>
      <c r="L18" s="34" t="s">
        <v>3949</v>
      </c>
    </row>
    <row r="19" spans="1:12" ht="60" customHeight="1" x14ac:dyDescent="0.25">
      <c r="A19" s="34" t="s">
        <v>167</v>
      </c>
      <c r="B19"/>
      <c r="C19" s="34" t="s">
        <v>4351</v>
      </c>
      <c r="D19" s="34" t="s">
        <v>3667</v>
      </c>
      <c r="E19" s="34" t="s">
        <v>4352</v>
      </c>
      <c r="F19" s="34" t="s">
        <v>4353</v>
      </c>
      <c r="G19" s="34">
        <v>1</v>
      </c>
      <c r="H19" s="34" t="s">
        <v>4354</v>
      </c>
      <c r="I19"/>
      <c r="J19" s="34" t="s">
        <v>3536</v>
      </c>
      <c r="K19"/>
      <c r="L19" s="34" t="s">
        <v>4355</v>
      </c>
    </row>
    <row r="20" spans="1:12" ht="60" customHeight="1" x14ac:dyDescent="0.25">
      <c r="A20" s="34" t="s">
        <v>4146</v>
      </c>
      <c r="B20"/>
      <c r="C20" s="34" t="s">
        <v>4346</v>
      </c>
      <c r="D20" s="34" t="s">
        <v>3667</v>
      </c>
      <c r="E20" s="34" t="s">
        <v>4347</v>
      </c>
      <c r="F20" s="34" t="s">
        <v>4348</v>
      </c>
      <c r="G20" s="34">
        <v>1</v>
      </c>
      <c r="H20" s="34" t="s">
        <v>4349</v>
      </c>
      <c r="I20"/>
      <c r="J20" s="34" t="s">
        <v>3536</v>
      </c>
      <c r="K20"/>
      <c r="L20"/>
    </row>
    <row r="21" spans="1:12" ht="60" customHeight="1" x14ac:dyDescent="0.25">
      <c r="A21" s="34" t="s">
        <v>4151</v>
      </c>
      <c r="B21"/>
      <c r="C21" s="34" t="s">
        <v>4362</v>
      </c>
      <c r="D21" s="34" t="s">
        <v>3667</v>
      </c>
      <c r="E21" s="34" t="s">
        <v>4363</v>
      </c>
      <c r="F21" s="34" t="s">
        <v>4364</v>
      </c>
      <c r="G21" s="34">
        <v>1</v>
      </c>
      <c r="H21" s="34" t="s">
        <v>4365</v>
      </c>
      <c r="I21" s="34" t="s">
        <v>3942</v>
      </c>
      <c r="J21" s="34" t="s">
        <v>3536</v>
      </c>
      <c r="K21"/>
      <c r="L21" s="34" t="s">
        <v>4322</v>
      </c>
    </row>
    <row r="22" spans="1:12" ht="60" customHeight="1" x14ac:dyDescent="0.25">
      <c r="A22" s="34" t="s">
        <v>4156</v>
      </c>
      <c r="B22"/>
      <c r="C22" s="34" t="s">
        <v>4218</v>
      </c>
      <c r="D22"/>
      <c r="E22" s="34" t="s">
        <v>4219</v>
      </c>
      <c r="F22" s="34" t="s">
        <v>4220</v>
      </c>
      <c r="G22" s="34">
        <v>3</v>
      </c>
      <c r="H22" s="34" t="s">
        <v>3914</v>
      </c>
      <c r="I22"/>
      <c r="J22" s="34" t="s">
        <v>3831</v>
      </c>
      <c r="K22"/>
      <c r="L22" s="34" t="s">
        <v>3832</v>
      </c>
    </row>
    <row r="23" spans="1:12" ht="60" customHeight="1" x14ac:dyDescent="0.25">
      <c r="A23" s="34" t="s">
        <v>4177</v>
      </c>
      <c r="B23" s="34" t="s">
        <v>4488</v>
      </c>
      <c r="C23" s="34" t="s">
        <v>3991</v>
      </c>
      <c r="D23"/>
      <c r="E23" s="34" t="s">
        <v>4488</v>
      </c>
      <c r="F23" s="34" t="s">
        <v>4488</v>
      </c>
      <c r="G23" s="34">
        <v>14</v>
      </c>
      <c r="H23" s="34" t="s">
        <v>3994</v>
      </c>
      <c r="I23"/>
      <c r="J23" s="34" t="s">
        <v>3831</v>
      </c>
      <c r="K23"/>
      <c r="L23" s="34" t="s">
        <v>3832</v>
      </c>
    </row>
    <row r="24" spans="1:12" ht="60" customHeight="1" x14ac:dyDescent="0.25">
      <c r="A24" s="34" t="s">
        <v>4230</v>
      </c>
      <c r="B24"/>
      <c r="C24" s="34" t="s">
        <v>3933</v>
      </c>
      <c r="D24"/>
      <c r="E24" s="34" t="s">
        <v>3934</v>
      </c>
      <c r="F24" s="34" t="s">
        <v>3935</v>
      </c>
      <c r="G24" s="34">
        <v>6</v>
      </c>
      <c r="H24" s="34" t="s">
        <v>3936</v>
      </c>
      <c r="I24"/>
      <c r="J24" s="34" t="s">
        <v>3831</v>
      </c>
      <c r="K24"/>
      <c r="L24" s="34" t="s">
        <v>3832</v>
      </c>
    </row>
    <row r="25" spans="1:12" ht="60" customHeight="1" x14ac:dyDescent="0.25">
      <c r="A25" s="34" t="s">
        <v>4236</v>
      </c>
      <c r="B25"/>
      <c r="C25" s="34" t="s">
        <v>4168</v>
      </c>
      <c r="D25"/>
      <c r="E25" s="34" t="s">
        <v>4169</v>
      </c>
      <c r="F25" s="34" t="s">
        <v>4170</v>
      </c>
      <c r="G25" s="34">
        <v>65</v>
      </c>
      <c r="H25" s="34" t="s">
        <v>4171</v>
      </c>
      <c r="I25"/>
      <c r="J25" s="34" t="s">
        <v>3831</v>
      </c>
      <c r="K25"/>
      <c r="L25" s="34" t="s">
        <v>3832</v>
      </c>
    </row>
    <row r="26" spans="1:12" ht="60" customHeight="1" x14ac:dyDescent="0.25">
      <c r="A26" s="34" t="s">
        <v>4256</v>
      </c>
      <c r="B26"/>
      <c r="C26" s="34" t="s">
        <v>4400</v>
      </c>
      <c r="D26"/>
      <c r="E26" s="34" t="s">
        <v>4169</v>
      </c>
      <c r="F26" s="34" t="s">
        <v>4170</v>
      </c>
      <c r="G26" s="34">
        <v>2</v>
      </c>
      <c r="H26" s="34" t="s">
        <v>4401</v>
      </c>
      <c r="I26"/>
      <c r="J26" s="34" t="s">
        <v>3831</v>
      </c>
      <c r="K26"/>
      <c r="L26" s="34" t="s">
        <v>3832</v>
      </c>
    </row>
    <row r="27" spans="1:12" ht="60" customHeight="1" x14ac:dyDescent="0.25">
      <c r="A27" s="34" t="s">
        <v>4260</v>
      </c>
      <c r="B27"/>
      <c r="C27" s="34" t="s">
        <v>3923</v>
      </c>
      <c r="D27"/>
      <c r="E27" s="34" t="s">
        <v>3924</v>
      </c>
      <c r="F27" s="34" t="s">
        <v>3925</v>
      </c>
      <c r="G27" s="34">
        <v>6</v>
      </c>
      <c r="H27" s="34" t="s">
        <v>3926</v>
      </c>
      <c r="I27"/>
      <c r="J27" s="34" t="s">
        <v>3831</v>
      </c>
      <c r="K27"/>
      <c r="L27" s="34" t="s">
        <v>3832</v>
      </c>
    </row>
    <row r="28" spans="1:12" ht="60" customHeight="1" x14ac:dyDescent="0.25">
      <c r="A28" s="34" t="s">
        <v>4279</v>
      </c>
      <c r="B28"/>
      <c r="C28" s="34" t="s">
        <v>4432</v>
      </c>
      <c r="D28"/>
      <c r="E28" s="34" t="s">
        <v>4433</v>
      </c>
      <c r="F28" s="34" t="s">
        <v>4434</v>
      </c>
      <c r="G28" s="34">
        <v>1</v>
      </c>
      <c r="H28" s="34" t="s">
        <v>4435</v>
      </c>
      <c r="I28"/>
      <c r="J28" s="34" t="s">
        <v>3831</v>
      </c>
      <c r="K28"/>
      <c r="L28" s="34" t="s">
        <v>3832</v>
      </c>
    </row>
    <row r="29" spans="1:12" ht="60" customHeight="1" x14ac:dyDescent="0.25">
      <c r="A29" s="34" t="s">
        <v>4284</v>
      </c>
      <c r="B29"/>
      <c r="C29" s="34" t="s">
        <v>4437</v>
      </c>
      <c r="D29"/>
      <c r="E29" s="34" t="s">
        <v>4438</v>
      </c>
      <c r="F29" s="34" t="s">
        <v>4439</v>
      </c>
      <c r="G29" s="34">
        <v>4</v>
      </c>
      <c r="H29" s="34" t="s">
        <v>4440</v>
      </c>
      <c r="I29"/>
      <c r="J29" s="34" t="s">
        <v>3831</v>
      </c>
      <c r="K29"/>
      <c r="L29" s="34" t="s">
        <v>3832</v>
      </c>
    </row>
    <row r="30" spans="1:12" ht="60" customHeight="1" x14ac:dyDescent="0.25">
      <c r="A30" s="34" t="s">
        <v>168</v>
      </c>
      <c r="B30"/>
      <c r="C30" s="34" t="s">
        <v>4442</v>
      </c>
      <c r="D30"/>
      <c r="E30" s="34" t="s">
        <v>4443</v>
      </c>
      <c r="F30" s="34" t="s">
        <v>4444</v>
      </c>
      <c r="G30" s="34">
        <v>2</v>
      </c>
      <c r="H30" s="34" t="s">
        <v>4445</v>
      </c>
      <c r="I30"/>
      <c r="J30" s="34" t="s">
        <v>3831</v>
      </c>
      <c r="K30"/>
      <c r="L30" s="34" t="s">
        <v>3832</v>
      </c>
    </row>
    <row r="31" spans="1:12" ht="60" customHeight="1" x14ac:dyDescent="0.25">
      <c r="A31" s="34" t="s">
        <v>170</v>
      </c>
      <c r="B31"/>
      <c r="C31" s="34" t="s">
        <v>4208</v>
      </c>
      <c r="D31"/>
      <c r="E31" s="34" t="s">
        <v>4209</v>
      </c>
      <c r="F31" s="34" t="s">
        <v>4210</v>
      </c>
      <c r="G31" s="34">
        <v>4</v>
      </c>
      <c r="H31" s="34" t="s">
        <v>4211</v>
      </c>
      <c r="I31"/>
      <c r="J31" s="34" t="s">
        <v>3831</v>
      </c>
      <c r="K31"/>
      <c r="L31" s="34" t="s">
        <v>3832</v>
      </c>
    </row>
    <row r="32" spans="1:12" ht="60" customHeight="1" x14ac:dyDescent="0.25">
      <c r="A32" s="34" t="s">
        <v>171</v>
      </c>
      <c r="B32"/>
      <c r="C32" s="34" t="s">
        <v>4425</v>
      </c>
      <c r="D32"/>
      <c r="E32" s="34" t="s">
        <v>4426</v>
      </c>
      <c r="F32" s="34" t="s">
        <v>4427</v>
      </c>
      <c r="G32" s="34">
        <v>6</v>
      </c>
      <c r="H32" s="34" t="s">
        <v>4428</v>
      </c>
      <c r="I32"/>
      <c r="J32" s="34" t="s">
        <v>3831</v>
      </c>
      <c r="K32"/>
      <c r="L32" s="34" t="s">
        <v>3832</v>
      </c>
    </row>
    <row r="33" spans="1:12" ht="60" customHeight="1" x14ac:dyDescent="0.25">
      <c r="A33" s="34" t="s">
        <v>172</v>
      </c>
      <c r="B33"/>
      <c r="C33" s="34" t="s">
        <v>3986</v>
      </c>
      <c r="D33"/>
      <c r="E33" s="34" t="s">
        <v>3987</v>
      </c>
      <c r="F33" s="34" t="s">
        <v>3988</v>
      </c>
      <c r="G33" s="34">
        <v>4</v>
      </c>
      <c r="H33" s="34" t="s">
        <v>3989</v>
      </c>
      <c r="I33"/>
      <c r="J33" s="34" t="s">
        <v>3831</v>
      </c>
      <c r="K33"/>
      <c r="L33" s="34" t="s">
        <v>3832</v>
      </c>
    </row>
    <row r="34" spans="1:12" ht="60" customHeight="1" x14ac:dyDescent="0.25">
      <c r="A34" s="34" t="s">
        <v>173</v>
      </c>
      <c r="B34"/>
      <c r="C34" s="34" t="s">
        <v>3928</v>
      </c>
      <c r="D34"/>
      <c r="E34" s="34" t="s">
        <v>3929</v>
      </c>
      <c r="F34" s="34" t="s">
        <v>3930</v>
      </c>
      <c r="G34" s="34">
        <v>6</v>
      </c>
      <c r="H34" s="34" t="s">
        <v>3931</v>
      </c>
      <c r="I34"/>
      <c r="J34" s="34" t="s">
        <v>3831</v>
      </c>
      <c r="K34"/>
      <c r="L34" s="34" t="s">
        <v>3832</v>
      </c>
    </row>
    <row r="35" spans="1:12" ht="60" customHeight="1" x14ac:dyDescent="0.25">
      <c r="A35" s="34" t="s">
        <v>4489</v>
      </c>
      <c r="B35"/>
      <c r="C35" s="34" t="s">
        <v>4173</v>
      </c>
      <c r="D35"/>
      <c r="E35" s="34" t="s">
        <v>4174</v>
      </c>
      <c r="F35" s="34" t="s">
        <v>4175</v>
      </c>
      <c r="G35" s="34">
        <v>12</v>
      </c>
      <c r="H35" s="34" t="s">
        <v>4176</v>
      </c>
      <c r="I35"/>
      <c r="J35" s="34" t="s">
        <v>3831</v>
      </c>
      <c r="K35"/>
      <c r="L35" s="34" t="s">
        <v>3832</v>
      </c>
    </row>
    <row r="36" spans="1:12" ht="60" customHeight="1" x14ac:dyDescent="0.25">
      <c r="A36" s="34" t="s">
        <v>4490</v>
      </c>
      <c r="B36"/>
      <c r="C36" s="34" t="s">
        <v>4409</v>
      </c>
      <c r="D36"/>
      <c r="E36" s="34" t="s">
        <v>4410</v>
      </c>
      <c r="F36" s="34" t="s">
        <v>4411</v>
      </c>
      <c r="G36" s="34">
        <v>20</v>
      </c>
      <c r="H36" s="34" t="s">
        <v>4301</v>
      </c>
      <c r="I36"/>
      <c r="J36" s="34" t="s">
        <v>3831</v>
      </c>
      <c r="K36"/>
      <c r="L36" s="34" t="s">
        <v>3832</v>
      </c>
    </row>
    <row r="37" spans="1:12" ht="60" customHeight="1" x14ac:dyDescent="0.25">
      <c r="A37" s="34" t="s">
        <v>4491</v>
      </c>
      <c r="B37"/>
      <c r="C37" s="34" t="s">
        <v>3881</v>
      </c>
      <c r="D37"/>
      <c r="E37" s="34" t="s">
        <v>3882</v>
      </c>
      <c r="F37" s="34" t="s">
        <v>3883</v>
      </c>
      <c r="G37" s="34">
        <v>18</v>
      </c>
      <c r="H37" s="34" t="s">
        <v>3884</v>
      </c>
      <c r="I37"/>
      <c r="J37" s="34" t="s">
        <v>3831</v>
      </c>
      <c r="K37"/>
      <c r="L37" s="34" t="s">
        <v>3832</v>
      </c>
    </row>
    <row r="38" spans="1:12" ht="60" customHeight="1" x14ac:dyDescent="0.25">
      <c r="A38" s="34" t="s">
        <v>4492</v>
      </c>
      <c r="B38"/>
      <c r="C38" s="34" t="s">
        <v>4413</v>
      </c>
      <c r="D38"/>
      <c r="E38" s="34" t="s">
        <v>4414</v>
      </c>
      <c r="F38" s="34" t="s">
        <v>4415</v>
      </c>
      <c r="G38" s="34">
        <v>27</v>
      </c>
      <c r="H38" s="34" t="s">
        <v>4416</v>
      </c>
      <c r="I38"/>
      <c r="J38" s="34" t="s">
        <v>3831</v>
      </c>
      <c r="K38"/>
      <c r="L38" s="34" t="s">
        <v>3832</v>
      </c>
    </row>
    <row r="39" spans="1:12" ht="60" customHeight="1" x14ac:dyDescent="0.25">
      <c r="A39" s="34" t="s">
        <v>4493</v>
      </c>
      <c r="B39"/>
      <c r="C39" s="34" t="s">
        <v>3839</v>
      </c>
      <c r="D39"/>
      <c r="E39" s="34" t="s">
        <v>3840</v>
      </c>
      <c r="F39" s="34" t="s">
        <v>3841</v>
      </c>
      <c r="G39" s="34">
        <v>24</v>
      </c>
      <c r="H39" s="34" t="s">
        <v>3842</v>
      </c>
      <c r="I39"/>
      <c r="J39" s="34" t="s">
        <v>3831</v>
      </c>
      <c r="K39"/>
      <c r="L39" s="34" t="s">
        <v>3832</v>
      </c>
    </row>
    <row r="40" spans="1:12" ht="60" customHeight="1" x14ac:dyDescent="0.25">
      <c r="A40" s="34" t="s">
        <v>4494</v>
      </c>
      <c r="B40"/>
      <c r="C40" s="34" t="s">
        <v>3876</v>
      </c>
      <c r="D40"/>
      <c r="E40" s="34" t="s">
        <v>3877</v>
      </c>
      <c r="F40" s="34" t="s">
        <v>3878</v>
      </c>
      <c r="G40" s="34">
        <v>12</v>
      </c>
      <c r="H40" s="34" t="s">
        <v>3879</v>
      </c>
      <c r="I40"/>
      <c r="J40" s="34" t="s">
        <v>3831</v>
      </c>
      <c r="K40"/>
      <c r="L40" s="34" t="s">
        <v>3832</v>
      </c>
    </row>
    <row r="41" spans="1:12" ht="60" customHeight="1" x14ac:dyDescent="0.25">
      <c r="A41" s="34" t="s">
        <v>4495</v>
      </c>
      <c r="B41"/>
      <c r="C41" s="34" t="s">
        <v>4313</v>
      </c>
      <c r="D41"/>
      <c r="E41" s="34" t="s">
        <v>4314</v>
      </c>
      <c r="F41" s="34" t="s">
        <v>4315</v>
      </c>
      <c r="G41" s="34">
        <v>4</v>
      </c>
      <c r="H41" s="34" t="s">
        <v>4316</v>
      </c>
      <c r="I41"/>
      <c r="J41" s="34" t="s">
        <v>3831</v>
      </c>
      <c r="K41"/>
      <c r="L41" s="34" t="s">
        <v>3832</v>
      </c>
    </row>
    <row r="42" spans="1:12" ht="60" customHeight="1" x14ac:dyDescent="0.25">
      <c r="A42" s="34" t="s">
        <v>4496</v>
      </c>
      <c r="B42"/>
      <c r="C42" s="34" t="s">
        <v>4395</v>
      </c>
      <c r="D42"/>
      <c r="E42" s="34" t="s">
        <v>4396</v>
      </c>
      <c r="F42" s="34" t="s">
        <v>4397</v>
      </c>
      <c r="G42" s="34">
        <v>2</v>
      </c>
      <c r="H42" s="34" t="s">
        <v>4398</v>
      </c>
      <c r="I42"/>
      <c r="J42" s="34" t="s">
        <v>3831</v>
      </c>
      <c r="K42"/>
      <c r="L42" s="34" t="s">
        <v>3832</v>
      </c>
    </row>
    <row r="43" spans="1:12" ht="60" customHeight="1" x14ac:dyDescent="0.25">
      <c r="A43" s="34" t="s">
        <v>4497</v>
      </c>
      <c r="B43"/>
      <c r="C43" s="34" t="s">
        <v>3918</v>
      </c>
      <c r="D43"/>
      <c r="E43" s="34" t="s">
        <v>3919</v>
      </c>
      <c r="F43" s="34" t="s">
        <v>3920</v>
      </c>
      <c r="G43" s="34">
        <v>6</v>
      </c>
      <c r="H43" s="34" t="s">
        <v>3921</v>
      </c>
      <c r="I43"/>
      <c r="J43" s="34" t="s">
        <v>3831</v>
      </c>
      <c r="K43"/>
      <c r="L43" s="34" t="s">
        <v>3832</v>
      </c>
    </row>
    <row r="44" spans="1:12" ht="60" customHeight="1" x14ac:dyDescent="0.25">
      <c r="A44" s="34" t="s">
        <v>4498</v>
      </c>
      <c r="B44"/>
      <c r="C44" s="34" t="s">
        <v>4382</v>
      </c>
      <c r="D44"/>
      <c r="E44" s="34" t="s">
        <v>4383</v>
      </c>
      <c r="F44" s="34" t="s">
        <v>4384</v>
      </c>
      <c r="G44" s="34">
        <v>2</v>
      </c>
      <c r="H44" s="34" t="s">
        <v>4385</v>
      </c>
      <c r="I44"/>
      <c r="J44" s="34" t="s">
        <v>3831</v>
      </c>
      <c r="K44"/>
      <c r="L44" s="34" t="s">
        <v>3832</v>
      </c>
    </row>
    <row r="45" spans="1:12" ht="60" customHeight="1" x14ac:dyDescent="0.25">
      <c r="A45" s="34" t="s">
        <v>4499</v>
      </c>
      <c r="B45"/>
      <c r="C45" s="34" t="s">
        <v>4198</v>
      </c>
      <c r="D45"/>
      <c r="E45" s="34" t="s">
        <v>4199</v>
      </c>
      <c r="F45" s="34" t="s">
        <v>4200</v>
      </c>
      <c r="G45" s="34">
        <v>2</v>
      </c>
      <c r="H45" s="34" t="s">
        <v>4201</v>
      </c>
      <c r="I45"/>
      <c r="J45" s="34" t="s">
        <v>3831</v>
      </c>
      <c r="K45"/>
      <c r="L45" s="34" t="s">
        <v>4070</v>
      </c>
    </row>
    <row r="46" spans="1:12" ht="60" customHeight="1" x14ac:dyDescent="0.25">
      <c r="A46" s="34" t="s">
        <v>4500</v>
      </c>
      <c r="B46"/>
      <c r="C46" s="34" t="s">
        <v>4420</v>
      </c>
      <c r="D46"/>
      <c r="E46" s="34" t="s">
        <v>4421</v>
      </c>
      <c r="F46" s="34" t="s">
        <v>4422</v>
      </c>
      <c r="G46" s="34">
        <v>47</v>
      </c>
      <c r="H46" s="34" t="s">
        <v>4423</v>
      </c>
      <c r="I46"/>
      <c r="J46" s="34" t="s">
        <v>3831</v>
      </c>
      <c r="K46"/>
      <c r="L46" s="34" t="s">
        <v>3832</v>
      </c>
    </row>
    <row r="47" spans="1:12" ht="60" customHeight="1" x14ac:dyDescent="0.25">
      <c r="A47" s="34" t="s">
        <v>4501</v>
      </c>
      <c r="B47"/>
      <c r="C47" s="34" t="s">
        <v>4066</v>
      </c>
      <c r="D47"/>
      <c r="E47" s="34" t="s">
        <v>4067</v>
      </c>
      <c r="F47" s="34" t="s">
        <v>4068</v>
      </c>
      <c r="G47" s="34">
        <v>6</v>
      </c>
      <c r="H47" s="34" t="s">
        <v>4069</v>
      </c>
      <c r="I47"/>
      <c r="J47" s="34" t="s">
        <v>3831</v>
      </c>
      <c r="K47"/>
      <c r="L47" s="34" t="s">
        <v>4070</v>
      </c>
    </row>
    <row r="48" spans="1:12" ht="60" customHeight="1" x14ac:dyDescent="0.25">
      <c r="A48" s="34" t="s">
        <v>4502</v>
      </c>
      <c r="B48"/>
      <c r="C48" s="34" t="s">
        <v>4142</v>
      </c>
      <c r="D48"/>
      <c r="E48" s="34" t="s">
        <v>4143</v>
      </c>
      <c r="F48" s="34" t="s">
        <v>4144</v>
      </c>
      <c r="G48" s="34">
        <v>2</v>
      </c>
      <c r="H48" s="34" t="s">
        <v>4145</v>
      </c>
      <c r="I48"/>
      <c r="J48" s="34" t="s">
        <v>3831</v>
      </c>
      <c r="K48"/>
      <c r="L48" s="34" t="s">
        <v>4070</v>
      </c>
    </row>
    <row r="49" spans="1:12" ht="60" customHeight="1" x14ac:dyDescent="0.25">
      <c r="A49" s="34" t="s">
        <v>4503</v>
      </c>
      <c r="B49"/>
      <c r="C49" s="34" t="s">
        <v>4391</v>
      </c>
      <c r="D49"/>
      <c r="E49" s="34" t="s">
        <v>4392</v>
      </c>
      <c r="F49" s="34" t="s">
        <v>4393</v>
      </c>
      <c r="G49" s="34">
        <v>4</v>
      </c>
      <c r="H49" s="34" t="s">
        <v>4145</v>
      </c>
      <c r="I49"/>
      <c r="J49" s="34" t="s">
        <v>3831</v>
      </c>
      <c r="K49"/>
      <c r="L49" s="34" t="s">
        <v>3832</v>
      </c>
    </row>
    <row r="50" spans="1:12" ht="60" customHeight="1" x14ac:dyDescent="0.25">
      <c r="A50" s="34" t="s">
        <v>4504</v>
      </c>
      <c r="B50"/>
      <c r="C50" s="34" t="s">
        <v>4467</v>
      </c>
      <c r="D50"/>
      <c r="E50" s="34" t="s">
        <v>4468</v>
      </c>
      <c r="F50" s="34" t="s">
        <v>4469</v>
      </c>
      <c r="G50" s="34">
        <v>1</v>
      </c>
      <c r="H50" s="34" t="s">
        <v>4470</v>
      </c>
      <c r="I50"/>
      <c r="J50" s="34" t="s">
        <v>3831</v>
      </c>
      <c r="K50"/>
      <c r="L50" s="34" t="s">
        <v>3832</v>
      </c>
    </row>
    <row r="51" spans="1:12" ht="60" customHeight="1" x14ac:dyDescent="0.25">
      <c r="A51" s="34" t="s">
        <v>4505</v>
      </c>
      <c r="B51"/>
      <c r="C51" s="34" t="s">
        <v>4118</v>
      </c>
      <c r="D51"/>
      <c r="E51" s="34" t="s">
        <v>4119</v>
      </c>
      <c r="F51" s="34" t="s">
        <v>4120</v>
      </c>
      <c r="G51" s="34">
        <v>1</v>
      </c>
      <c r="H51" s="34" t="s">
        <v>4121</v>
      </c>
      <c r="I51"/>
      <c r="J51" s="34" t="s">
        <v>3831</v>
      </c>
      <c r="K51"/>
      <c r="L51" s="34" t="s">
        <v>3832</v>
      </c>
    </row>
    <row r="52" spans="1:12" ht="60" customHeight="1" x14ac:dyDescent="0.25">
      <c r="A52" s="34" t="s">
        <v>4506</v>
      </c>
      <c r="B52"/>
      <c r="C52" s="34" t="s">
        <v>4309</v>
      </c>
      <c r="D52"/>
      <c r="E52" s="34" t="s">
        <v>4310</v>
      </c>
      <c r="F52" s="34" t="s">
        <v>4311</v>
      </c>
      <c r="G52" s="34">
        <v>4</v>
      </c>
      <c r="H52" s="34" t="s">
        <v>3999</v>
      </c>
      <c r="I52"/>
      <c r="J52" s="34" t="s">
        <v>3831</v>
      </c>
      <c r="K52"/>
      <c r="L52" s="34" t="s">
        <v>3832</v>
      </c>
    </row>
    <row r="53" spans="1:12" ht="60" customHeight="1" x14ac:dyDescent="0.25">
      <c r="A53" s="34" t="s">
        <v>4507</v>
      </c>
      <c r="B53"/>
      <c r="C53" s="34" t="s">
        <v>4462</v>
      </c>
      <c r="D53"/>
      <c r="E53" s="34" t="s">
        <v>4463</v>
      </c>
      <c r="F53" s="34" t="s">
        <v>4464</v>
      </c>
      <c r="G53" s="34">
        <v>1</v>
      </c>
      <c r="H53" s="34" t="s">
        <v>4465</v>
      </c>
      <c r="I53"/>
      <c r="J53" s="34" t="s">
        <v>3831</v>
      </c>
      <c r="K53"/>
      <c r="L53" s="34" t="s">
        <v>3832</v>
      </c>
    </row>
    <row r="54" spans="1:12" ht="60" customHeight="1" x14ac:dyDescent="0.25">
      <c r="A54" s="34" t="s">
        <v>4508</v>
      </c>
      <c r="B54"/>
      <c r="C54" s="34" t="s">
        <v>4452</v>
      </c>
      <c r="D54"/>
      <c r="E54" s="34" t="s">
        <v>4453</v>
      </c>
      <c r="F54" s="34" t="s">
        <v>4454</v>
      </c>
      <c r="G54" s="34">
        <v>6</v>
      </c>
      <c r="H54" s="34" t="s">
        <v>4455</v>
      </c>
      <c r="I54"/>
      <c r="J54" s="34" t="s">
        <v>3831</v>
      </c>
      <c r="K54"/>
      <c r="L54" s="34" t="s">
        <v>3832</v>
      </c>
    </row>
    <row r="55" spans="1:12" ht="60" customHeight="1" x14ac:dyDescent="0.25">
      <c r="A55" s="34" t="s">
        <v>4509</v>
      </c>
      <c r="B55"/>
      <c r="C55" s="34" t="s">
        <v>3834</v>
      </c>
      <c r="D55"/>
      <c r="E55" s="34" t="s">
        <v>3835</v>
      </c>
      <c r="F55" s="34" t="s">
        <v>3836</v>
      </c>
      <c r="G55" s="34">
        <v>46</v>
      </c>
      <c r="H55" s="34" t="s">
        <v>3837</v>
      </c>
      <c r="I55"/>
      <c r="J55" s="34" t="s">
        <v>3831</v>
      </c>
      <c r="K55"/>
      <c r="L55" s="34" t="s">
        <v>3832</v>
      </c>
    </row>
    <row r="56" spans="1:12" ht="60" customHeight="1" x14ac:dyDescent="0.25">
      <c r="A56" s="34" t="s">
        <v>4510</v>
      </c>
      <c r="B56"/>
      <c r="C56" s="34" t="s">
        <v>4231</v>
      </c>
      <c r="D56" s="34" t="s">
        <v>163</v>
      </c>
      <c r="E56" s="34" t="s">
        <v>4232</v>
      </c>
      <c r="F56" s="34" t="s">
        <v>4233</v>
      </c>
      <c r="G56" s="34">
        <v>1</v>
      </c>
      <c r="H56" s="34" t="s">
        <v>4234</v>
      </c>
      <c r="I56"/>
      <c r="J56" s="34" t="s">
        <v>3677</v>
      </c>
      <c r="K56"/>
      <c r="L56" s="34" t="s">
        <v>4235</v>
      </c>
    </row>
    <row r="57" spans="1:12" ht="60" customHeight="1" x14ac:dyDescent="0.25">
      <c r="A57" s="34" t="s">
        <v>4511</v>
      </c>
      <c r="B57"/>
      <c r="C57" s="34" t="s">
        <v>4246</v>
      </c>
      <c r="D57" s="34" t="s">
        <v>151</v>
      </c>
      <c r="E57" s="34" t="s">
        <v>4247</v>
      </c>
      <c r="F57" s="34" t="s">
        <v>4248</v>
      </c>
      <c r="G57" s="34">
        <v>1</v>
      </c>
      <c r="H57" s="34" t="s">
        <v>4249</v>
      </c>
      <c r="I57"/>
      <c r="J57" s="34" t="s">
        <v>3757</v>
      </c>
      <c r="K57"/>
      <c r="L57" s="34" t="s">
        <v>3678</v>
      </c>
    </row>
    <row r="58" spans="1:12" ht="60" customHeight="1" x14ac:dyDescent="0.25">
      <c r="A58" s="34" t="s">
        <v>4512</v>
      </c>
      <c r="B58"/>
      <c r="C58" s="34" t="s">
        <v>4251</v>
      </c>
      <c r="D58" s="34" t="s">
        <v>3667</v>
      </c>
      <c r="E58" s="34" t="s">
        <v>4252</v>
      </c>
      <c r="F58" s="34" t="s">
        <v>4253</v>
      </c>
      <c r="G58" s="34">
        <v>1</v>
      </c>
      <c r="H58" s="34" t="s">
        <v>4254</v>
      </c>
      <c r="I58"/>
      <c r="J58" s="34" t="s">
        <v>3677</v>
      </c>
      <c r="K58"/>
      <c r="L58" s="34" t="s">
        <v>4255</v>
      </c>
    </row>
    <row r="59" spans="1:12" ht="60" customHeight="1" x14ac:dyDescent="0.25">
      <c r="A59" s="34" t="s">
        <v>4340</v>
      </c>
      <c r="B59"/>
      <c r="C59" s="34" t="s">
        <v>4015</v>
      </c>
      <c r="D59" s="34" t="s">
        <v>3667</v>
      </c>
      <c r="E59" s="34" t="s">
        <v>4016</v>
      </c>
      <c r="F59" s="34" t="s">
        <v>4016</v>
      </c>
      <c r="G59" s="34">
        <v>4</v>
      </c>
      <c r="H59" s="34" t="s">
        <v>4017</v>
      </c>
      <c r="I59"/>
      <c r="J59" s="34" t="s">
        <v>3677</v>
      </c>
      <c r="K59"/>
      <c r="L59" s="34" t="s">
        <v>3678</v>
      </c>
    </row>
    <row r="60" spans="1:12" ht="60" customHeight="1" x14ac:dyDescent="0.25">
      <c r="A60" s="34" t="s">
        <v>4371</v>
      </c>
      <c r="B60"/>
      <c r="C60" s="34" t="s">
        <v>4266</v>
      </c>
      <c r="D60" s="34" t="s">
        <v>3667</v>
      </c>
      <c r="E60" s="34" t="s">
        <v>4262</v>
      </c>
      <c r="F60" s="34" t="s">
        <v>4267</v>
      </c>
      <c r="G60" s="34">
        <v>1</v>
      </c>
      <c r="H60" s="34" t="s">
        <v>4268</v>
      </c>
      <c r="I60"/>
      <c r="J60" s="34" t="s">
        <v>3677</v>
      </c>
      <c r="K60" s="34">
        <v>10</v>
      </c>
      <c r="L60" s="34" t="s">
        <v>3678</v>
      </c>
    </row>
    <row r="61" spans="1:12" ht="60" customHeight="1" x14ac:dyDescent="0.25">
      <c r="A61" s="34" t="s">
        <v>4376</v>
      </c>
      <c r="B61"/>
      <c r="C61" s="34" t="s">
        <v>4010</v>
      </c>
      <c r="D61" s="34" t="s">
        <v>3667</v>
      </c>
      <c r="E61" s="34" t="s">
        <v>4011</v>
      </c>
      <c r="F61" s="34" t="s">
        <v>4012</v>
      </c>
      <c r="G61" s="34">
        <v>1</v>
      </c>
      <c r="H61" s="34" t="s">
        <v>4013</v>
      </c>
      <c r="I61"/>
      <c r="J61" s="34" t="s">
        <v>3677</v>
      </c>
      <c r="K61" s="34">
        <v>12</v>
      </c>
      <c r="L61" s="34" t="s">
        <v>3678</v>
      </c>
    </row>
    <row r="62" spans="1:12" ht="60" customHeight="1" x14ac:dyDescent="0.25">
      <c r="A62" s="34" t="s">
        <v>4513</v>
      </c>
      <c r="B62"/>
      <c r="C62" s="34" t="s">
        <v>4019</v>
      </c>
      <c r="D62" s="34" t="s">
        <v>3667</v>
      </c>
      <c r="E62" s="34" t="s">
        <v>4020</v>
      </c>
      <c r="F62" s="34" t="s">
        <v>4021</v>
      </c>
      <c r="G62" s="34">
        <v>2</v>
      </c>
      <c r="H62" s="34" t="s">
        <v>4022</v>
      </c>
      <c r="I62"/>
      <c r="J62" s="34" t="s">
        <v>3677</v>
      </c>
      <c r="K62" s="34">
        <v>10</v>
      </c>
      <c r="L62" s="34" t="s">
        <v>3678</v>
      </c>
    </row>
    <row r="63" spans="1:12" ht="60" customHeight="1" x14ac:dyDescent="0.25">
      <c r="A63" s="34" t="s">
        <v>4514</v>
      </c>
      <c r="B63"/>
      <c r="C63" s="34" t="s">
        <v>4027</v>
      </c>
      <c r="D63" s="34" t="s">
        <v>3667</v>
      </c>
      <c r="E63" s="34" t="s">
        <v>4020</v>
      </c>
      <c r="F63" s="34" t="s">
        <v>4021</v>
      </c>
      <c r="G63" s="34">
        <v>1</v>
      </c>
      <c r="H63" s="34" t="s">
        <v>4022</v>
      </c>
      <c r="I63"/>
      <c r="J63" s="34" t="s">
        <v>3677</v>
      </c>
      <c r="K63" s="34">
        <v>10</v>
      </c>
      <c r="L63" s="34" t="s">
        <v>3678</v>
      </c>
    </row>
    <row r="64" spans="1:12" ht="60" customHeight="1" x14ac:dyDescent="0.25">
      <c r="A64" s="34" t="s">
        <v>4515</v>
      </c>
      <c r="B64"/>
      <c r="C64" s="34" t="s">
        <v>3700</v>
      </c>
      <c r="D64" s="34" t="s">
        <v>3667</v>
      </c>
      <c r="E64" s="34" t="s">
        <v>3701</v>
      </c>
      <c r="F64" s="34" t="s">
        <v>3702</v>
      </c>
      <c r="G64" s="34">
        <v>2</v>
      </c>
      <c r="H64" s="34" t="s">
        <v>3703</v>
      </c>
      <c r="I64"/>
      <c r="J64" s="34" t="s">
        <v>3677</v>
      </c>
      <c r="K64" s="34">
        <v>10</v>
      </c>
      <c r="L64" s="34" t="s">
        <v>3678</v>
      </c>
    </row>
    <row r="65" spans="1:12" ht="60" customHeight="1" x14ac:dyDescent="0.25">
      <c r="A65" s="34" t="s">
        <v>4516</v>
      </c>
      <c r="B65"/>
      <c r="C65" s="34" t="s">
        <v>3705</v>
      </c>
      <c r="D65" s="34" t="s">
        <v>3667</v>
      </c>
      <c r="E65" s="34" t="s">
        <v>3706</v>
      </c>
      <c r="F65" s="34" t="s">
        <v>3707</v>
      </c>
      <c r="G65" s="34">
        <v>1</v>
      </c>
      <c r="H65" s="34" t="s">
        <v>3708</v>
      </c>
      <c r="I65"/>
      <c r="J65" s="34" t="s">
        <v>3677</v>
      </c>
      <c r="K65" s="34">
        <v>10</v>
      </c>
      <c r="L65" s="34" t="s">
        <v>3678</v>
      </c>
    </row>
    <row r="66" spans="1:12" ht="60" customHeight="1" x14ac:dyDescent="0.25">
      <c r="A66" s="34" t="s">
        <v>4517</v>
      </c>
      <c r="B66"/>
      <c r="C66" s="34" t="s">
        <v>3710</v>
      </c>
      <c r="D66" s="34" t="s">
        <v>3667</v>
      </c>
      <c r="E66" s="34" t="s">
        <v>3711</v>
      </c>
      <c r="F66" s="34" t="s">
        <v>3712</v>
      </c>
      <c r="G66" s="34">
        <v>1</v>
      </c>
      <c r="H66" s="34" t="s">
        <v>3713</v>
      </c>
      <c r="I66"/>
      <c r="J66" s="34" t="s">
        <v>3714</v>
      </c>
      <c r="K66"/>
      <c r="L66" s="34" t="s">
        <v>3715</v>
      </c>
    </row>
    <row r="67" spans="1:12" ht="60" customHeight="1" x14ac:dyDescent="0.25">
      <c r="A67" s="34" t="s">
        <v>4518</v>
      </c>
      <c r="B67"/>
      <c r="C67" s="34" t="s">
        <v>4034</v>
      </c>
      <c r="D67" s="34" t="s">
        <v>3667</v>
      </c>
      <c r="E67" s="34" t="s">
        <v>4035</v>
      </c>
      <c r="F67" s="34" t="s">
        <v>4036</v>
      </c>
      <c r="G67" s="34">
        <v>1</v>
      </c>
      <c r="H67" s="34" t="s">
        <v>4037</v>
      </c>
      <c r="I67"/>
      <c r="J67" s="34" t="s">
        <v>3714</v>
      </c>
      <c r="K67"/>
      <c r="L67" s="34" t="s">
        <v>3678</v>
      </c>
    </row>
    <row r="68" spans="1:12" ht="60" customHeight="1" x14ac:dyDescent="0.25">
      <c r="A68" s="34" t="s">
        <v>4519</v>
      </c>
      <c r="B68"/>
      <c r="C68" s="34" t="s">
        <v>4088</v>
      </c>
      <c r="D68" s="34" t="s">
        <v>3667</v>
      </c>
      <c r="E68" s="34" t="s">
        <v>4089</v>
      </c>
      <c r="F68" s="34" t="s">
        <v>4090</v>
      </c>
      <c r="G68" s="34">
        <v>2</v>
      </c>
      <c r="H68" s="34" t="s">
        <v>4091</v>
      </c>
      <c r="I68"/>
      <c r="J68" s="34" t="s">
        <v>3757</v>
      </c>
      <c r="K68"/>
      <c r="L68" s="34" t="s">
        <v>3758</v>
      </c>
    </row>
    <row r="69" spans="1:12" ht="60" customHeight="1" x14ac:dyDescent="0.25">
      <c r="A69" s="34" t="s">
        <v>4520</v>
      </c>
      <c r="B69"/>
      <c r="C69" s="34" t="s">
        <v>4093</v>
      </c>
      <c r="D69" s="34" t="s">
        <v>3667</v>
      </c>
      <c r="E69" s="34" t="s">
        <v>4094</v>
      </c>
      <c r="F69" s="34" t="s">
        <v>4095</v>
      </c>
      <c r="G69" s="34">
        <v>3</v>
      </c>
      <c r="H69" s="34" t="s">
        <v>4096</v>
      </c>
      <c r="I69"/>
      <c r="J69" s="34" t="s">
        <v>3757</v>
      </c>
      <c r="K69"/>
      <c r="L69" s="34" t="s">
        <v>3758</v>
      </c>
    </row>
    <row r="70" spans="1:12" ht="60" customHeight="1" x14ac:dyDescent="0.25">
      <c r="A70" s="34" t="s">
        <v>4521</v>
      </c>
      <c r="B70"/>
      <c r="C70" s="34" t="s">
        <v>4098</v>
      </c>
      <c r="D70" s="34" t="s">
        <v>3667</v>
      </c>
      <c r="E70" s="34" t="s">
        <v>4099</v>
      </c>
      <c r="F70" s="34" t="s">
        <v>4100</v>
      </c>
      <c r="G70" s="34">
        <v>2</v>
      </c>
      <c r="H70" s="34" t="s">
        <v>4101</v>
      </c>
      <c r="I70"/>
      <c r="J70" s="34" t="s">
        <v>3677</v>
      </c>
      <c r="K70" s="34">
        <v>15</v>
      </c>
      <c r="L70" s="34" t="s">
        <v>3758</v>
      </c>
    </row>
    <row r="71" spans="1:12" ht="60" customHeight="1" x14ac:dyDescent="0.25">
      <c r="A71" s="34" t="s">
        <v>4522</v>
      </c>
      <c r="B71"/>
      <c r="C71" s="34" t="s">
        <v>4132</v>
      </c>
      <c r="D71" s="34" t="s">
        <v>3667</v>
      </c>
      <c r="E71" s="34" t="s">
        <v>4133</v>
      </c>
      <c r="F71" s="34" t="s">
        <v>4134</v>
      </c>
      <c r="G71" s="34">
        <v>2</v>
      </c>
      <c r="H71" s="34" t="s">
        <v>4135</v>
      </c>
      <c r="I71"/>
      <c r="J71" s="34" t="s">
        <v>3677</v>
      </c>
      <c r="K71" s="34">
        <v>12</v>
      </c>
      <c r="L71" s="34" t="s">
        <v>3678</v>
      </c>
    </row>
    <row r="72" spans="1:12" ht="60" customHeight="1" x14ac:dyDescent="0.25">
      <c r="A72" s="34" t="s">
        <v>4523</v>
      </c>
      <c r="B72"/>
      <c r="C72" s="34" t="s">
        <v>4147</v>
      </c>
      <c r="D72" s="34" t="s">
        <v>3667</v>
      </c>
      <c r="E72" s="34" t="s">
        <v>4148</v>
      </c>
      <c r="F72" s="34" t="s">
        <v>4149</v>
      </c>
      <c r="G72" s="34">
        <v>1</v>
      </c>
      <c r="H72" s="34" t="s">
        <v>4150</v>
      </c>
      <c r="I72"/>
      <c r="J72" s="34" t="s">
        <v>3714</v>
      </c>
      <c r="K72"/>
      <c r="L72" s="34" t="s">
        <v>3715</v>
      </c>
    </row>
    <row r="73" spans="1:12" ht="60" customHeight="1" x14ac:dyDescent="0.25">
      <c r="A73" s="34" t="s">
        <v>4524</v>
      </c>
      <c r="B73"/>
      <c r="C73" s="34" t="s">
        <v>4103</v>
      </c>
      <c r="D73" s="34" t="s">
        <v>3667</v>
      </c>
      <c r="E73" s="34" t="s">
        <v>4104</v>
      </c>
      <c r="F73" s="34" t="s">
        <v>4105</v>
      </c>
      <c r="G73" s="34">
        <v>6</v>
      </c>
      <c r="H73" s="34" t="s">
        <v>4106</v>
      </c>
      <c r="I73"/>
      <c r="J73" s="34" t="s">
        <v>3677</v>
      </c>
      <c r="K73"/>
      <c r="L73" s="34" t="s">
        <v>3758</v>
      </c>
    </row>
    <row r="74" spans="1:12" ht="60" customHeight="1" x14ac:dyDescent="0.25">
      <c r="A74" s="34" t="s">
        <v>4525</v>
      </c>
      <c r="B74"/>
      <c r="C74" s="34" t="s">
        <v>4152</v>
      </c>
      <c r="D74" s="34" t="s">
        <v>3667</v>
      </c>
      <c r="E74" s="34" t="s">
        <v>4153</v>
      </c>
      <c r="F74" s="34" t="s">
        <v>4154</v>
      </c>
      <c r="G74" s="34">
        <v>3</v>
      </c>
      <c r="H74" s="34" t="s">
        <v>4155</v>
      </c>
      <c r="I74"/>
      <c r="J74" s="34" t="s">
        <v>3677</v>
      </c>
      <c r="K74" s="34">
        <v>3</v>
      </c>
      <c r="L74" s="34" t="s">
        <v>3678</v>
      </c>
    </row>
    <row r="75" spans="1:12" ht="60" customHeight="1" x14ac:dyDescent="0.25">
      <c r="A75" s="34" t="s">
        <v>4526</v>
      </c>
      <c r="B75"/>
      <c r="C75" s="34" t="s">
        <v>3722</v>
      </c>
      <c r="D75" s="34" t="s">
        <v>3667</v>
      </c>
      <c r="E75" s="34" t="s">
        <v>3723</v>
      </c>
      <c r="F75" s="34" t="s">
        <v>3724</v>
      </c>
      <c r="G75" s="34">
        <v>1</v>
      </c>
      <c r="H75" s="34" t="s">
        <v>3725</v>
      </c>
      <c r="I75"/>
      <c r="J75" s="34" t="s">
        <v>3677</v>
      </c>
      <c r="K75"/>
      <c r="L75" s="34" t="s">
        <v>3678</v>
      </c>
    </row>
    <row r="76" spans="1:12" ht="60" customHeight="1" x14ac:dyDescent="0.25">
      <c r="A76" s="34" t="s">
        <v>4527</v>
      </c>
      <c r="B76"/>
      <c r="C76" s="34" t="s">
        <v>3727</v>
      </c>
      <c r="D76" s="34" t="s">
        <v>3667</v>
      </c>
      <c r="E76" s="34" t="s">
        <v>3728</v>
      </c>
      <c r="F76" s="34" t="s">
        <v>3729</v>
      </c>
      <c r="G76" s="34">
        <v>2</v>
      </c>
      <c r="H76" s="34" t="s">
        <v>3725</v>
      </c>
      <c r="I76"/>
      <c r="J76" s="34" t="s">
        <v>3677</v>
      </c>
      <c r="K76"/>
      <c r="L76" s="34" t="s">
        <v>3678</v>
      </c>
    </row>
    <row r="77" spans="1:12" ht="60" customHeight="1" x14ac:dyDescent="0.25">
      <c r="A77" s="34" t="s">
        <v>4528</v>
      </c>
      <c r="B77"/>
      <c r="C77" s="34" t="s">
        <v>4257</v>
      </c>
      <c r="D77" s="34" t="s">
        <v>3667</v>
      </c>
      <c r="E77" s="34" t="s">
        <v>4258</v>
      </c>
      <c r="F77" s="34" t="s">
        <v>4259</v>
      </c>
      <c r="G77" s="34">
        <v>1</v>
      </c>
      <c r="H77" s="34" t="s">
        <v>3978</v>
      </c>
      <c r="I77"/>
      <c r="J77" s="34" t="s">
        <v>3757</v>
      </c>
      <c r="K77"/>
      <c r="L77" s="34" t="s">
        <v>3678</v>
      </c>
    </row>
    <row r="78" spans="1:12" ht="60" customHeight="1" x14ac:dyDescent="0.25">
      <c r="A78" s="34" t="s">
        <v>4529</v>
      </c>
      <c r="B78"/>
      <c r="C78" s="34" t="s">
        <v>4162</v>
      </c>
      <c r="D78" s="34" t="s">
        <v>151</v>
      </c>
      <c r="E78" s="34" t="s">
        <v>4163</v>
      </c>
      <c r="F78" s="34" t="s">
        <v>4164</v>
      </c>
      <c r="G78" s="34">
        <v>1</v>
      </c>
      <c r="H78" s="34" t="s">
        <v>4165</v>
      </c>
      <c r="I78"/>
      <c r="J78" s="34" t="s">
        <v>3677</v>
      </c>
      <c r="K78" s="34">
        <v>3</v>
      </c>
      <c r="L78" s="34" t="s">
        <v>3678</v>
      </c>
    </row>
    <row r="79" spans="1:12" ht="60" customHeight="1" x14ac:dyDescent="0.25">
      <c r="A79" s="34" t="s">
        <v>4530</v>
      </c>
      <c r="B79"/>
      <c r="C79" s="34" t="s">
        <v>4213</v>
      </c>
      <c r="D79" s="34" t="s">
        <v>3667</v>
      </c>
      <c r="E79" s="34" t="s">
        <v>4214</v>
      </c>
      <c r="F79" s="34" t="s">
        <v>4215</v>
      </c>
      <c r="G79" s="34">
        <v>1</v>
      </c>
      <c r="H79" s="34" t="s">
        <v>4216</v>
      </c>
      <c r="I79"/>
      <c r="J79" s="34" t="s">
        <v>3677</v>
      </c>
      <c r="K79" s="34">
        <v>2</v>
      </c>
      <c r="L79" s="34" t="s">
        <v>3678</v>
      </c>
    </row>
    <row r="80" spans="1:12" ht="60" customHeight="1" x14ac:dyDescent="0.25">
      <c r="A80" s="34" t="s">
        <v>4531</v>
      </c>
      <c r="B80"/>
      <c r="C80" s="34" t="s">
        <v>3736</v>
      </c>
      <c r="D80" s="34" t="s">
        <v>3667</v>
      </c>
      <c r="E80" s="34" t="s">
        <v>3737</v>
      </c>
      <c r="F80" s="34" t="s">
        <v>3738</v>
      </c>
      <c r="G80" s="34">
        <v>4</v>
      </c>
      <c r="H80" s="34" t="s">
        <v>3739</v>
      </c>
      <c r="I80"/>
      <c r="J80" s="34" t="s">
        <v>3677</v>
      </c>
      <c r="K80"/>
      <c r="L80" s="34" t="s">
        <v>3678</v>
      </c>
    </row>
    <row r="81" spans="1:12" ht="60" customHeight="1" x14ac:dyDescent="0.25">
      <c r="A81" s="34" t="s">
        <v>4532</v>
      </c>
      <c r="B81"/>
      <c r="C81" s="34" t="s">
        <v>4108</v>
      </c>
      <c r="D81" s="34" t="s">
        <v>3667</v>
      </c>
      <c r="E81" s="34" t="s">
        <v>4109</v>
      </c>
      <c r="F81" s="34" t="s">
        <v>4110</v>
      </c>
      <c r="G81" s="34">
        <v>8</v>
      </c>
      <c r="H81" s="34" t="s">
        <v>4111</v>
      </c>
      <c r="I81"/>
      <c r="J81" s="34" t="s">
        <v>3757</v>
      </c>
      <c r="K81"/>
      <c r="L81" s="34" t="s">
        <v>3678</v>
      </c>
    </row>
    <row r="82" spans="1:12" ht="60" customHeight="1" x14ac:dyDescent="0.25">
      <c r="A82" s="34" t="s">
        <v>4533</v>
      </c>
      <c r="B82"/>
      <c r="C82" s="34" t="s">
        <v>4044</v>
      </c>
      <c r="D82" s="34" t="s">
        <v>151</v>
      </c>
      <c r="E82" s="34" t="s">
        <v>4045</v>
      </c>
      <c r="F82" s="34" t="s">
        <v>4046</v>
      </c>
      <c r="G82" s="34">
        <v>1</v>
      </c>
      <c r="H82" s="34" t="s">
        <v>4047</v>
      </c>
      <c r="I82"/>
      <c r="J82" s="34" t="s">
        <v>3714</v>
      </c>
      <c r="K82"/>
      <c r="L82" s="34" t="s">
        <v>3678</v>
      </c>
    </row>
    <row r="83" spans="1:12" ht="60" customHeight="1" x14ac:dyDescent="0.25">
      <c r="A83" s="34" t="s">
        <v>4534</v>
      </c>
      <c r="B83"/>
      <c r="C83" s="34" t="s">
        <v>4333</v>
      </c>
      <c r="D83" s="34" t="s">
        <v>3667</v>
      </c>
      <c r="E83" s="34" t="s">
        <v>4334</v>
      </c>
      <c r="F83" s="34" t="s">
        <v>4335</v>
      </c>
      <c r="G83" s="34">
        <v>4</v>
      </c>
      <c r="H83" s="34" t="s">
        <v>4336</v>
      </c>
      <c r="I83"/>
      <c r="J83" s="34" t="s">
        <v>3677</v>
      </c>
      <c r="K83" s="34">
        <v>30</v>
      </c>
      <c r="L83" s="34" t="s">
        <v>3678</v>
      </c>
    </row>
    <row r="84" spans="1:12" ht="60" customHeight="1" x14ac:dyDescent="0.25">
      <c r="A84" s="34" t="s">
        <v>4535</v>
      </c>
      <c r="B84"/>
      <c r="C84" s="34" t="s">
        <v>4049</v>
      </c>
      <c r="D84" s="34" t="s">
        <v>3667</v>
      </c>
      <c r="E84"/>
      <c r="F84"/>
      <c r="G84" s="34">
        <v>1</v>
      </c>
      <c r="H84" s="34" t="s">
        <v>4050</v>
      </c>
      <c r="I84"/>
      <c r="J84" s="34" t="s">
        <v>3677</v>
      </c>
      <c r="K84" s="34">
        <v>10</v>
      </c>
      <c r="L84" s="34" t="s">
        <v>3678</v>
      </c>
    </row>
    <row r="85" spans="1:12" ht="60" customHeight="1" x14ac:dyDescent="0.25">
      <c r="A85" s="34" t="s">
        <v>4536</v>
      </c>
      <c r="B85"/>
      <c r="C85" s="34" t="s">
        <v>4290</v>
      </c>
      <c r="D85" s="34" t="s">
        <v>3667</v>
      </c>
      <c r="E85" s="34" t="s">
        <v>4291</v>
      </c>
      <c r="F85" s="34" t="s">
        <v>4292</v>
      </c>
      <c r="G85" s="34">
        <v>1</v>
      </c>
      <c r="H85" s="34" t="s">
        <v>4293</v>
      </c>
      <c r="I85"/>
      <c r="J85" s="34" t="s">
        <v>3714</v>
      </c>
      <c r="K85"/>
      <c r="L85" s="34" t="s">
        <v>3678</v>
      </c>
    </row>
    <row r="86" spans="1:12" ht="60" customHeight="1" x14ac:dyDescent="0.25">
      <c r="A86" s="34" t="s">
        <v>4537</v>
      </c>
      <c r="B86"/>
      <c r="C86" s="34" t="s">
        <v>4137</v>
      </c>
      <c r="D86" s="34" t="s">
        <v>3667</v>
      </c>
      <c r="E86" s="34" t="s">
        <v>4138</v>
      </c>
      <c r="F86" s="34" t="s">
        <v>4139</v>
      </c>
      <c r="G86" s="34">
        <v>1</v>
      </c>
      <c r="H86" s="34" t="s">
        <v>4140</v>
      </c>
      <c r="I86"/>
      <c r="J86" s="34" t="s">
        <v>3677</v>
      </c>
      <c r="K86" s="34">
        <v>15</v>
      </c>
      <c r="L86" s="34" t="s">
        <v>3678</v>
      </c>
    </row>
    <row r="87" spans="1:12" ht="60" customHeight="1" x14ac:dyDescent="0.25">
      <c r="A87" s="34" t="s">
        <v>4538</v>
      </c>
      <c r="B87"/>
      <c r="C87" s="34" t="s">
        <v>4113</v>
      </c>
      <c r="D87" s="34" t="s">
        <v>3667</v>
      </c>
      <c r="E87" s="34" t="s">
        <v>4114</v>
      </c>
      <c r="F87" s="34" t="s">
        <v>4115</v>
      </c>
      <c r="G87" s="34">
        <v>1</v>
      </c>
      <c r="H87" s="34" t="s">
        <v>4116</v>
      </c>
      <c r="I87"/>
      <c r="J87" s="34" t="s">
        <v>3677</v>
      </c>
      <c r="K87" s="34">
        <v>15</v>
      </c>
      <c r="L87" s="34" t="s">
        <v>3758</v>
      </c>
    </row>
    <row r="88" spans="1:12" ht="60" customHeight="1" x14ac:dyDescent="0.25">
      <c r="A88" s="34" t="s">
        <v>4539</v>
      </c>
      <c r="B88"/>
      <c r="C88" s="34" t="s">
        <v>4298</v>
      </c>
      <c r="D88" s="34" t="s">
        <v>3667</v>
      </c>
      <c r="E88" s="34" t="s">
        <v>4299</v>
      </c>
      <c r="F88" s="34" t="s">
        <v>4300</v>
      </c>
      <c r="G88" s="34">
        <v>1</v>
      </c>
      <c r="H88" s="34" t="s">
        <v>4301</v>
      </c>
      <c r="I88"/>
      <c r="J88" s="34" t="s">
        <v>3677</v>
      </c>
      <c r="K88" s="34">
        <v>3</v>
      </c>
      <c r="L88" s="34" t="s">
        <v>3678</v>
      </c>
    </row>
    <row r="89" spans="1:12" ht="60" customHeight="1" x14ac:dyDescent="0.25">
      <c r="A89" s="34" t="s">
        <v>4540</v>
      </c>
      <c r="B89"/>
      <c r="C89" s="34" t="s">
        <v>4052</v>
      </c>
      <c r="D89" s="34" t="s">
        <v>3667</v>
      </c>
      <c r="E89" s="34" t="s">
        <v>4053</v>
      </c>
      <c r="F89" s="34" t="s">
        <v>4054</v>
      </c>
      <c r="G89" s="34">
        <v>2</v>
      </c>
      <c r="H89" s="34" t="s">
        <v>4055</v>
      </c>
      <c r="I89"/>
      <c r="J89" s="34" t="s">
        <v>3757</v>
      </c>
      <c r="K89"/>
      <c r="L89" s="34" t="s">
        <v>3678</v>
      </c>
    </row>
    <row r="90" spans="1:12" ht="60" customHeight="1" x14ac:dyDescent="0.25">
      <c r="A90" s="34" t="s">
        <v>4541</v>
      </c>
      <c r="B90"/>
      <c r="C90" s="34" t="s">
        <v>4337</v>
      </c>
      <c r="D90" s="34" t="s">
        <v>3667</v>
      </c>
      <c r="E90" s="34" t="s">
        <v>4338</v>
      </c>
      <c r="F90" s="34" t="s">
        <v>4338</v>
      </c>
      <c r="G90" s="34">
        <v>1</v>
      </c>
      <c r="H90" s="34" t="s">
        <v>4339</v>
      </c>
      <c r="I90"/>
      <c r="J90" s="34" t="s">
        <v>3677</v>
      </c>
      <c r="K90" s="34">
        <v>4</v>
      </c>
      <c r="L90" s="34" t="s">
        <v>3678</v>
      </c>
    </row>
    <row r="91" spans="1:12" ht="60" customHeight="1" x14ac:dyDescent="0.25">
      <c r="A91" s="34" t="s">
        <v>4542</v>
      </c>
      <c r="B91"/>
      <c r="C91" s="34" t="s">
        <v>4280</v>
      </c>
      <c r="D91" s="34" t="s">
        <v>3667</v>
      </c>
      <c r="E91" s="34" t="s">
        <v>4281</v>
      </c>
      <c r="F91" s="34" t="s">
        <v>4282</v>
      </c>
      <c r="G91" s="34">
        <v>1</v>
      </c>
      <c r="H91" s="34" t="s">
        <v>4283</v>
      </c>
      <c r="I91"/>
      <c r="J91" s="34" t="s">
        <v>3677</v>
      </c>
      <c r="K91" s="34">
        <v>10</v>
      </c>
      <c r="L91" s="34" t="s">
        <v>3678</v>
      </c>
    </row>
    <row r="92" spans="1:12" ht="60" customHeight="1" x14ac:dyDescent="0.25">
      <c r="A92" s="34" t="s">
        <v>4543</v>
      </c>
      <c r="B92"/>
      <c r="C92" s="34" t="s">
        <v>4002</v>
      </c>
      <c r="D92" s="34" t="s">
        <v>3667</v>
      </c>
      <c r="E92" s="34" t="s">
        <v>4003</v>
      </c>
      <c r="F92" s="34" t="s">
        <v>4003</v>
      </c>
      <c r="G92" s="34">
        <v>1</v>
      </c>
      <c r="H92" s="34" t="s">
        <v>4004</v>
      </c>
      <c r="I92"/>
      <c r="J92" s="34" t="s">
        <v>3677</v>
      </c>
      <c r="K92"/>
      <c r="L92" s="34" t="s">
        <v>3678</v>
      </c>
    </row>
    <row r="93" spans="1:12" ht="60" customHeight="1" x14ac:dyDescent="0.25">
      <c r="A93" s="34" t="s">
        <v>4544</v>
      </c>
      <c r="B93"/>
      <c r="C93" s="34" t="s">
        <v>4226</v>
      </c>
      <c r="D93" s="34" t="s">
        <v>3667</v>
      </c>
      <c r="E93" s="34" t="s">
        <v>4227</v>
      </c>
      <c r="F93" s="34" t="s">
        <v>4228</v>
      </c>
      <c r="G93" s="34">
        <v>1</v>
      </c>
      <c r="H93" s="34" t="s">
        <v>4229</v>
      </c>
      <c r="I93"/>
      <c r="J93" s="34" t="s">
        <v>3714</v>
      </c>
      <c r="K93"/>
      <c r="L93" s="34" t="s">
        <v>3678</v>
      </c>
    </row>
    <row r="94" spans="1:12" ht="60" customHeight="1" x14ac:dyDescent="0.25">
      <c r="A94" s="34" t="s">
        <v>4545</v>
      </c>
      <c r="B94"/>
      <c r="C94" s="34" t="s">
        <v>3673</v>
      </c>
      <c r="D94" s="34" t="s">
        <v>3667</v>
      </c>
      <c r="E94" s="34" t="s">
        <v>3674</v>
      </c>
      <c r="F94" s="34" t="s">
        <v>3675</v>
      </c>
      <c r="G94" s="34">
        <v>1</v>
      </c>
      <c r="H94" s="34" t="s">
        <v>3676</v>
      </c>
      <c r="I94"/>
      <c r="J94" s="34" t="s">
        <v>3677</v>
      </c>
      <c r="K94" s="34">
        <v>8</v>
      </c>
      <c r="L94" s="34" t="s">
        <v>3678</v>
      </c>
    </row>
    <row r="95" spans="1:12" ht="60" customHeight="1" x14ac:dyDescent="0.25">
      <c r="A95" s="34" t="s">
        <v>4546</v>
      </c>
      <c r="B95"/>
      <c r="C95" s="34" t="s">
        <v>3741</v>
      </c>
      <c r="D95" s="34" t="s">
        <v>3667</v>
      </c>
      <c r="E95" s="34" t="s">
        <v>3742</v>
      </c>
      <c r="F95" s="34" t="s">
        <v>3743</v>
      </c>
      <c r="G95" s="34">
        <v>1</v>
      </c>
      <c r="H95" s="34" t="s">
        <v>3744</v>
      </c>
      <c r="I95"/>
      <c r="J95" s="34" t="s">
        <v>3677</v>
      </c>
      <c r="K95" s="34">
        <v>6</v>
      </c>
      <c r="L95" s="34" t="s">
        <v>3678</v>
      </c>
    </row>
    <row r="96" spans="1:12" ht="60" customHeight="1" x14ac:dyDescent="0.25">
      <c r="A96" s="34" t="s">
        <v>4547</v>
      </c>
      <c r="B96"/>
      <c r="C96" s="34" t="s">
        <v>3746</v>
      </c>
      <c r="D96" s="34" t="s">
        <v>3667</v>
      </c>
      <c r="E96" s="34" t="s">
        <v>3747</v>
      </c>
      <c r="F96" s="34" t="s">
        <v>3748</v>
      </c>
      <c r="G96" s="34">
        <v>1</v>
      </c>
      <c r="H96" s="34" t="s">
        <v>3744</v>
      </c>
      <c r="I96"/>
      <c r="J96" s="34" t="s">
        <v>3677</v>
      </c>
      <c r="K96" s="34">
        <v>6</v>
      </c>
      <c r="L96" s="34" t="s">
        <v>3678</v>
      </c>
    </row>
    <row r="97" spans="1:12" ht="60" customHeight="1" x14ac:dyDescent="0.25">
      <c r="A97" s="34" t="s">
        <v>4548</v>
      </c>
      <c r="B97"/>
      <c r="C97" s="34" t="s">
        <v>4024</v>
      </c>
      <c r="D97" s="34" t="s">
        <v>3667</v>
      </c>
      <c r="E97" s="34" t="s">
        <v>3718</v>
      </c>
      <c r="F97" s="34" t="s">
        <v>3719</v>
      </c>
      <c r="G97" s="34">
        <v>2</v>
      </c>
      <c r="H97" s="34" t="s">
        <v>4025</v>
      </c>
      <c r="I97"/>
      <c r="J97" s="34" t="s">
        <v>3677</v>
      </c>
      <c r="K97"/>
      <c r="L97" s="34" t="s">
        <v>3678</v>
      </c>
    </row>
    <row r="98" spans="1:12" ht="60" customHeight="1" x14ac:dyDescent="0.25">
      <c r="A98" s="34" t="s">
        <v>4549</v>
      </c>
      <c r="B98"/>
      <c r="C98" s="34" t="s">
        <v>4039</v>
      </c>
      <c r="D98" s="34" t="s">
        <v>3667</v>
      </c>
      <c r="E98" s="34" t="s">
        <v>4040</v>
      </c>
      <c r="F98" s="34" t="s">
        <v>4041</v>
      </c>
      <c r="G98" s="34">
        <v>1</v>
      </c>
      <c r="H98" s="34" t="s">
        <v>4042</v>
      </c>
      <c r="I98"/>
      <c r="J98" s="34" t="s">
        <v>3677</v>
      </c>
      <c r="K98"/>
      <c r="L98" s="34" t="s">
        <v>3678</v>
      </c>
    </row>
    <row r="99" spans="1:12" ht="60" customHeight="1" x14ac:dyDescent="0.25">
      <c r="A99" s="34" t="s">
        <v>4550</v>
      </c>
      <c r="B99"/>
      <c r="C99" s="34" t="s">
        <v>4029</v>
      </c>
      <c r="D99" s="34" t="s">
        <v>3667</v>
      </c>
      <c r="E99" s="34" t="s">
        <v>4030</v>
      </c>
      <c r="F99" s="34" t="s">
        <v>4031</v>
      </c>
      <c r="G99" s="34">
        <v>2</v>
      </c>
      <c r="H99" s="34" t="s">
        <v>4032</v>
      </c>
      <c r="I99"/>
      <c r="J99" s="34" t="s">
        <v>3677</v>
      </c>
      <c r="K99"/>
      <c r="L99" s="34" t="s">
        <v>3678</v>
      </c>
    </row>
    <row r="100" spans="1:12" ht="60" customHeight="1" x14ac:dyDescent="0.25">
      <c r="A100" s="34" t="s">
        <v>4551</v>
      </c>
      <c r="B100"/>
      <c r="C100" s="34" t="s">
        <v>3777</v>
      </c>
      <c r="D100" s="34" t="s">
        <v>3667</v>
      </c>
      <c r="E100" s="34" t="s">
        <v>3778</v>
      </c>
      <c r="F100" s="34" t="s">
        <v>3779</v>
      </c>
      <c r="G100" s="34">
        <v>1</v>
      </c>
      <c r="H100" s="34" t="s">
        <v>3780</v>
      </c>
      <c r="I100"/>
      <c r="J100" s="34" t="s">
        <v>3714</v>
      </c>
      <c r="K100"/>
      <c r="L100" s="34" t="s">
        <v>3715</v>
      </c>
    </row>
    <row r="101" spans="1:12" ht="60" customHeight="1" x14ac:dyDescent="0.25">
      <c r="A101" s="34" t="s">
        <v>4552</v>
      </c>
      <c r="B101"/>
      <c r="C101" s="34" t="s">
        <v>3765</v>
      </c>
      <c r="D101" s="34" t="s">
        <v>3667</v>
      </c>
      <c r="E101" s="34" t="s">
        <v>4587</v>
      </c>
      <c r="F101" s="34" t="s">
        <v>4586</v>
      </c>
      <c r="G101" s="34">
        <v>4</v>
      </c>
      <c r="H101" s="34" t="s">
        <v>3766</v>
      </c>
      <c r="I101"/>
      <c r="J101" s="34" t="s">
        <v>3767</v>
      </c>
      <c r="K101" s="34">
        <v>3</v>
      </c>
      <c r="L101" s="34" t="s">
        <v>3678</v>
      </c>
    </row>
    <row r="102" spans="1:12" ht="60" customHeight="1" x14ac:dyDescent="0.25">
      <c r="A102" s="34" t="s">
        <v>4553</v>
      </c>
      <c r="B102"/>
      <c r="C102" s="34" t="s">
        <v>3754</v>
      </c>
      <c r="D102" s="34" t="s">
        <v>3667</v>
      </c>
      <c r="E102" s="34" t="s">
        <v>4588</v>
      </c>
      <c r="F102" s="34" t="s">
        <v>4585</v>
      </c>
      <c r="G102" s="34">
        <v>1</v>
      </c>
      <c r="H102" s="34" t="s">
        <v>3756</v>
      </c>
      <c r="I102"/>
      <c r="J102" s="34" t="s">
        <v>3757</v>
      </c>
      <c r="K102"/>
      <c r="L102" s="34" t="s">
        <v>3758</v>
      </c>
    </row>
    <row r="103" spans="1:12" ht="60" customHeight="1" x14ac:dyDescent="0.25">
      <c r="A103" s="34" t="s">
        <v>4554</v>
      </c>
      <c r="B103"/>
      <c r="C103" s="34" t="s">
        <v>3760</v>
      </c>
      <c r="D103" s="34" t="s">
        <v>3667</v>
      </c>
      <c r="E103" s="34" t="s">
        <v>3761</v>
      </c>
      <c r="F103" s="34" t="s">
        <v>3762</v>
      </c>
      <c r="G103" s="34">
        <v>2</v>
      </c>
      <c r="H103" s="34" t="s">
        <v>3763</v>
      </c>
      <c r="I103"/>
      <c r="J103" s="34" t="s">
        <v>3757</v>
      </c>
      <c r="K103"/>
      <c r="L103" s="34" t="s">
        <v>3678</v>
      </c>
    </row>
    <row r="104" spans="1:12" ht="60" customHeight="1" x14ac:dyDescent="0.25">
      <c r="A104" s="34" t="s">
        <v>4555</v>
      </c>
      <c r="B104"/>
      <c r="C104" s="34" t="s">
        <v>4061</v>
      </c>
      <c r="D104" s="34" t="s">
        <v>3667</v>
      </c>
      <c r="E104" s="34" t="s">
        <v>4062</v>
      </c>
      <c r="F104" s="34" t="s">
        <v>4063</v>
      </c>
      <c r="G104" s="34">
        <v>1</v>
      </c>
      <c r="H104" s="34" t="s">
        <v>4064</v>
      </c>
      <c r="I104"/>
      <c r="J104" s="34" t="s">
        <v>3677</v>
      </c>
      <c r="K104" s="34">
        <v>12</v>
      </c>
      <c r="L104" s="34" t="s">
        <v>3678</v>
      </c>
    </row>
    <row r="105" spans="1:12" ht="60" customHeight="1" x14ac:dyDescent="0.25">
      <c r="A105" s="34" t="s">
        <v>4556</v>
      </c>
      <c r="B105"/>
      <c r="C105" s="34" t="s">
        <v>4074</v>
      </c>
      <c r="D105" s="34" t="s">
        <v>3667</v>
      </c>
      <c r="E105" s="34" t="s">
        <v>4075</v>
      </c>
      <c r="F105" s="34" t="s">
        <v>4076</v>
      </c>
      <c r="G105" s="34">
        <v>1</v>
      </c>
      <c r="H105" s="34" t="s">
        <v>4077</v>
      </c>
      <c r="I105"/>
      <c r="J105" s="34" t="s">
        <v>3677</v>
      </c>
      <c r="K105" s="34">
        <v>8</v>
      </c>
      <c r="L105" s="34" t="s">
        <v>3678</v>
      </c>
    </row>
    <row r="106" spans="1:12" ht="60" customHeight="1" x14ac:dyDescent="0.25">
      <c r="A106" s="34" t="s">
        <v>4557</v>
      </c>
      <c r="B106"/>
      <c r="C106" s="34" t="s">
        <v>4127</v>
      </c>
      <c r="D106" s="34" t="s">
        <v>3667</v>
      </c>
      <c r="E106" s="34" t="s">
        <v>4128</v>
      </c>
      <c r="F106" s="34" t="s">
        <v>4129</v>
      </c>
      <c r="G106" s="34">
        <v>1</v>
      </c>
      <c r="H106" s="34" t="s">
        <v>4130</v>
      </c>
      <c r="I106"/>
      <c r="J106" s="34" t="s">
        <v>3757</v>
      </c>
      <c r="K106"/>
      <c r="L106" s="34" t="s">
        <v>3758</v>
      </c>
    </row>
    <row r="107" spans="1:12" ht="60" customHeight="1" x14ac:dyDescent="0.25">
      <c r="A107" s="34" t="s">
        <v>4558</v>
      </c>
      <c r="B107"/>
      <c r="C107" s="34" t="s">
        <v>3812</v>
      </c>
      <c r="D107" s="34" t="s">
        <v>3667</v>
      </c>
      <c r="E107" s="34" t="s">
        <v>3813</v>
      </c>
      <c r="F107" s="34" t="s">
        <v>3814</v>
      </c>
      <c r="G107" s="34">
        <v>2</v>
      </c>
      <c r="H107" s="34" t="s">
        <v>3815</v>
      </c>
      <c r="I107"/>
      <c r="J107" s="34" t="s">
        <v>3677</v>
      </c>
      <c r="K107" s="34">
        <v>8</v>
      </c>
      <c r="L107" s="34" t="s">
        <v>3678</v>
      </c>
    </row>
    <row r="108" spans="1:12" ht="60" customHeight="1" x14ac:dyDescent="0.25">
      <c r="A108" s="34" t="s">
        <v>4559</v>
      </c>
      <c r="B108"/>
      <c r="C108" s="34" t="s">
        <v>3806</v>
      </c>
      <c r="D108" s="34" t="s">
        <v>3667</v>
      </c>
      <c r="E108" s="34" t="s">
        <v>3807</v>
      </c>
      <c r="F108" s="34" t="s">
        <v>3808</v>
      </c>
      <c r="G108" s="34">
        <v>1</v>
      </c>
      <c r="H108" s="34" t="s">
        <v>3809</v>
      </c>
      <c r="I108"/>
      <c r="J108" s="34" t="s">
        <v>3536</v>
      </c>
      <c r="K108"/>
      <c r="L108" s="34" t="s">
        <v>3810</v>
      </c>
    </row>
    <row r="109" spans="1:12" ht="60" customHeight="1" x14ac:dyDescent="0.25">
      <c r="A109" s="34" t="s">
        <v>4381</v>
      </c>
      <c r="B109"/>
      <c r="C109" s="34" t="s">
        <v>3803</v>
      </c>
      <c r="D109" s="34" t="s">
        <v>3667</v>
      </c>
      <c r="E109" s="34" t="s">
        <v>3798</v>
      </c>
      <c r="F109" s="34" t="s">
        <v>3799</v>
      </c>
      <c r="G109" s="34">
        <v>2</v>
      </c>
      <c r="H109" s="34" t="s">
        <v>3804</v>
      </c>
      <c r="I109"/>
      <c r="J109" s="34" t="s">
        <v>3677</v>
      </c>
      <c r="K109" s="34">
        <v>8</v>
      </c>
      <c r="L109" s="34" t="s">
        <v>3801</v>
      </c>
    </row>
    <row r="110" spans="1:12" ht="60" customHeight="1" x14ac:dyDescent="0.25">
      <c r="A110" s="34" t="s">
        <v>4386</v>
      </c>
      <c r="B110"/>
      <c r="C110" s="34" t="s">
        <v>3797</v>
      </c>
      <c r="D110" s="34" t="s">
        <v>3667</v>
      </c>
      <c r="E110" s="34" t="s">
        <v>3798</v>
      </c>
      <c r="F110" s="34" t="s">
        <v>3799</v>
      </c>
      <c r="G110" s="34">
        <v>2</v>
      </c>
      <c r="H110" s="34" t="s">
        <v>3800</v>
      </c>
      <c r="I110"/>
      <c r="J110" s="34" t="s">
        <v>3677</v>
      </c>
      <c r="K110" s="34">
        <v>8</v>
      </c>
      <c r="L110" s="34" t="s">
        <v>3801</v>
      </c>
    </row>
    <row r="111" spans="1:12" ht="60" customHeight="1" x14ac:dyDescent="0.25">
      <c r="A111" s="34" t="s">
        <v>4390</v>
      </c>
      <c r="B111"/>
      <c r="C111" s="34" t="s">
        <v>3792</v>
      </c>
      <c r="D111" s="34" t="s">
        <v>3667</v>
      </c>
      <c r="E111" s="34" t="s">
        <v>3793</v>
      </c>
      <c r="F111" s="34" t="s">
        <v>3794</v>
      </c>
      <c r="G111" s="34">
        <v>1</v>
      </c>
      <c r="H111" s="34" t="s">
        <v>3795</v>
      </c>
      <c r="I111"/>
      <c r="J111" s="34" t="s">
        <v>3677</v>
      </c>
      <c r="K111" s="34">
        <v>8</v>
      </c>
      <c r="L111" s="34" t="s">
        <v>3678</v>
      </c>
    </row>
    <row r="112" spans="1:12" ht="60" customHeight="1" x14ac:dyDescent="0.25">
      <c r="A112" s="34" t="s">
        <v>4394</v>
      </c>
      <c r="B112"/>
      <c r="C112" s="34" t="s">
        <v>3827</v>
      </c>
      <c r="D112" s="34" t="s">
        <v>3667</v>
      </c>
      <c r="E112" s="34" t="s">
        <v>3823</v>
      </c>
      <c r="F112" s="34" t="s">
        <v>3824</v>
      </c>
      <c r="G112" s="34">
        <v>2</v>
      </c>
      <c r="H112" s="34" t="s">
        <v>3828</v>
      </c>
      <c r="I112"/>
      <c r="J112" s="34" t="s">
        <v>3677</v>
      </c>
      <c r="K112" s="34">
        <v>5</v>
      </c>
      <c r="L112" s="34" t="s">
        <v>3678</v>
      </c>
    </row>
    <row r="113" spans="1:12" ht="60" customHeight="1" x14ac:dyDescent="0.25">
      <c r="A113" s="34" t="s">
        <v>4399</v>
      </c>
      <c r="B113"/>
      <c r="C113" s="34" t="s">
        <v>3822</v>
      </c>
      <c r="D113" s="34" t="s">
        <v>3667</v>
      </c>
      <c r="E113" s="34" t="s">
        <v>3823</v>
      </c>
      <c r="F113" s="34" t="s">
        <v>3824</v>
      </c>
      <c r="G113" s="34">
        <v>2</v>
      </c>
      <c r="H113" s="34" t="s">
        <v>3825</v>
      </c>
      <c r="I113"/>
      <c r="J113" s="34" t="s">
        <v>3677</v>
      </c>
      <c r="K113" s="34">
        <v>5</v>
      </c>
      <c r="L113" s="34" t="s">
        <v>3678</v>
      </c>
    </row>
    <row r="114" spans="1:12" ht="60" customHeight="1" x14ac:dyDescent="0.25">
      <c r="A114" s="34" t="s">
        <v>4402</v>
      </c>
      <c r="B114"/>
      <c r="C114" s="34" t="s">
        <v>3869</v>
      </c>
      <c r="D114" s="34" t="s">
        <v>3667</v>
      </c>
      <c r="E114" s="34" t="s">
        <v>3823</v>
      </c>
      <c r="F114" s="34" t="s">
        <v>3824</v>
      </c>
      <c r="G114" s="34">
        <v>2</v>
      </c>
      <c r="H114" s="34" t="s">
        <v>3825</v>
      </c>
      <c r="I114"/>
      <c r="J114" s="34" t="s">
        <v>3677</v>
      </c>
      <c r="K114" s="34">
        <v>5</v>
      </c>
      <c r="L114" s="34" t="s">
        <v>3678</v>
      </c>
    </row>
    <row r="115" spans="1:12" ht="60" customHeight="1" x14ac:dyDescent="0.25">
      <c r="A115" s="34" t="s">
        <v>4407</v>
      </c>
      <c r="B115"/>
      <c r="C115" s="34" t="s">
        <v>3871</v>
      </c>
      <c r="D115" s="34" t="s">
        <v>3667</v>
      </c>
      <c r="E115" s="34" t="s">
        <v>3823</v>
      </c>
      <c r="F115" s="34" t="s">
        <v>3824</v>
      </c>
      <c r="G115" s="34">
        <v>2</v>
      </c>
      <c r="H115" s="34" t="s">
        <v>3872</v>
      </c>
      <c r="I115"/>
      <c r="J115" s="34" t="s">
        <v>3677</v>
      </c>
      <c r="K115" s="34">
        <v>5</v>
      </c>
      <c r="L115" s="34" t="s">
        <v>3678</v>
      </c>
    </row>
    <row r="116" spans="1:12" ht="60" customHeight="1" x14ac:dyDescent="0.25">
      <c r="A116" s="34" t="s">
        <v>4408</v>
      </c>
      <c r="B116"/>
      <c r="C116" s="34" t="s">
        <v>3851</v>
      </c>
      <c r="D116" s="34" t="s">
        <v>3667</v>
      </c>
      <c r="E116" s="34" t="s">
        <v>3793</v>
      </c>
      <c r="F116" s="34" t="s">
        <v>3794</v>
      </c>
      <c r="G116" s="34">
        <v>1</v>
      </c>
      <c r="H116" s="34" t="s">
        <v>3852</v>
      </c>
      <c r="I116"/>
      <c r="J116" s="34" t="s">
        <v>3677</v>
      </c>
      <c r="K116" s="34">
        <v>8</v>
      </c>
      <c r="L116" s="34" t="s">
        <v>3678</v>
      </c>
    </row>
    <row r="117" spans="1:12" ht="60" customHeight="1" x14ac:dyDescent="0.25">
      <c r="A117" s="34" t="s">
        <v>4412</v>
      </c>
      <c r="B117"/>
      <c r="C117" s="34" t="s">
        <v>3856</v>
      </c>
      <c r="D117" s="34" t="s">
        <v>3667</v>
      </c>
      <c r="E117" s="34" t="s">
        <v>3798</v>
      </c>
      <c r="F117" s="34" t="s">
        <v>3799</v>
      </c>
      <c r="G117" s="34">
        <v>2</v>
      </c>
      <c r="H117" s="34" t="s">
        <v>3800</v>
      </c>
      <c r="I117"/>
      <c r="J117" s="34" t="s">
        <v>3677</v>
      </c>
      <c r="K117" s="34">
        <v>8</v>
      </c>
      <c r="L117" s="34" t="s">
        <v>3801</v>
      </c>
    </row>
    <row r="118" spans="1:12" ht="60" customHeight="1" x14ac:dyDescent="0.25">
      <c r="A118" s="34" t="s">
        <v>4417</v>
      </c>
      <c r="B118"/>
      <c r="C118" s="34" t="s">
        <v>3854</v>
      </c>
      <c r="D118" s="34" t="s">
        <v>3667</v>
      </c>
      <c r="E118" s="34" t="s">
        <v>3798</v>
      </c>
      <c r="F118" s="34" t="s">
        <v>3799</v>
      </c>
      <c r="G118" s="34">
        <v>2</v>
      </c>
      <c r="H118" s="34" t="s">
        <v>3800</v>
      </c>
      <c r="I118"/>
      <c r="J118" s="34" t="s">
        <v>3677</v>
      </c>
      <c r="K118" s="34">
        <v>8</v>
      </c>
      <c r="L118" s="34" t="s">
        <v>3801</v>
      </c>
    </row>
    <row r="119" spans="1:12" ht="60" customHeight="1" x14ac:dyDescent="0.25">
      <c r="A119" s="34" t="s">
        <v>4418</v>
      </c>
      <c r="B119"/>
      <c r="C119" s="34" t="s">
        <v>3861</v>
      </c>
      <c r="D119" s="34" t="s">
        <v>3667</v>
      </c>
      <c r="E119" s="34" t="s">
        <v>3813</v>
      </c>
      <c r="F119" s="34" t="s">
        <v>3814</v>
      </c>
      <c r="G119" s="34">
        <v>2</v>
      </c>
      <c r="H119" s="34" t="s">
        <v>3862</v>
      </c>
      <c r="I119"/>
      <c r="J119" s="34" t="s">
        <v>3677</v>
      </c>
      <c r="K119" s="34">
        <v>8</v>
      </c>
      <c r="L119" s="34" t="s">
        <v>3678</v>
      </c>
    </row>
    <row r="120" spans="1:12" ht="60" customHeight="1" x14ac:dyDescent="0.25">
      <c r="A120" s="34" t="s">
        <v>4419</v>
      </c>
      <c r="B120"/>
      <c r="C120" s="34" t="s">
        <v>3858</v>
      </c>
      <c r="D120" s="34" t="s">
        <v>3667</v>
      </c>
      <c r="E120" s="34" t="s">
        <v>3807</v>
      </c>
      <c r="F120" s="34" t="s">
        <v>3808</v>
      </c>
      <c r="G120" s="34">
        <v>1</v>
      </c>
      <c r="H120" s="34" t="s">
        <v>3859</v>
      </c>
      <c r="I120"/>
      <c r="J120" s="34" t="s">
        <v>3536</v>
      </c>
      <c r="K120"/>
      <c r="L120" s="34" t="s">
        <v>3810</v>
      </c>
    </row>
    <row r="121" spans="1:12" ht="60" customHeight="1" x14ac:dyDescent="0.25">
      <c r="A121" s="34" t="s">
        <v>4424</v>
      </c>
      <c r="B121"/>
      <c r="C121" s="34" t="s">
        <v>4083</v>
      </c>
      <c r="D121" s="34" t="s">
        <v>3667</v>
      </c>
      <c r="E121" s="34" t="s">
        <v>4084</v>
      </c>
      <c r="F121" s="34" t="s">
        <v>4085</v>
      </c>
      <c r="G121" s="34">
        <v>2</v>
      </c>
      <c r="H121" s="34" t="s">
        <v>4086</v>
      </c>
      <c r="I121"/>
      <c r="J121" s="34" t="s">
        <v>3757</v>
      </c>
      <c r="K121"/>
      <c r="L121" s="34" t="s">
        <v>3758</v>
      </c>
    </row>
    <row r="122" spans="1:12" ht="60" customHeight="1" x14ac:dyDescent="0.25">
      <c r="A122" s="34" t="s">
        <v>4429</v>
      </c>
      <c r="B122"/>
      <c r="C122" s="34" t="s">
        <v>3769</v>
      </c>
      <c r="D122" s="34" t="s">
        <v>3667</v>
      </c>
      <c r="E122" s="34" t="s">
        <v>4589</v>
      </c>
      <c r="F122" s="34" t="s">
        <v>4585</v>
      </c>
      <c r="G122" s="34">
        <v>1</v>
      </c>
      <c r="H122" s="34" t="s">
        <v>3770</v>
      </c>
      <c r="I122"/>
      <c r="J122" s="34" t="s">
        <v>3767</v>
      </c>
      <c r="K122" s="34">
        <v>3</v>
      </c>
      <c r="L122" s="34" t="s">
        <v>3678</v>
      </c>
    </row>
    <row r="123" spans="1:12" ht="60" customHeight="1" x14ac:dyDescent="0.25">
      <c r="A123" s="34" t="s">
        <v>4430</v>
      </c>
      <c r="B123"/>
      <c r="C123" s="34" t="s">
        <v>3685</v>
      </c>
      <c r="D123" s="34" t="s">
        <v>3667</v>
      </c>
      <c r="E123" s="34" t="s">
        <v>3686</v>
      </c>
      <c r="F123" s="34" t="s">
        <v>3687</v>
      </c>
      <c r="G123" s="34">
        <v>2</v>
      </c>
      <c r="H123" s="34" t="s">
        <v>3688</v>
      </c>
      <c r="I123"/>
      <c r="J123" s="34" t="s">
        <v>3677</v>
      </c>
      <c r="K123" s="34">
        <v>8</v>
      </c>
      <c r="L123" s="34" t="s">
        <v>3678</v>
      </c>
    </row>
    <row r="124" spans="1:12" ht="60" customHeight="1" x14ac:dyDescent="0.25">
      <c r="A124" s="34" t="s">
        <v>4431</v>
      </c>
      <c r="B124"/>
      <c r="C124" s="34" t="s">
        <v>3690</v>
      </c>
      <c r="D124" s="34" t="s">
        <v>3667</v>
      </c>
      <c r="E124" s="34" t="s">
        <v>3691</v>
      </c>
      <c r="F124" s="34" t="s">
        <v>3692</v>
      </c>
      <c r="G124" s="34">
        <v>1</v>
      </c>
      <c r="H124" s="34" t="s">
        <v>3693</v>
      </c>
      <c r="I124"/>
      <c r="J124" s="34" t="s">
        <v>3677</v>
      </c>
      <c r="K124" s="34">
        <v>8</v>
      </c>
      <c r="L124" s="34" t="s">
        <v>3678</v>
      </c>
    </row>
    <row r="125" spans="1:12" s="99" customFormat="1" ht="60" customHeight="1" x14ac:dyDescent="0.25">
      <c r="A125" s="34" t="s">
        <v>4436</v>
      </c>
      <c r="B125"/>
      <c r="C125" s="34" t="s">
        <v>3680</v>
      </c>
      <c r="D125" s="34" t="s">
        <v>3667</v>
      </c>
      <c r="E125" s="34" t="s">
        <v>3681</v>
      </c>
      <c r="F125" s="34" t="s">
        <v>3682</v>
      </c>
      <c r="G125" s="34">
        <v>1</v>
      </c>
      <c r="H125" s="34" t="s">
        <v>3683</v>
      </c>
      <c r="I125"/>
      <c r="J125" s="34" t="s">
        <v>3677</v>
      </c>
      <c r="K125" s="34">
        <v>12</v>
      </c>
      <c r="L125" s="34" t="s">
        <v>3678</v>
      </c>
    </row>
    <row r="126" spans="1:12" ht="60" customHeight="1" x14ac:dyDescent="0.25">
      <c r="A126" s="34" t="s">
        <v>4441</v>
      </c>
      <c r="B126"/>
      <c r="C126" s="34" t="s">
        <v>3695</v>
      </c>
      <c r="D126" s="34" t="s">
        <v>3667</v>
      </c>
      <c r="E126" s="34" t="s">
        <v>3696</v>
      </c>
      <c r="F126" s="34" t="s">
        <v>3697</v>
      </c>
      <c r="G126" s="34">
        <v>2</v>
      </c>
      <c r="H126" s="34" t="s">
        <v>3698</v>
      </c>
      <c r="I126"/>
      <c r="J126" s="34" t="s">
        <v>3677</v>
      </c>
      <c r="K126" s="34">
        <v>12</v>
      </c>
      <c r="L126" s="34" t="s">
        <v>3678</v>
      </c>
    </row>
    <row r="127" spans="1:12" ht="60" customHeight="1" x14ac:dyDescent="0.25">
      <c r="A127" s="34" t="s">
        <v>4446</v>
      </c>
      <c r="B127"/>
      <c r="C127" s="34" t="s">
        <v>3717</v>
      </c>
      <c r="D127" s="34" t="s">
        <v>3667</v>
      </c>
      <c r="E127" s="34" t="s">
        <v>3718</v>
      </c>
      <c r="F127" s="34" t="s">
        <v>3719</v>
      </c>
      <c r="G127" s="34">
        <v>2</v>
      </c>
      <c r="H127" s="34" t="s">
        <v>3720</v>
      </c>
      <c r="I127"/>
      <c r="J127" s="34" t="s">
        <v>3677</v>
      </c>
      <c r="K127" s="34">
        <v>10</v>
      </c>
      <c r="L127" s="34" t="s">
        <v>3678</v>
      </c>
    </row>
    <row r="128" spans="1:12" ht="60" customHeight="1" x14ac:dyDescent="0.25">
      <c r="A128" s="34" t="s">
        <v>4451</v>
      </c>
      <c r="B128"/>
      <c r="C128" s="34" t="s">
        <v>4188</v>
      </c>
      <c r="D128" s="34" t="s">
        <v>3667</v>
      </c>
      <c r="E128" s="34" t="s">
        <v>4189</v>
      </c>
      <c r="F128" s="34" t="s">
        <v>4190</v>
      </c>
      <c r="G128" s="34">
        <v>1</v>
      </c>
      <c r="H128" s="34" t="s">
        <v>4191</v>
      </c>
      <c r="I128"/>
      <c r="J128" s="34" t="s">
        <v>3677</v>
      </c>
      <c r="K128"/>
      <c r="L128" s="34" t="s">
        <v>3678</v>
      </c>
    </row>
    <row r="129" spans="1:12" ht="60" customHeight="1" x14ac:dyDescent="0.25">
      <c r="A129" s="34" t="s">
        <v>4456</v>
      </c>
      <c r="B129"/>
      <c r="C129" s="34" t="s">
        <v>4193</v>
      </c>
      <c r="D129" s="34" t="s">
        <v>3667</v>
      </c>
      <c r="E129" s="34" t="s">
        <v>4194</v>
      </c>
      <c r="F129" s="34" t="s">
        <v>4195</v>
      </c>
      <c r="G129" s="34">
        <v>2</v>
      </c>
      <c r="H129" s="34" t="s">
        <v>4196</v>
      </c>
      <c r="I129"/>
      <c r="J129" s="34" t="s">
        <v>3677</v>
      </c>
      <c r="K129" s="34">
        <v>5</v>
      </c>
      <c r="L129" s="34" t="s">
        <v>3678</v>
      </c>
    </row>
    <row r="130" spans="1:12" ht="60" customHeight="1" x14ac:dyDescent="0.25">
      <c r="A130" s="34" t="s">
        <v>4461</v>
      </c>
      <c r="B130"/>
      <c r="C130" s="34" t="s">
        <v>3996</v>
      </c>
      <c r="D130" s="34" t="s">
        <v>3667</v>
      </c>
      <c r="E130" s="34" t="s">
        <v>3997</v>
      </c>
      <c r="F130" s="34" t="s">
        <v>3998</v>
      </c>
      <c r="G130" s="34">
        <v>2</v>
      </c>
      <c r="H130" s="34" t="s">
        <v>3999</v>
      </c>
      <c r="I130" s="34" t="s">
        <v>3942</v>
      </c>
      <c r="J130" s="34" t="s">
        <v>3536</v>
      </c>
      <c r="K130"/>
      <c r="L130" s="34" t="s">
        <v>4000</v>
      </c>
    </row>
    <row r="131" spans="1:12" ht="60" customHeight="1" x14ac:dyDescent="0.25">
      <c r="A131" s="34" t="s">
        <v>4466</v>
      </c>
      <c r="B131"/>
      <c r="C131" s="34" t="s">
        <v>3945</v>
      </c>
      <c r="D131" s="34" t="s">
        <v>3667</v>
      </c>
      <c r="E131" s="34" t="s">
        <v>3946</v>
      </c>
      <c r="F131" s="34" t="s">
        <v>3947</v>
      </c>
      <c r="G131" s="34">
        <v>1</v>
      </c>
      <c r="H131" s="34" t="s">
        <v>3948</v>
      </c>
      <c r="I131" s="34" t="s">
        <v>3942</v>
      </c>
      <c r="J131" s="34" t="s">
        <v>3536</v>
      </c>
      <c r="K131"/>
      <c r="L131" s="34" t="s">
        <v>3949</v>
      </c>
    </row>
    <row r="132" spans="1:12" ht="60" customHeight="1" x14ac:dyDescent="0.25">
      <c r="A132" s="34" t="s">
        <v>4560</v>
      </c>
      <c r="B132"/>
      <c r="C132" s="34" t="s">
        <v>3938</v>
      </c>
      <c r="D132" s="34" t="s">
        <v>3667</v>
      </c>
      <c r="E132" s="34" t="s">
        <v>3939</v>
      </c>
      <c r="F132" s="34" t="s">
        <v>3940</v>
      </c>
      <c r="G132" s="34">
        <v>1</v>
      </c>
      <c r="H132" s="34" t="s">
        <v>3941</v>
      </c>
      <c r="I132" s="34" t="s">
        <v>3942</v>
      </c>
      <c r="J132" s="34" t="s">
        <v>3536</v>
      </c>
      <c r="K132"/>
      <c r="L132" s="34" t="s">
        <v>3943</v>
      </c>
    </row>
    <row r="133" spans="1:12" ht="60" customHeight="1" x14ac:dyDescent="0.25">
      <c r="A133" s="34" t="s">
        <v>4561</v>
      </c>
      <c r="B133"/>
      <c r="C133" s="34" t="s">
        <v>4367</v>
      </c>
      <c r="D133" s="34" t="s">
        <v>3667</v>
      </c>
      <c r="E133" s="34" t="s">
        <v>4368</v>
      </c>
      <c r="F133" s="34" t="s">
        <v>4369</v>
      </c>
      <c r="G133" s="34">
        <v>2</v>
      </c>
      <c r="H133" s="34" t="s">
        <v>4370</v>
      </c>
      <c r="I133"/>
      <c r="J133" s="34" t="s">
        <v>3536</v>
      </c>
      <c r="K133"/>
      <c r="L133" s="34" t="s">
        <v>3943</v>
      </c>
    </row>
    <row r="134" spans="1:12" ht="60" customHeight="1" x14ac:dyDescent="0.25">
      <c r="A134" s="34" t="s">
        <v>4562</v>
      </c>
      <c r="B134"/>
      <c r="C134" s="34" t="s">
        <v>4457</v>
      </c>
      <c r="D134"/>
      <c r="E134" s="34" t="s">
        <v>4458</v>
      </c>
      <c r="F134" s="34" t="s">
        <v>4459</v>
      </c>
      <c r="G134" s="34">
        <v>1</v>
      </c>
      <c r="H134" s="34" t="s">
        <v>3931</v>
      </c>
      <c r="I134"/>
      <c r="J134" s="34" t="s">
        <v>3831</v>
      </c>
      <c r="K134"/>
      <c r="L134" s="34" t="s">
        <v>4460</v>
      </c>
    </row>
    <row r="135" spans="1:12" ht="60" customHeight="1" x14ac:dyDescent="0.25">
      <c r="A135" s="34" t="s">
        <v>4563</v>
      </c>
      <c r="B135"/>
      <c r="C135" s="34" t="s">
        <v>4222</v>
      </c>
      <c r="D135"/>
      <c r="E135" s="34" t="s">
        <v>4223</v>
      </c>
      <c r="F135" s="34" t="s">
        <v>4224</v>
      </c>
      <c r="G135" s="34">
        <v>3</v>
      </c>
      <c r="H135" s="34" t="s">
        <v>3994</v>
      </c>
      <c r="I135"/>
      <c r="J135" s="34" t="s">
        <v>3831</v>
      </c>
      <c r="K135"/>
      <c r="L135" s="34" t="s">
        <v>3832</v>
      </c>
    </row>
    <row r="136" spans="1:12" ht="60" customHeight="1" x14ac:dyDescent="0.25">
      <c r="A136" s="34" t="s">
        <v>4564</v>
      </c>
      <c r="B136"/>
      <c r="C136" s="34" t="s">
        <v>3981</v>
      </c>
      <c r="D136"/>
      <c r="E136" s="34" t="s">
        <v>3982</v>
      </c>
      <c r="F136" s="34" t="s">
        <v>3983</v>
      </c>
      <c r="G136" s="34">
        <v>2</v>
      </c>
      <c r="H136" s="34" t="s">
        <v>3984</v>
      </c>
      <c r="I136"/>
      <c r="J136" s="34" t="s">
        <v>3831</v>
      </c>
      <c r="K136"/>
      <c r="L136" s="34" t="s">
        <v>3832</v>
      </c>
    </row>
    <row r="137" spans="1:12" ht="60" customHeight="1" x14ac:dyDescent="0.25">
      <c r="A137" s="34" t="s">
        <v>4565</v>
      </c>
      <c r="B137"/>
      <c r="C137" s="34" t="s">
        <v>4203</v>
      </c>
      <c r="D137"/>
      <c r="E137" s="34" t="s">
        <v>4204</v>
      </c>
      <c r="F137" s="34" t="s">
        <v>4205</v>
      </c>
      <c r="G137" s="34">
        <v>10</v>
      </c>
      <c r="H137" s="34" t="s">
        <v>3994</v>
      </c>
      <c r="I137"/>
      <c r="J137" s="34" t="s">
        <v>3831</v>
      </c>
      <c r="K137"/>
      <c r="L137" s="34" t="s">
        <v>3832</v>
      </c>
    </row>
    <row r="138" spans="1:12" ht="60" customHeight="1" x14ac:dyDescent="0.25">
      <c r="A138" s="34" t="s">
        <v>4566</v>
      </c>
      <c r="B138"/>
      <c r="C138" s="34" t="s">
        <v>155</v>
      </c>
      <c r="D138"/>
      <c r="E138" s="34" t="s">
        <v>156</v>
      </c>
      <c r="F138" s="34" t="s">
        <v>157</v>
      </c>
      <c r="G138" s="34">
        <v>192</v>
      </c>
      <c r="H138" s="34" t="s">
        <v>3830</v>
      </c>
      <c r="I138"/>
      <c r="J138" s="34" t="s">
        <v>3831</v>
      </c>
      <c r="K138"/>
      <c r="L138" s="34" t="s">
        <v>3832</v>
      </c>
    </row>
    <row r="139" spans="1:12" ht="60" customHeight="1" x14ac:dyDescent="0.25">
      <c r="A139" s="34" t="s">
        <v>4567</v>
      </c>
      <c r="B139"/>
      <c r="C139" s="34" t="s">
        <v>4387</v>
      </c>
      <c r="D139"/>
      <c r="E139" s="34" t="s">
        <v>4388</v>
      </c>
      <c r="F139" s="34" t="s">
        <v>4389</v>
      </c>
      <c r="G139" s="34">
        <v>3</v>
      </c>
      <c r="H139" s="34" t="s">
        <v>3989</v>
      </c>
      <c r="I139"/>
      <c r="J139" s="34" t="s">
        <v>3831</v>
      </c>
      <c r="K139"/>
      <c r="L139" s="34" t="s">
        <v>3832</v>
      </c>
    </row>
    <row r="140" spans="1:12" ht="60" customHeight="1" x14ac:dyDescent="0.25">
      <c r="A140" s="34" t="s">
        <v>4568</v>
      </c>
      <c r="B140"/>
      <c r="C140" s="34" t="s">
        <v>4447</v>
      </c>
      <c r="D140"/>
      <c r="E140" s="34" t="s">
        <v>4448</v>
      </c>
      <c r="F140" s="34" t="s">
        <v>4449</v>
      </c>
      <c r="G140" s="34">
        <v>12</v>
      </c>
      <c r="H140" s="34" t="s">
        <v>4450</v>
      </c>
      <c r="I140"/>
      <c r="J140" s="34" t="s">
        <v>3831</v>
      </c>
      <c r="K140"/>
      <c r="L140" s="34" t="s">
        <v>3832</v>
      </c>
    </row>
    <row r="141" spans="1:12" ht="60" customHeight="1" x14ac:dyDescent="0.25">
      <c r="A141" s="34" t="s">
        <v>4569</v>
      </c>
      <c r="B141"/>
      <c r="C141" s="34" t="s">
        <v>3886</v>
      </c>
      <c r="D141"/>
      <c r="E141" s="34" t="s">
        <v>3887</v>
      </c>
      <c r="F141" s="34" t="s">
        <v>3888</v>
      </c>
      <c r="G141" s="34">
        <v>20</v>
      </c>
      <c r="H141" s="34" t="s">
        <v>3889</v>
      </c>
      <c r="I141"/>
      <c r="J141" s="34" t="s">
        <v>3831</v>
      </c>
      <c r="K141"/>
      <c r="L141" s="34" t="s">
        <v>3832</v>
      </c>
    </row>
    <row r="142" spans="1:12" ht="60" customHeight="1" x14ac:dyDescent="0.25">
      <c r="A142" s="34" t="s">
        <v>4570</v>
      </c>
      <c r="B142"/>
      <c r="C142" s="34" t="s">
        <v>4403</v>
      </c>
      <c r="D142"/>
      <c r="E142" s="34" t="s">
        <v>4404</v>
      </c>
      <c r="F142" s="34" t="s">
        <v>4405</v>
      </c>
      <c r="G142" s="34">
        <v>2</v>
      </c>
      <c r="H142" s="34" t="s">
        <v>4406</v>
      </c>
      <c r="I142"/>
      <c r="J142" s="34" t="s">
        <v>3831</v>
      </c>
      <c r="K142"/>
      <c r="L142" s="34" t="s">
        <v>3832</v>
      </c>
    </row>
    <row r="143" spans="1:12" ht="60" customHeight="1" x14ac:dyDescent="0.25">
      <c r="A143" s="34" t="s">
        <v>4571</v>
      </c>
      <c r="B143"/>
      <c r="C143" s="34" t="s">
        <v>4275</v>
      </c>
      <c r="D143"/>
      <c r="E143" s="34" t="s">
        <v>4276</v>
      </c>
      <c r="F143" s="34" t="s">
        <v>4277</v>
      </c>
      <c r="G143" s="34">
        <v>1</v>
      </c>
      <c r="H143" s="34" t="s">
        <v>3936</v>
      </c>
      <c r="I143"/>
      <c r="J143" s="34" t="s">
        <v>3831</v>
      </c>
      <c r="K143"/>
      <c r="L143" s="34" t="s">
        <v>4278</v>
      </c>
    </row>
    <row r="144" spans="1:12" ht="60" customHeight="1" x14ac:dyDescent="0.25">
      <c r="A144" s="34" t="s">
        <v>4572</v>
      </c>
      <c r="B144"/>
      <c r="C144" s="34" t="s">
        <v>4242</v>
      </c>
      <c r="D144"/>
      <c r="E144"/>
      <c r="F144" s="34" t="s">
        <v>4243</v>
      </c>
      <c r="G144" s="34">
        <v>1</v>
      </c>
      <c r="H144" s="34" t="s">
        <v>3936</v>
      </c>
      <c r="I144"/>
      <c r="J144" s="34" t="s">
        <v>3831</v>
      </c>
      <c r="K144"/>
      <c r="L144" s="34" t="s">
        <v>4244</v>
      </c>
    </row>
    <row r="145" spans="1:12" ht="60" customHeight="1" x14ac:dyDescent="0.25">
      <c r="A145" s="34" t="s">
        <v>4573</v>
      </c>
      <c r="B145"/>
      <c r="C145" s="34" t="s">
        <v>3731</v>
      </c>
      <c r="D145" s="34" t="s">
        <v>3667</v>
      </c>
      <c r="E145" s="34" t="s">
        <v>3732</v>
      </c>
      <c r="F145" s="34" t="s">
        <v>3733</v>
      </c>
      <c r="G145" s="34">
        <v>2</v>
      </c>
      <c r="H145" s="34" t="s">
        <v>3734</v>
      </c>
      <c r="I145"/>
      <c r="J145" s="34" t="s">
        <v>3677</v>
      </c>
      <c r="K145"/>
      <c r="L145" s="34" t="s">
        <v>3678</v>
      </c>
    </row>
    <row r="146" spans="1:12" ht="60" customHeight="1" x14ac:dyDescent="0.25">
      <c r="A146" s="34" t="s">
        <v>4574</v>
      </c>
      <c r="B146"/>
      <c r="C146" s="34" t="s">
        <v>4270</v>
      </c>
      <c r="D146" s="34" t="s">
        <v>3667</v>
      </c>
      <c r="E146" s="34" t="s">
        <v>4271</v>
      </c>
      <c r="F146" s="34" t="s">
        <v>4272</v>
      </c>
      <c r="G146" s="34">
        <v>1</v>
      </c>
      <c r="H146" s="34" t="s">
        <v>4273</v>
      </c>
      <c r="I146"/>
      <c r="J146" s="34" t="s">
        <v>3757</v>
      </c>
      <c r="K146"/>
      <c r="L146" s="34" t="s">
        <v>3678</v>
      </c>
    </row>
    <row r="147" spans="1:12" ht="60" customHeight="1" x14ac:dyDescent="0.25">
      <c r="A147" s="34" t="s">
        <v>4575</v>
      </c>
      <c r="B147"/>
      <c r="C147" s="34" t="s">
        <v>4318</v>
      </c>
      <c r="D147" s="34" t="s">
        <v>3667</v>
      </c>
      <c r="E147" s="34" t="s">
        <v>4319</v>
      </c>
      <c r="F147" s="34" t="s">
        <v>4320</v>
      </c>
      <c r="G147" s="34">
        <v>1</v>
      </c>
      <c r="H147" s="34" t="s">
        <v>4321</v>
      </c>
      <c r="I147" s="34" t="s">
        <v>3942</v>
      </c>
      <c r="J147" s="34" t="s">
        <v>3536</v>
      </c>
      <c r="K147"/>
      <c r="L147" s="34" t="s">
        <v>4322</v>
      </c>
    </row>
    <row r="148" spans="1:12" ht="60" customHeight="1" x14ac:dyDescent="0.25">
      <c r="A148" s="34" t="s">
        <v>4576</v>
      </c>
      <c r="B148"/>
      <c r="C148" s="34" t="s">
        <v>4324</v>
      </c>
      <c r="D148" s="34" t="s">
        <v>3667</v>
      </c>
      <c r="E148" s="34" t="s">
        <v>4325</v>
      </c>
      <c r="F148" s="34" t="s">
        <v>4326</v>
      </c>
      <c r="G148" s="34">
        <v>1</v>
      </c>
      <c r="H148" s="34" t="s">
        <v>4327</v>
      </c>
      <c r="I148" s="34" t="s">
        <v>3942</v>
      </c>
      <c r="J148" s="34" t="s">
        <v>3536</v>
      </c>
      <c r="K148"/>
      <c r="L148" s="34" t="s">
        <v>4322</v>
      </c>
    </row>
    <row r="149" spans="1:12" ht="60" customHeight="1" x14ac:dyDescent="0.25">
      <c r="A149" s="34" t="s">
        <v>4577</v>
      </c>
      <c r="B149"/>
      <c r="C149" s="34" t="s">
        <v>4329</v>
      </c>
      <c r="D149" s="34" t="s">
        <v>3667</v>
      </c>
      <c r="E149" s="34" t="s">
        <v>4330</v>
      </c>
      <c r="F149" s="34" t="s">
        <v>4331</v>
      </c>
      <c r="G149" s="34">
        <v>1</v>
      </c>
      <c r="H149" s="34" t="s">
        <v>4332</v>
      </c>
      <c r="I149"/>
      <c r="J149" s="34" t="s">
        <v>3536</v>
      </c>
      <c r="K149"/>
      <c r="L149" s="34" t="s">
        <v>4322</v>
      </c>
    </row>
    <row r="150" spans="1:12" ht="60" customHeight="1" x14ac:dyDescent="0.25">
      <c r="A150" s="34" t="s">
        <v>4578</v>
      </c>
      <c r="B150" s="34" t="s">
        <v>4472</v>
      </c>
      <c r="C150" s="34" t="s">
        <v>4473</v>
      </c>
      <c r="D150"/>
      <c r="E150" s="34" t="s">
        <v>4474</v>
      </c>
      <c r="F150" s="34" t="s">
        <v>4475</v>
      </c>
      <c r="G150" s="34">
        <v>1</v>
      </c>
      <c r="H150" s="34" t="s">
        <v>3914</v>
      </c>
      <c r="I150"/>
      <c r="J150" s="34" t="s">
        <v>3536</v>
      </c>
      <c r="K150"/>
      <c r="L150" s="34" t="s">
        <v>4355</v>
      </c>
    </row>
    <row r="151" spans="1:12" ht="60" customHeight="1" x14ac:dyDescent="0.25">
      <c r="A151" s="34" t="s">
        <v>4579</v>
      </c>
      <c r="B151" s="34" t="s">
        <v>4472</v>
      </c>
      <c r="C151" s="34" t="s">
        <v>4477</v>
      </c>
      <c r="D151"/>
      <c r="E151" s="34" t="s">
        <v>4478</v>
      </c>
      <c r="F151" s="34" t="s">
        <v>4479</v>
      </c>
      <c r="G151" s="34">
        <v>1</v>
      </c>
      <c r="H151" s="34" t="s">
        <v>3914</v>
      </c>
      <c r="I151"/>
      <c r="J151" s="34" t="s">
        <v>3536</v>
      </c>
      <c r="K151"/>
      <c r="L151" s="34" t="s">
        <v>4355</v>
      </c>
    </row>
    <row r="152" spans="1:12" ht="60" customHeight="1" x14ac:dyDescent="0.25">
      <c r="A152" s="34" t="s">
        <v>4580</v>
      </c>
      <c r="B152" s="34" t="s">
        <v>4472</v>
      </c>
      <c r="C152" s="34" t="s">
        <v>4481</v>
      </c>
      <c r="D152"/>
      <c r="E152" s="34" t="s">
        <v>4482</v>
      </c>
      <c r="F152" s="34" t="s">
        <v>4483</v>
      </c>
      <c r="G152" s="34">
        <v>1</v>
      </c>
      <c r="H152" s="34" t="s">
        <v>3914</v>
      </c>
      <c r="I152"/>
      <c r="J152" s="34" t="s">
        <v>3536</v>
      </c>
      <c r="K152"/>
      <c r="L152" s="34" t="s">
        <v>4355</v>
      </c>
    </row>
    <row r="153" spans="1:12" ht="60" customHeight="1" x14ac:dyDescent="0.25">
      <c r="A153" s="34" t="s">
        <v>4581</v>
      </c>
      <c r="B153" s="34" t="s">
        <v>4472</v>
      </c>
      <c r="C153" s="34" t="s">
        <v>4485</v>
      </c>
      <c r="D153"/>
      <c r="E153" s="34" t="s">
        <v>4486</v>
      </c>
      <c r="F153" s="34" t="s">
        <v>4487</v>
      </c>
      <c r="G153" s="34">
        <v>1</v>
      </c>
      <c r="H153" s="34" t="s">
        <v>3914</v>
      </c>
      <c r="I153"/>
      <c r="J153" s="34" t="s">
        <v>3536</v>
      </c>
      <c r="K153"/>
      <c r="L153" s="34" t="s">
        <v>4355</v>
      </c>
    </row>
    <row r="154" spans="1:12" ht="60" customHeight="1" x14ac:dyDescent="0.25">
      <c r="A154" s="34" t="s">
        <v>4582</v>
      </c>
      <c r="B154"/>
      <c r="C154" s="34" t="s">
        <v>4377</v>
      </c>
      <c r="D154" s="34" t="s">
        <v>3667</v>
      </c>
      <c r="E154" s="34" t="s">
        <v>4378</v>
      </c>
      <c r="F154" s="34" t="s">
        <v>4379</v>
      </c>
      <c r="G154" s="34">
        <v>2</v>
      </c>
      <c r="H154" s="34" t="s">
        <v>4380</v>
      </c>
      <c r="I154" s="34" t="s">
        <v>3942</v>
      </c>
      <c r="J154" s="34" t="s">
        <v>3536</v>
      </c>
      <c r="K154"/>
      <c r="L154" s="34" t="s">
        <v>4355</v>
      </c>
    </row>
    <row r="155" spans="1:12" ht="60" customHeight="1" x14ac:dyDescent="0.25">
      <c r="A155" s="34" t="s">
        <v>4583</v>
      </c>
      <c r="B155"/>
      <c r="C155" s="34" t="s">
        <v>4372</v>
      </c>
      <c r="D155" s="34" t="s">
        <v>151</v>
      </c>
      <c r="E155" s="34" t="s">
        <v>4373</v>
      </c>
      <c r="F155" s="34" t="s">
        <v>4374</v>
      </c>
      <c r="G155" s="34">
        <v>2</v>
      </c>
      <c r="H155" s="34" t="s">
        <v>4375</v>
      </c>
      <c r="I155" s="34" t="s">
        <v>3942</v>
      </c>
      <c r="J155" s="34" t="s">
        <v>3536</v>
      </c>
      <c r="K155"/>
      <c r="L155" s="34" t="s">
        <v>4355</v>
      </c>
    </row>
    <row r="156" spans="1:12" ht="60" customHeight="1" x14ac:dyDescent="0.25">
      <c r="A156" s="34" t="s">
        <v>4584</v>
      </c>
      <c r="B156"/>
      <c r="C156" s="34" t="s">
        <v>3772</v>
      </c>
      <c r="D156" s="34" t="s">
        <v>3667</v>
      </c>
      <c r="E156" s="34" t="s">
        <v>3773</v>
      </c>
      <c r="F156" s="34" t="s">
        <v>3774</v>
      </c>
      <c r="G156" s="34">
        <v>1</v>
      </c>
      <c r="H156" s="34" t="s">
        <v>3775</v>
      </c>
      <c r="I156"/>
      <c r="J156" s="34" t="s">
        <v>3714</v>
      </c>
      <c r="K156"/>
      <c r="L156" s="34" t="s">
        <v>3715</v>
      </c>
    </row>
    <row r="157" spans="1:12" ht="60" customHeight="1" x14ac:dyDescent="0.15">
      <c r="A157" s="262">
        <v>149</v>
      </c>
      <c r="C157" s="46" t="s">
        <v>4590</v>
      </c>
      <c r="D157" s="46">
        <v>0</v>
      </c>
      <c r="E157" s="46" t="s">
        <v>4591</v>
      </c>
      <c r="F157" s="46" t="s">
        <v>4592</v>
      </c>
      <c r="G157" s="46">
        <v>2</v>
      </c>
      <c r="H157" s="46" t="s">
        <v>4211</v>
      </c>
      <c r="J157" s="46" t="s">
        <v>3536</v>
      </c>
    </row>
    <row r="158" spans="1:12" ht="60" customHeight="1" x14ac:dyDescent="0.15"/>
    <row r="159" spans="1:12" ht="60" customHeight="1" x14ac:dyDescent="0.15"/>
    <row r="160" spans="1:12" ht="60" customHeight="1" x14ac:dyDescent="0.15"/>
    <row r="161" spans="1:8" ht="60" customHeight="1" x14ac:dyDescent="0.15"/>
    <row r="162" spans="1:8" ht="60" customHeight="1" x14ac:dyDescent="0.15"/>
    <row r="163" spans="1:8" ht="60" customHeight="1" x14ac:dyDescent="0.15"/>
    <row r="164" spans="1:8" ht="60" customHeight="1" x14ac:dyDescent="0.15"/>
    <row r="165" spans="1:8" ht="60" customHeight="1" x14ac:dyDescent="0.15"/>
    <row r="166" spans="1:8" ht="60" customHeight="1" x14ac:dyDescent="0.15"/>
    <row r="167" spans="1:8" ht="60" customHeight="1" x14ac:dyDescent="0.15"/>
    <row r="168" spans="1:8" ht="60" customHeight="1" x14ac:dyDescent="0.15"/>
    <row r="169" spans="1:8" s="99" customFormat="1" ht="60" customHeight="1" x14ac:dyDescent="0.25">
      <c r="A169" s="95"/>
      <c r="B169" s="95"/>
      <c r="C169" s="95"/>
      <c r="D169" s="95"/>
      <c r="E169" s="95"/>
      <c r="F169" s="95"/>
      <c r="G169" s="95"/>
      <c r="H169" s="49"/>
    </row>
    <row r="170" spans="1:8" s="99" customFormat="1" ht="60" customHeight="1" x14ac:dyDescent="0.25">
      <c r="A170" s="95"/>
      <c r="B170" s="95"/>
      <c r="C170" s="95"/>
      <c r="D170" s="95"/>
      <c r="E170" s="95"/>
      <c r="F170" s="95"/>
      <c r="G170" s="95"/>
      <c r="H170" s="49"/>
    </row>
    <row r="171" spans="1:8" s="99" customFormat="1" ht="60" customHeight="1" x14ac:dyDescent="0.25">
      <c r="A171" s="95"/>
      <c r="B171" s="95"/>
      <c r="C171" s="95"/>
      <c r="D171" s="95"/>
      <c r="E171" s="95"/>
      <c r="F171" s="95"/>
      <c r="G171" s="95"/>
      <c r="H171" s="49"/>
    </row>
    <row r="172" spans="1:8" s="99" customFormat="1" ht="60" customHeight="1" x14ac:dyDescent="0.25">
      <c r="A172" s="95"/>
      <c r="B172" s="95"/>
      <c r="C172" s="95"/>
      <c r="D172" s="95"/>
      <c r="E172" s="95"/>
      <c r="F172" s="95"/>
      <c r="G172" s="95"/>
      <c r="H172" s="49"/>
    </row>
    <row r="173" spans="1:8" ht="60" customHeight="1" x14ac:dyDescent="0.25">
      <c r="A173" s="95"/>
      <c r="B173" s="95"/>
      <c r="C173" s="95"/>
      <c r="D173" s="95"/>
      <c r="E173" s="95"/>
      <c r="F173" s="95"/>
      <c r="G173" s="95"/>
      <c r="H173" s="49"/>
    </row>
    <row r="174" spans="1:8" ht="60" customHeight="1" x14ac:dyDescent="0.25">
      <c r="A174" s="95"/>
      <c r="B174" s="95"/>
      <c r="C174" s="95"/>
      <c r="D174" s="95"/>
      <c r="E174" s="95"/>
      <c r="F174" s="95"/>
      <c r="G174" s="95"/>
      <c r="H174" s="49"/>
    </row>
    <row r="175" spans="1:8" ht="60" customHeight="1" x14ac:dyDescent="0.25">
      <c r="A175" s="95"/>
      <c r="B175" s="95"/>
      <c r="C175" s="95"/>
      <c r="D175" s="95"/>
      <c r="E175" s="95"/>
      <c r="F175" s="95"/>
      <c r="G175" s="95"/>
      <c r="H175" s="49"/>
    </row>
    <row r="176" spans="1:8" ht="60" customHeight="1" x14ac:dyDescent="0.25">
      <c r="A176" s="95"/>
      <c r="B176" s="95"/>
      <c r="C176" s="95"/>
      <c r="D176" s="95"/>
      <c r="E176" s="95"/>
      <c r="F176" s="95"/>
      <c r="G176" s="95"/>
      <c r="H176" s="49"/>
    </row>
    <row r="177" spans="1:8" ht="60" customHeight="1" x14ac:dyDescent="0.25">
      <c r="A177" s="95"/>
      <c r="B177" s="95"/>
      <c r="C177" s="95"/>
      <c r="D177" s="95"/>
      <c r="E177" s="95"/>
      <c r="F177" s="95"/>
      <c r="G177" s="95"/>
      <c r="H177" s="49"/>
    </row>
    <row r="178" spans="1:8" ht="60" customHeight="1" x14ac:dyDescent="0.25">
      <c r="A178" s="95"/>
      <c r="B178" s="95"/>
      <c r="C178" s="95"/>
      <c r="D178" s="95"/>
      <c r="E178" s="95"/>
      <c r="F178" s="95"/>
      <c r="G178" s="95"/>
      <c r="H178" s="49"/>
    </row>
    <row r="179" spans="1:8" ht="60" customHeight="1" x14ac:dyDescent="0.25">
      <c r="A179" s="95"/>
      <c r="B179" s="95"/>
      <c r="C179" s="95"/>
      <c r="D179" s="95"/>
      <c r="E179" s="95"/>
      <c r="F179" s="95"/>
      <c r="G179" s="95"/>
      <c r="H179" s="49"/>
    </row>
    <row r="180" spans="1:8" ht="60" customHeight="1" x14ac:dyDescent="0.25">
      <c r="A180" s="95"/>
      <c r="B180" s="95"/>
      <c r="C180" s="95"/>
      <c r="D180" s="95"/>
      <c r="E180" s="95"/>
      <c r="F180" s="95"/>
      <c r="G180" s="95"/>
      <c r="H180" s="49"/>
    </row>
    <row r="181" spans="1:8" ht="60" customHeight="1" x14ac:dyDescent="0.25">
      <c r="A181" s="95"/>
      <c r="B181" s="95"/>
      <c r="C181" s="95"/>
      <c r="D181" s="95"/>
      <c r="E181" s="95"/>
      <c r="F181" s="95"/>
      <c r="G181" s="95"/>
      <c r="H181" s="49"/>
    </row>
    <row r="182" spans="1:8" ht="60" customHeight="1" x14ac:dyDescent="0.25">
      <c r="A182" s="95"/>
      <c r="B182" s="95"/>
      <c r="C182" s="95"/>
      <c r="D182" s="95"/>
      <c r="E182" s="95"/>
      <c r="F182" s="95"/>
      <c r="G182" s="95"/>
      <c r="H182" s="49"/>
    </row>
    <row r="183" spans="1:8" ht="60" customHeight="1" x14ac:dyDescent="0.25">
      <c r="A183" s="95"/>
      <c r="B183" s="95"/>
      <c r="C183" s="95"/>
      <c r="D183" s="95"/>
      <c r="E183" s="95"/>
      <c r="F183" s="95"/>
      <c r="G183" s="95"/>
      <c r="H183" s="49"/>
    </row>
    <row r="184" spans="1:8" ht="60" customHeight="1" x14ac:dyDescent="0.25">
      <c r="A184" s="95"/>
      <c r="B184" s="95"/>
      <c r="C184" s="95"/>
      <c r="D184" s="95"/>
      <c r="E184" s="95"/>
      <c r="F184" s="95"/>
      <c r="G184" s="95"/>
      <c r="H184" s="49"/>
    </row>
    <row r="185" spans="1:8" ht="60" customHeight="1" x14ac:dyDescent="0.25">
      <c r="A185" s="95"/>
      <c r="B185" s="95"/>
      <c r="C185" s="95"/>
      <c r="D185" s="95"/>
      <c r="E185" s="95"/>
      <c r="F185" s="95"/>
      <c r="G185" s="95"/>
      <c r="H185" s="49"/>
    </row>
    <row r="186" spans="1:8" ht="60" customHeight="1" x14ac:dyDescent="0.25">
      <c r="A186" s="95"/>
      <c r="B186" s="95"/>
      <c r="C186" s="95"/>
      <c r="D186" s="95"/>
      <c r="E186" s="95"/>
      <c r="F186" s="95"/>
      <c r="G186" s="95"/>
      <c r="H186" s="49"/>
    </row>
    <row r="187" spans="1:8" ht="60" customHeight="1" x14ac:dyDescent="0.25">
      <c r="A187" s="95"/>
      <c r="B187" s="95"/>
      <c r="C187" s="95"/>
      <c r="D187" s="95"/>
      <c r="E187" s="95"/>
      <c r="F187" s="95"/>
      <c r="G187" s="95"/>
      <c r="H187" s="49"/>
    </row>
    <row r="188" spans="1:8" ht="60" customHeight="1" x14ac:dyDescent="0.25">
      <c r="A188" s="95"/>
      <c r="B188" s="95"/>
      <c r="C188" s="95"/>
      <c r="D188" s="95"/>
      <c r="E188" s="95"/>
      <c r="F188" s="95"/>
      <c r="G188" s="95"/>
      <c r="H188" s="49"/>
    </row>
    <row r="189" spans="1:8" ht="60" customHeight="1" x14ac:dyDescent="0.25">
      <c r="A189" s="95"/>
      <c r="B189" s="95"/>
      <c r="C189" s="95"/>
      <c r="D189" s="95"/>
      <c r="E189" s="95"/>
      <c r="F189" s="95"/>
      <c r="G189" s="95"/>
      <c r="H189" s="49"/>
    </row>
    <row r="190" spans="1:8" ht="60" customHeight="1" x14ac:dyDescent="0.25">
      <c r="A190" s="95"/>
      <c r="B190" s="95"/>
      <c r="C190" s="95"/>
      <c r="D190" s="95"/>
      <c r="E190" s="95"/>
      <c r="F190" s="95"/>
      <c r="G190" s="95"/>
      <c r="H190" s="49"/>
    </row>
    <row r="191" spans="1:8" ht="60" customHeight="1" x14ac:dyDescent="0.25">
      <c r="A191" s="95"/>
      <c r="B191" s="95"/>
      <c r="C191" s="95"/>
      <c r="D191" s="95"/>
      <c r="E191" s="95"/>
      <c r="F191" s="95"/>
      <c r="G191" s="95"/>
      <c r="H191" s="49"/>
    </row>
    <row r="192" spans="1:8" ht="60" customHeight="1" x14ac:dyDescent="0.25">
      <c r="A192" s="95"/>
      <c r="B192" s="95"/>
      <c r="C192" s="95"/>
      <c r="D192" s="95"/>
      <c r="E192" s="95"/>
      <c r="F192" s="95"/>
      <c r="G192" s="95"/>
      <c r="H192" s="49"/>
    </row>
    <row r="193" spans="1:8" ht="60" customHeight="1" x14ac:dyDescent="0.25">
      <c r="A193" s="95"/>
      <c r="B193" s="95"/>
      <c r="C193" s="95"/>
      <c r="D193" s="95"/>
      <c r="E193" s="95"/>
      <c r="F193" s="95"/>
      <c r="G193" s="95"/>
      <c r="H193" s="49"/>
    </row>
    <row r="194" spans="1:8" ht="60" customHeight="1" x14ac:dyDescent="0.25">
      <c r="A194" s="95"/>
      <c r="B194" s="95"/>
      <c r="C194" s="95"/>
      <c r="D194" s="95"/>
      <c r="E194" s="95"/>
      <c r="F194" s="95"/>
      <c r="G194" s="95"/>
      <c r="H194" s="49"/>
    </row>
    <row r="195" spans="1:8" ht="60" customHeight="1" x14ac:dyDescent="0.25">
      <c r="A195" s="95"/>
      <c r="B195" s="95"/>
      <c r="C195" s="95"/>
      <c r="D195" s="95"/>
      <c r="E195" s="95"/>
      <c r="F195" s="95"/>
      <c r="G195" s="95"/>
      <c r="H195" s="49"/>
    </row>
    <row r="196" spans="1:8" ht="60" customHeight="1" x14ac:dyDescent="0.25">
      <c r="A196" s="95"/>
      <c r="B196" s="95"/>
      <c r="C196" s="95"/>
      <c r="D196" s="95"/>
      <c r="E196" s="95"/>
      <c r="F196" s="95"/>
      <c r="G196" s="95"/>
      <c r="H196" s="49"/>
    </row>
    <row r="197" spans="1:8" ht="60" customHeight="1" x14ac:dyDescent="0.25">
      <c r="A197" s="95"/>
      <c r="B197" s="95"/>
      <c r="C197" s="95"/>
      <c r="D197" s="95"/>
      <c r="E197" s="95"/>
      <c r="F197" s="95"/>
      <c r="G197" s="95"/>
      <c r="H197" s="49"/>
    </row>
    <row r="198" spans="1:8" ht="60" customHeight="1" x14ac:dyDescent="0.25">
      <c r="A198" s="95"/>
      <c r="B198" s="95"/>
      <c r="C198" s="95"/>
      <c r="D198" s="95"/>
      <c r="E198" s="95"/>
      <c r="F198" s="95"/>
      <c r="G198" s="95"/>
      <c r="H198" s="49"/>
    </row>
    <row r="199" spans="1:8" ht="60" customHeight="1" x14ac:dyDescent="0.25">
      <c r="A199" s="95"/>
      <c r="B199" s="95"/>
      <c r="C199" s="95"/>
      <c r="D199" s="95"/>
      <c r="E199" s="95"/>
      <c r="F199" s="95"/>
      <c r="G199" s="95"/>
      <c r="H199" s="49"/>
    </row>
    <row r="200" spans="1:8" ht="60" customHeight="1" x14ac:dyDescent="0.25">
      <c r="A200" s="95"/>
      <c r="B200" s="95"/>
      <c r="C200" s="95"/>
      <c r="D200" s="95"/>
      <c r="E200" s="95"/>
      <c r="F200" s="95"/>
      <c r="G200" s="95"/>
      <c r="H200" s="49"/>
    </row>
    <row r="201" spans="1:8" ht="60" customHeight="1" x14ac:dyDescent="0.25">
      <c r="A201" s="95"/>
      <c r="B201" s="95"/>
      <c r="C201" s="95"/>
      <c r="D201" s="95"/>
      <c r="E201" s="95"/>
      <c r="F201" s="95"/>
      <c r="G201" s="95"/>
      <c r="H201" s="49"/>
    </row>
    <row r="202" spans="1:8" ht="60" customHeight="1" x14ac:dyDescent="0.25">
      <c r="A202" s="95"/>
      <c r="B202" s="95"/>
      <c r="C202" s="95"/>
      <c r="D202" s="95"/>
      <c r="E202" s="95"/>
      <c r="F202" s="95"/>
      <c r="G202" s="95"/>
      <c r="H202" s="49"/>
    </row>
    <row r="203" spans="1:8" ht="60" customHeight="1" x14ac:dyDescent="0.25">
      <c r="A203" s="95"/>
      <c r="B203" s="95"/>
      <c r="C203" s="95"/>
      <c r="D203" s="95"/>
      <c r="E203" s="95"/>
      <c r="F203" s="95"/>
      <c r="G203" s="95"/>
      <c r="H203" s="49"/>
    </row>
    <row r="204" spans="1:8" ht="60" customHeight="1" x14ac:dyDescent="0.25">
      <c r="A204" s="95"/>
      <c r="B204" s="95"/>
      <c r="C204" s="95"/>
      <c r="D204" s="95"/>
      <c r="E204" s="95"/>
      <c r="F204" s="95"/>
      <c r="G204" s="95"/>
      <c r="H204" s="49"/>
    </row>
    <row r="205" spans="1:8" ht="60" customHeight="1" x14ac:dyDescent="0.25">
      <c r="A205" s="95"/>
      <c r="B205" s="95"/>
      <c r="C205" s="95"/>
      <c r="D205" s="95"/>
      <c r="E205" s="95"/>
      <c r="F205" s="95"/>
      <c r="G205" s="95"/>
      <c r="H205" s="49"/>
    </row>
    <row r="206" spans="1:8" ht="60" customHeight="1" x14ac:dyDescent="0.25">
      <c r="A206" s="95"/>
      <c r="B206" s="95"/>
      <c r="C206" s="95"/>
      <c r="D206" s="95"/>
      <c r="E206" s="95"/>
      <c r="F206" s="95"/>
      <c r="G206" s="95"/>
      <c r="H206" s="49"/>
    </row>
    <row r="207" spans="1:8" ht="60" customHeight="1" x14ac:dyDescent="0.25">
      <c r="A207" s="95"/>
      <c r="B207" s="95"/>
      <c r="C207" s="95"/>
      <c r="D207" s="95"/>
      <c r="E207" s="95"/>
      <c r="F207" s="95"/>
      <c r="G207" s="95"/>
      <c r="H207" s="49"/>
    </row>
    <row r="208" spans="1:8" ht="60" customHeight="1" x14ac:dyDescent="0.25">
      <c r="A208" s="95"/>
      <c r="B208" s="95"/>
      <c r="C208" s="95"/>
      <c r="D208" s="95"/>
      <c r="E208" s="95"/>
      <c r="F208" s="95"/>
      <c r="G208" s="95"/>
      <c r="H208" s="49"/>
    </row>
    <row r="209" spans="1:8" ht="60" customHeight="1" x14ac:dyDescent="0.25">
      <c r="A209" s="95"/>
      <c r="B209" s="95"/>
      <c r="C209" s="95"/>
      <c r="D209" s="95"/>
      <c r="E209" s="95"/>
      <c r="F209" s="95"/>
      <c r="G209" s="95"/>
      <c r="H209" s="49"/>
    </row>
    <row r="210" spans="1:8" ht="60" customHeight="1" x14ac:dyDescent="0.25">
      <c r="A210" s="95"/>
      <c r="B210" s="95"/>
      <c r="C210" s="95"/>
      <c r="D210" s="95"/>
      <c r="E210" s="95"/>
      <c r="F210" s="95"/>
      <c r="G210" s="95"/>
      <c r="H210" s="49"/>
    </row>
    <row r="211" spans="1:8" ht="60" customHeight="1" x14ac:dyDescent="0.25">
      <c r="A211" s="95"/>
      <c r="B211" s="95"/>
      <c r="C211" s="95"/>
      <c r="D211" s="95"/>
      <c r="E211" s="95"/>
      <c r="F211" s="95"/>
      <c r="G211" s="95"/>
      <c r="H211" s="49"/>
    </row>
    <row r="212" spans="1:8" ht="60" customHeight="1" x14ac:dyDescent="0.25">
      <c r="A212" s="95"/>
      <c r="B212" s="95"/>
      <c r="C212" s="95"/>
      <c r="D212" s="95"/>
      <c r="E212" s="95"/>
      <c r="F212" s="95"/>
      <c r="G212" s="95"/>
      <c r="H212" s="49"/>
    </row>
    <row r="213" spans="1:8" ht="60" customHeight="1" x14ac:dyDescent="0.25">
      <c r="A213" s="95"/>
      <c r="B213" s="95"/>
      <c r="C213" s="95"/>
      <c r="D213" s="95"/>
      <c r="E213" s="95"/>
      <c r="F213" s="95"/>
      <c r="G213" s="95"/>
      <c r="H213" s="49"/>
    </row>
    <row r="214" spans="1:8" ht="60" customHeight="1" x14ac:dyDescent="0.25">
      <c r="A214" s="95"/>
      <c r="B214" s="95"/>
      <c r="C214" s="95"/>
      <c r="D214" s="95"/>
      <c r="E214" s="95"/>
      <c r="F214" s="95"/>
      <c r="G214" s="95"/>
      <c r="H214" s="49"/>
    </row>
    <row r="215" spans="1:8" ht="60" customHeight="1" x14ac:dyDescent="0.25">
      <c r="A215" s="95"/>
      <c r="B215" s="95"/>
      <c r="C215" s="95"/>
      <c r="D215" s="95"/>
      <c r="E215" s="95"/>
      <c r="F215" s="95"/>
      <c r="G215" s="95"/>
      <c r="H215" s="49"/>
    </row>
    <row r="216" spans="1:8" ht="60" customHeight="1" x14ac:dyDescent="0.25">
      <c r="A216" s="95"/>
      <c r="B216" s="95"/>
      <c r="C216" s="95"/>
      <c r="D216" s="95"/>
      <c r="E216" s="95"/>
      <c r="F216" s="95"/>
      <c r="G216" s="95"/>
      <c r="H216" s="49"/>
    </row>
    <row r="217" spans="1:8" ht="60" customHeight="1" x14ac:dyDescent="0.25">
      <c r="A217" s="95"/>
      <c r="B217" s="95"/>
      <c r="C217" s="95"/>
      <c r="D217" s="95"/>
      <c r="E217" s="95"/>
      <c r="F217" s="95"/>
      <c r="G217" s="95"/>
      <c r="H217" s="49"/>
    </row>
    <row r="218" spans="1:8" ht="60" customHeight="1" x14ac:dyDescent="0.25">
      <c r="A218" s="95"/>
      <c r="B218" s="95"/>
      <c r="C218" s="95"/>
      <c r="D218" s="95"/>
      <c r="E218" s="95"/>
      <c r="F218" s="95"/>
      <c r="G218" s="95"/>
      <c r="H218" s="49"/>
    </row>
    <row r="219" spans="1:8" ht="60" customHeight="1" x14ac:dyDescent="0.25">
      <c r="A219" s="95"/>
      <c r="B219" s="95"/>
      <c r="C219" s="95"/>
      <c r="D219" s="95"/>
      <c r="E219" s="95"/>
      <c r="F219" s="95"/>
      <c r="G219" s="95"/>
      <c r="H219" s="49"/>
    </row>
    <row r="220" spans="1:8" ht="60" customHeight="1" x14ac:dyDescent="0.25">
      <c r="A220" s="95"/>
      <c r="B220" s="95"/>
      <c r="C220" s="95"/>
      <c r="D220" s="95"/>
      <c r="E220" s="95"/>
      <c r="F220" s="95"/>
      <c r="G220" s="95"/>
      <c r="H220" s="49"/>
    </row>
    <row r="221" spans="1:8" ht="60" customHeight="1" x14ac:dyDescent="0.25">
      <c r="A221" s="95"/>
      <c r="B221" s="95"/>
      <c r="C221" s="95"/>
      <c r="D221" s="95"/>
      <c r="E221" s="95"/>
      <c r="F221" s="95"/>
      <c r="G221" s="95"/>
      <c r="H221" s="49"/>
    </row>
    <row r="222" spans="1:8" ht="60" customHeight="1" x14ac:dyDescent="0.25">
      <c r="A222" s="95"/>
      <c r="B222" s="95"/>
      <c r="C222" s="95"/>
      <c r="D222" s="95"/>
      <c r="E222" s="95"/>
      <c r="F222" s="95"/>
      <c r="G222" s="95"/>
      <c r="H222" s="49"/>
    </row>
    <row r="223" spans="1:8" ht="60" customHeight="1" x14ac:dyDescent="0.25">
      <c r="A223" s="95"/>
      <c r="B223" s="95"/>
      <c r="C223" s="95"/>
      <c r="D223" s="95"/>
      <c r="E223" s="95"/>
      <c r="F223" s="95"/>
      <c r="G223" s="95"/>
      <c r="H223" s="49"/>
    </row>
    <row r="224" spans="1:8" ht="60" customHeight="1" x14ac:dyDescent="0.25">
      <c r="A224" s="95"/>
      <c r="B224" s="95"/>
      <c r="C224" s="95"/>
      <c r="D224" s="95"/>
      <c r="E224" s="95"/>
      <c r="F224" s="95"/>
      <c r="G224" s="95"/>
      <c r="H224" s="49"/>
    </row>
    <row r="225" spans="1:8" ht="60" customHeight="1" x14ac:dyDescent="0.25">
      <c r="A225" s="95"/>
      <c r="B225" s="95"/>
      <c r="C225" s="95"/>
      <c r="D225" s="95"/>
      <c r="E225" s="95"/>
      <c r="F225" s="95"/>
      <c r="G225" s="95"/>
      <c r="H225" s="49"/>
    </row>
    <row r="226" spans="1:8" ht="60" customHeight="1" x14ac:dyDescent="0.25">
      <c r="A226" s="95"/>
      <c r="B226" s="95"/>
      <c r="C226" s="95"/>
      <c r="D226" s="95"/>
      <c r="E226" s="95"/>
      <c r="F226" s="95"/>
      <c r="G226" s="95"/>
      <c r="H226" s="49"/>
    </row>
    <row r="227" spans="1:8" ht="60" customHeight="1" x14ac:dyDescent="0.25">
      <c r="A227" s="95"/>
      <c r="B227" s="95"/>
      <c r="C227" s="95"/>
      <c r="D227" s="95"/>
      <c r="E227" s="95"/>
      <c r="F227" s="95"/>
      <c r="G227" s="95"/>
      <c r="H227" s="49"/>
    </row>
    <row r="228" spans="1:8" ht="60" customHeight="1" x14ac:dyDescent="0.25">
      <c r="A228" s="95"/>
      <c r="B228" s="95"/>
      <c r="C228" s="95"/>
      <c r="D228" s="95"/>
      <c r="E228" s="95"/>
      <c r="F228" s="95"/>
      <c r="G228" s="95"/>
      <c r="H228" s="49"/>
    </row>
    <row r="229" spans="1:8" ht="60" customHeight="1" x14ac:dyDescent="0.25">
      <c r="A229" s="95"/>
      <c r="B229" s="95"/>
      <c r="C229" s="95"/>
      <c r="D229" s="95"/>
      <c r="E229" s="95"/>
      <c r="F229" s="95"/>
      <c r="G229" s="95"/>
      <c r="H229" s="49"/>
    </row>
    <row r="230" spans="1:8" ht="60" customHeight="1" x14ac:dyDescent="0.25">
      <c r="A230" s="95"/>
      <c r="B230" s="95"/>
      <c r="C230" s="95"/>
      <c r="D230" s="95"/>
      <c r="E230" s="95"/>
      <c r="F230" s="95"/>
      <c r="G230" s="95"/>
      <c r="H230" s="49"/>
    </row>
    <row r="231" spans="1:8" ht="60" customHeight="1" x14ac:dyDescent="0.25">
      <c r="A231" s="95"/>
      <c r="B231" s="95"/>
      <c r="C231" s="95"/>
      <c r="D231" s="95"/>
      <c r="E231" s="95"/>
      <c r="F231" s="95"/>
      <c r="G231" s="95"/>
      <c r="H231" s="49"/>
    </row>
    <row r="232" spans="1:8" ht="60" customHeight="1" x14ac:dyDescent="0.25">
      <c r="A232" s="95"/>
      <c r="B232" s="95"/>
      <c r="C232" s="95"/>
      <c r="D232" s="95"/>
      <c r="E232" s="95"/>
      <c r="F232" s="95"/>
      <c r="G232" s="95"/>
      <c r="H232" s="49"/>
    </row>
    <row r="233" spans="1:8" ht="60" customHeight="1" x14ac:dyDescent="0.25">
      <c r="A233" s="95"/>
      <c r="B233" s="95"/>
      <c r="C233" s="95"/>
      <c r="D233" s="95"/>
      <c r="E233" s="95"/>
      <c r="F233" s="95"/>
      <c r="G233" s="95"/>
      <c r="H233" s="49"/>
    </row>
    <row r="234" spans="1:8" ht="60" customHeight="1" x14ac:dyDescent="0.25">
      <c r="A234" s="95"/>
      <c r="B234" s="95"/>
      <c r="C234" s="95"/>
      <c r="D234" s="95"/>
      <c r="E234" s="95"/>
      <c r="F234" s="95"/>
      <c r="G234" s="95"/>
      <c r="H234" s="49"/>
    </row>
    <row r="235" spans="1:8" ht="60" customHeight="1" x14ac:dyDescent="0.25">
      <c r="A235" s="95"/>
      <c r="B235" s="95"/>
      <c r="C235" s="95"/>
      <c r="D235" s="95"/>
      <c r="E235" s="95"/>
      <c r="F235" s="95"/>
      <c r="G235" s="95"/>
      <c r="H235" s="49"/>
    </row>
    <row r="236" spans="1:8" ht="60" customHeight="1" x14ac:dyDescent="0.25">
      <c r="A236" s="95"/>
      <c r="B236" s="95"/>
      <c r="C236" s="95"/>
      <c r="D236" s="95"/>
      <c r="E236" s="95"/>
      <c r="F236" s="95"/>
      <c r="G236" s="95"/>
      <c r="H236" s="49"/>
    </row>
    <row r="237" spans="1:8" ht="60" customHeight="1" x14ac:dyDescent="0.25">
      <c r="A237" s="95"/>
      <c r="B237" s="95"/>
      <c r="C237" s="95"/>
      <c r="D237" s="95"/>
      <c r="E237" s="95"/>
      <c r="F237" s="95"/>
      <c r="G237" s="95"/>
      <c r="H237" s="49"/>
    </row>
    <row r="238" spans="1:8" ht="60" customHeight="1" x14ac:dyDescent="0.25">
      <c r="A238" s="95"/>
      <c r="B238" s="95"/>
      <c r="C238" s="95"/>
      <c r="D238" s="95"/>
      <c r="E238" s="95"/>
      <c r="F238" s="95"/>
      <c r="G238" s="95"/>
      <c r="H238" s="49"/>
    </row>
    <row r="239" spans="1:8" ht="60" customHeight="1" x14ac:dyDescent="0.25">
      <c r="A239" s="95"/>
      <c r="B239" s="95"/>
      <c r="C239" s="95"/>
      <c r="D239" s="95"/>
      <c r="E239" s="95"/>
      <c r="F239" s="95"/>
      <c r="G239" s="95"/>
      <c r="H239" s="49"/>
    </row>
    <row r="240" spans="1:8" ht="60" customHeight="1" x14ac:dyDescent="0.25">
      <c r="A240" s="95"/>
      <c r="B240" s="95"/>
      <c r="C240" s="95"/>
      <c r="D240" s="95"/>
      <c r="E240" s="95"/>
      <c r="F240" s="95"/>
      <c r="G240" s="95"/>
      <c r="H240" s="49"/>
    </row>
    <row r="241" spans="1:8" ht="60" customHeight="1" x14ac:dyDescent="0.25">
      <c r="A241" s="95"/>
      <c r="B241" s="95"/>
      <c r="C241" s="95"/>
      <c r="D241" s="95"/>
      <c r="E241" s="95"/>
      <c r="F241" s="95"/>
      <c r="G241" s="95"/>
      <c r="H241" s="49"/>
    </row>
    <row r="242" spans="1:8" ht="60" customHeight="1" x14ac:dyDescent="0.25">
      <c r="A242" s="95"/>
      <c r="B242" s="95"/>
      <c r="C242" s="95"/>
      <c r="D242" s="95"/>
      <c r="E242" s="95"/>
      <c r="F242" s="95"/>
      <c r="G242" s="95"/>
      <c r="H242" s="49"/>
    </row>
    <row r="243" spans="1:8" ht="60" customHeight="1" x14ac:dyDescent="0.25">
      <c r="A243" s="95"/>
      <c r="B243" s="95"/>
      <c r="C243" s="95"/>
      <c r="D243" s="95"/>
      <c r="E243" s="95"/>
      <c r="F243" s="95"/>
      <c r="G243" s="95"/>
      <c r="H243" s="49"/>
    </row>
    <row r="244" spans="1:8" ht="60" customHeight="1" x14ac:dyDescent="0.25">
      <c r="A244" s="95"/>
      <c r="B244" s="95"/>
      <c r="C244" s="95"/>
      <c r="D244" s="95"/>
      <c r="E244" s="95"/>
      <c r="F244" s="95"/>
      <c r="G244" s="95"/>
      <c r="H244" s="49"/>
    </row>
    <row r="245" spans="1:8" ht="60" customHeight="1" x14ac:dyDescent="0.25">
      <c r="A245" s="95"/>
      <c r="B245" s="95"/>
      <c r="C245" s="95"/>
      <c r="D245" s="95"/>
      <c r="E245" s="95"/>
      <c r="F245" s="95"/>
      <c r="G245" s="95"/>
      <c r="H245" s="49"/>
    </row>
    <row r="246" spans="1:8" ht="60" customHeight="1" x14ac:dyDescent="0.25">
      <c r="A246" s="95"/>
      <c r="B246" s="95"/>
      <c r="C246" s="95"/>
      <c r="D246" s="95"/>
      <c r="E246" s="95"/>
      <c r="F246" s="95"/>
      <c r="G246" s="95"/>
      <c r="H246" s="49"/>
    </row>
    <row r="247" spans="1:8" ht="60" customHeight="1" x14ac:dyDescent="0.25">
      <c r="A247" s="95"/>
      <c r="B247" s="95"/>
      <c r="C247" s="95"/>
      <c r="D247" s="95"/>
      <c r="E247" s="95"/>
      <c r="F247" s="95"/>
      <c r="G247" s="95"/>
      <c r="H247" s="49"/>
    </row>
    <row r="248" spans="1:8" ht="60" customHeight="1" x14ac:dyDescent="0.25">
      <c r="A248" s="95"/>
      <c r="B248" s="95"/>
      <c r="C248" s="95"/>
      <c r="D248" s="95"/>
      <c r="E248" s="95"/>
      <c r="F248" s="95"/>
      <c r="G248" s="95"/>
      <c r="H248" s="49"/>
    </row>
    <row r="249" spans="1:8" ht="60" customHeight="1" x14ac:dyDescent="0.25">
      <c r="A249" s="95"/>
      <c r="B249" s="95"/>
      <c r="C249" s="95"/>
      <c r="D249" s="95"/>
      <c r="E249" s="95"/>
      <c r="F249" s="95"/>
      <c r="G249" s="95"/>
      <c r="H249" s="49"/>
    </row>
    <row r="250" spans="1:8" ht="60" customHeight="1" x14ac:dyDescent="0.25">
      <c r="A250" s="95"/>
      <c r="B250" s="95"/>
      <c r="C250" s="95"/>
      <c r="D250" s="95"/>
      <c r="E250" s="95"/>
      <c r="F250" s="95"/>
      <c r="G250" s="95"/>
      <c r="H250" s="49"/>
    </row>
    <row r="251" spans="1:8" ht="60" customHeight="1" x14ac:dyDescent="0.25">
      <c r="A251" s="95"/>
      <c r="B251" s="95"/>
      <c r="C251" s="95"/>
      <c r="D251" s="95"/>
      <c r="E251" s="95"/>
      <c r="F251" s="95"/>
      <c r="G251" s="95"/>
      <c r="H251" s="49"/>
    </row>
    <row r="252" spans="1:8" ht="60" customHeight="1" x14ac:dyDescent="0.25">
      <c r="A252" s="95"/>
      <c r="B252" s="95"/>
      <c r="C252" s="95"/>
      <c r="D252" s="95"/>
      <c r="E252" s="95"/>
      <c r="F252" s="95"/>
      <c r="G252" s="95"/>
      <c r="H252" s="49"/>
    </row>
    <row r="253" spans="1:8" ht="60" customHeight="1" x14ac:dyDescent="0.25">
      <c r="A253" s="95"/>
      <c r="B253" s="95"/>
      <c r="C253" s="95"/>
      <c r="D253" s="95"/>
      <c r="E253" s="95"/>
      <c r="F253" s="95"/>
      <c r="G253" s="95"/>
      <c r="H253" s="49"/>
    </row>
    <row r="254" spans="1:8" ht="60" customHeight="1" x14ac:dyDescent="0.25">
      <c r="A254" s="95"/>
      <c r="B254" s="95"/>
      <c r="C254" s="95"/>
      <c r="D254" s="95"/>
      <c r="E254" s="95"/>
      <c r="F254" s="95"/>
      <c r="G254" s="95"/>
      <c r="H254" s="49"/>
    </row>
    <row r="255" spans="1:8" ht="60" customHeight="1" x14ac:dyDescent="0.25">
      <c r="A255" s="95"/>
      <c r="B255" s="95"/>
      <c r="C255" s="95"/>
      <c r="D255" s="95"/>
      <c r="E255" s="95"/>
      <c r="F255" s="95"/>
      <c r="G255" s="95"/>
      <c r="H255" s="49"/>
    </row>
    <row r="256" spans="1:8" ht="60" customHeight="1" x14ac:dyDescent="0.25">
      <c r="A256" s="95"/>
      <c r="B256" s="95"/>
      <c r="C256" s="95"/>
      <c r="D256" s="95"/>
      <c r="E256" s="95"/>
      <c r="F256" s="95"/>
      <c r="G256" s="95"/>
      <c r="H256" s="49"/>
    </row>
    <row r="257" spans="1:8" ht="60" customHeight="1" x14ac:dyDescent="0.25">
      <c r="A257" s="95"/>
      <c r="B257" s="95"/>
      <c r="C257" s="95"/>
      <c r="D257" s="95"/>
      <c r="E257" s="95"/>
      <c r="F257" s="95"/>
      <c r="G257" s="95"/>
      <c r="H257" s="49"/>
    </row>
    <row r="258" spans="1:8" ht="60" customHeight="1" x14ac:dyDescent="0.25">
      <c r="A258" s="95"/>
      <c r="B258" s="95"/>
      <c r="C258" s="95"/>
      <c r="D258" s="95"/>
      <c r="E258" s="95"/>
      <c r="F258" s="95"/>
      <c r="G258" s="95"/>
      <c r="H258" s="49"/>
    </row>
    <row r="259" spans="1:8" ht="60" customHeight="1" x14ac:dyDescent="0.25">
      <c r="A259" s="95"/>
      <c r="B259" s="95"/>
      <c r="C259" s="95"/>
      <c r="D259" s="95"/>
      <c r="E259" s="95"/>
      <c r="F259" s="95"/>
      <c r="G259" s="95"/>
      <c r="H259" s="49"/>
    </row>
    <row r="260" spans="1:8" ht="60" customHeight="1" x14ac:dyDescent="0.25">
      <c r="A260" s="95"/>
      <c r="B260" s="95"/>
      <c r="C260" s="95"/>
      <c r="D260" s="95"/>
      <c r="E260" s="95"/>
      <c r="F260" s="95"/>
      <c r="G260" s="95"/>
      <c r="H260" s="49"/>
    </row>
    <row r="261" spans="1:8" ht="60" customHeight="1" x14ac:dyDescent="0.25">
      <c r="A261" s="95"/>
      <c r="B261" s="95"/>
      <c r="C261" s="95"/>
      <c r="D261" s="95"/>
      <c r="E261" s="95"/>
      <c r="F261" s="95"/>
      <c r="G261" s="95"/>
      <c r="H261" s="49"/>
    </row>
    <row r="262" spans="1:8" ht="60" customHeight="1" x14ac:dyDescent="0.25">
      <c r="A262" s="95"/>
      <c r="B262" s="95"/>
      <c r="C262" s="95"/>
      <c r="D262" s="95"/>
      <c r="E262" s="95"/>
      <c r="F262" s="95"/>
      <c r="G262" s="95"/>
      <c r="H262" s="49"/>
    </row>
    <row r="263" spans="1:8" ht="60" customHeight="1" x14ac:dyDescent="0.25">
      <c r="A263" s="95"/>
      <c r="B263" s="95"/>
      <c r="C263" s="95"/>
      <c r="D263" s="95"/>
      <c r="E263" s="95"/>
      <c r="F263" s="95"/>
      <c r="G263" s="95"/>
      <c r="H263" s="49"/>
    </row>
    <row r="264" spans="1:8" ht="60" customHeight="1" x14ac:dyDescent="0.25">
      <c r="A264" s="95"/>
      <c r="B264" s="95"/>
      <c r="C264" s="95"/>
      <c r="D264" s="95"/>
      <c r="E264" s="95"/>
      <c r="F264" s="95"/>
      <c r="G264" s="95"/>
      <c r="H264" s="49"/>
    </row>
    <row r="265" spans="1:8" ht="60" customHeight="1" x14ac:dyDescent="0.25">
      <c r="A265" s="95"/>
      <c r="B265" s="95"/>
      <c r="C265" s="95"/>
      <c r="D265" s="95"/>
      <c r="E265" s="95"/>
      <c r="F265" s="95"/>
      <c r="G265" s="95"/>
      <c r="H265" s="49"/>
    </row>
    <row r="266" spans="1:8" ht="60" customHeight="1" x14ac:dyDescent="0.25">
      <c r="A266" s="95"/>
      <c r="B266" s="95"/>
      <c r="C266" s="95"/>
      <c r="D266" s="95"/>
      <c r="E266" s="95"/>
      <c r="F266" s="95"/>
      <c r="G266" s="95"/>
      <c r="H266" s="49"/>
    </row>
    <row r="267" spans="1:8" ht="60" customHeight="1" x14ac:dyDescent="0.25">
      <c r="A267" s="95"/>
      <c r="B267" s="95"/>
      <c r="C267" s="95"/>
      <c r="D267" s="95"/>
      <c r="E267" s="95"/>
      <c r="F267" s="95"/>
      <c r="G267" s="95"/>
      <c r="H267" s="49"/>
    </row>
    <row r="268" spans="1:8" ht="60" customHeight="1" x14ac:dyDescent="0.25">
      <c r="A268" s="95"/>
      <c r="B268" s="95"/>
      <c r="C268" s="95"/>
      <c r="D268" s="95"/>
      <c r="E268" s="95"/>
      <c r="F268" s="95"/>
      <c r="G268" s="95"/>
      <c r="H268" s="49"/>
    </row>
    <row r="269" spans="1:8" ht="60" customHeight="1" x14ac:dyDescent="0.25">
      <c r="A269" s="95"/>
      <c r="B269" s="95"/>
      <c r="C269" s="95"/>
      <c r="D269" s="95"/>
      <c r="E269" s="95"/>
      <c r="F269" s="95"/>
      <c r="G269" s="95"/>
      <c r="H269" s="49"/>
    </row>
    <row r="270" spans="1:8" ht="60" customHeight="1" x14ac:dyDescent="0.25">
      <c r="A270" s="95"/>
      <c r="B270" s="95"/>
      <c r="C270" s="95"/>
      <c r="D270" s="95"/>
      <c r="E270" s="95"/>
      <c r="F270" s="95"/>
      <c r="G270" s="95"/>
      <c r="H270" s="49"/>
    </row>
    <row r="271" spans="1:8" ht="60" customHeight="1" x14ac:dyDescent="0.25">
      <c r="A271" s="95"/>
      <c r="B271" s="95"/>
      <c r="C271" s="95"/>
      <c r="D271" s="95"/>
      <c r="E271" s="95"/>
      <c r="F271" s="95"/>
      <c r="G271" s="95"/>
      <c r="H271" s="49"/>
    </row>
    <row r="272" spans="1:8" ht="60" customHeight="1" x14ac:dyDescent="0.25">
      <c r="A272" s="95"/>
      <c r="B272" s="95"/>
      <c r="C272" s="95"/>
      <c r="D272" s="95"/>
      <c r="E272" s="95"/>
      <c r="F272" s="95"/>
      <c r="G272" s="95"/>
      <c r="H272" s="49"/>
    </row>
    <row r="273" spans="1:8" ht="60" customHeight="1" x14ac:dyDescent="0.25">
      <c r="A273" s="95"/>
      <c r="B273" s="95"/>
      <c r="C273" s="95"/>
      <c r="D273" s="95"/>
      <c r="E273" s="95"/>
      <c r="F273" s="95"/>
      <c r="G273" s="95"/>
      <c r="H273" s="49"/>
    </row>
    <row r="274" spans="1:8" ht="60" customHeight="1" x14ac:dyDescent="0.25">
      <c r="A274" s="95"/>
      <c r="B274" s="95"/>
      <c r="C274" s="95"/>
      <c r="D274" s="95"/>
      <c r="E274" s="95"/>
      <c r="F274" s="95"/>
      <c r="G274" s="95"/>
      <c r="H274" s="49"/>
    </row>
    <row r="275" spans="1:8" ht="60" customHeight="1" x14ac:dyDescent="0.25">
      <c r="A275" s="95"/>
      <c r="B275" s="95"/>
      <c r="C275" s="95"/>
      <c r="D275" s="95"/>
      <c r="E275" s="95"/>
      <c r="F275" s="95"/>
      <c r="G275" s="95"/>
      <c r="H275" s="49"/>
    </row>
    <row r="276" spans="1:8" ht="60" customHeight="1" x14ac:dyDescent="0.25">
      <c r="A276" s="95"/>
      <c r="B276" s="95"/>
      <c r="C276" s="95"/>
      <c r="D276" s="95"/>
      <c r="E276" s="95"/>
      <c r="F276" s="95"/>
      <c r="G276" s="95"/>
      <c r="H276" s="49"/>
    </row>
    <row r="277" spans="1:8" ht="60" customHeight="1" x14ac:dyDescent="0.25">
      <c r="A277" s="95"/>
      <c r="B277" s="95"/>
      <c r="C277" s="95"/>
      <c r="D277" s="95"/>
      <c r="E277" s="95"/>
      <c r="F277" s="95"/>
      <c r="G277" s="95"/>
      <c r="H277" s="49"/>
    </row>
    <row r="278" spans="1:8" ht="60" customHeight="1" x14ac:dyDescent="0.25">
      <c r="A278" s="95"/>
      <c r="B278" s="95"/>
      <c r="C278" s="95"/>
      <c r="D278" s="95"/>
      <c r="E278" s="95"/>
      <c r="F278" s="95"/>
      <c r="G278" s="95"/>
      <c r="H278" s="49"/>
    </row>
    <row r="279" spans="1:8" ht="60" customHeight="1" x14ac:dyDescent="0.25">
      <c r="A279" s="95"/>
      <c r="B279" s="95"/>
      <c r="C279" s="95"/>
      <c r="D279" s="95"/>
      <c r="E279" s="95"/>
      <c r="F279" s="95"/>
      <c r="G279" s="95"/>
      <c r="H279" s="49"/>
    </row>
    <row r="280" spans="1:8" ht="60" customHeight="1" x14ac:dyDescent="0.25">
      <c r="A280" s="95"/>
      <c r="B280" s="95"/>
      <c r="C280" s="95"/>
      <c r="D280" s="95"/>
      <c r="E280" s="95"/>
      <c r="F280" s="95"/>
      <c r="G280" s="95"/>
      <c r="H280" s="49"/>
    </row>
    <row r="281" spans="1:8" ht="60" customHeight="1" x14ac:dyDescent="0.25">
      <c r="A281" s="95"/>
      <c r="B281" s="95"/>
      <c r="C281" s="95"/>
      <c r="D281" s="95"/>
      <c r="E281" s="95"/>
      <c r="F281" s="95"/>
      <c r="G281" s="95"/>
      <c r="H281" s="49"/>
    </row>
    <row r="282" spans="1:8" ht="60" customHeight="1" x14ac:dyDescent="0.25">
      <c r="A282" s="95"/>
      <c r="B282" s="95"/>
      <c r="C282" s="95"/>
      <c r="D282" s="95"/>
      <c r="E282" s="95"/>
      <c r="F282" s="95"/>
      <c r="G282" s="95"/>
      <c r="H282" s="49"/>
    </row>
    <row r="283" spans="1:8" ht="60" customHeight="1" x14ac:dyDescent="0.25">
      <c r="A283" s="95"/>
      <c r="B283" s="95"/>
      <c r="C283" s="95"/>
      <c r="D283" s="95"/>
      <c r="E283" s="95"/>
      <c r="F283" s="95"/>
      <c r="G283" s="95"/>
      <c r="H283" s="49"/>
    </row>
    <row r="284" spans="1:8" ht="60" customHeight="1" x14ac:dyDescent="0.25">
      <c r="A284" s="95"/>
      <c r="B284" s="95"/>
      <c r="C284" s="95"/>
      <c r="D284" s="95"/>
      <c r="E284" s="95"/>
      <c r="F284" s="95"/>
      <c r="G284" s="95"/>
      <c r="H284" s="49"/>
    </row>
    <row r="285" spans="1:8" ht="60" customHeight="1" x14ac:dyDescent="0.25">
      <c r="A285" s="95"/>
      <c r="B285" s="95"/>
      <c r="C285" s="95"/>
      <c r="D285" s="95"/>
      <c r="E285" s="95"/>
      <c r="F285" s="95"/>
      <c r="G285" s="95"/>
      <c r="H285" s="49"/>
    </row>
    <row r="286" spans="1:8" ht="60" customHeight="1" x14ac:dyDescent="0.25">
      <c r="A286" s="95"/>
      <c r="B286" s="95"/>
      <c r="C286" s="95"/>
      <c r="D286" s="95"/>
      <c r="E286" s="95"/>
      <c r="F286" s="95"/>
      <c r="G286" s="95"/>
      <c r="H286" s="49"/>
    </row>
    <row r="287" spans="1:8" ht="60" customHeight="1" x14ac:dyDescent="0.25">
      <c r="A287" s="95"/>
      <c r="B287" s="95"/>
      <c r="C287" s="95"/>
      <c r="D287" s="95"/>
      <c r="E287" s="95"/>
      <c r="F287" s="95"/>
      <c r="G287" s="95"/>
      <c r="H287" s="49"/>
    </row>
    <row r="288" spans="1:8" ht="60" customHeight="1" x14ac:dyDescent="0.25">
      <c r="A288" s="97"/>
      <c r="B288" s="97"/>
      <c r="C288" s="97"/>
      <c r="D288" s="97"/>
      <c r="E288" s="97"/>
      <c r="F288" s="97"/>
      <c r="G288" s="97"/>
      <c r="H288" s="98"/>
    </row>
    <row r="289" spans="1:8" ht="60" customHeight="1" x14ac:dyDescent="0.25">
      <c r="A289" s="95"/>
      <c r="B289" s="95"/>
      <c r="C289" s="95"/>
      <c r="D289" s="95"/>
      <c r="E289" s="95"/>
      <c r="F289" s="95"/>
      <c r="G289" s="95"/>
      <c r="H289" s="49"/>
    </row>
    <row r="290" spans="1:8" ht="60" customHeight="1" x14ac:dyDescent="0.25">
      <c r="A290" s="95"/>
      <c r="B290" s="95"/>
      <c r="C290" s="95"/>
      <c r="D290" s="95"/>
      <c r="E290" s="95"/>
      <c r="F290" s="95"/>
      <c r="G290" s="95"/>
      <c r="H290" s="49"/>
    </row>
    <row r="291" spans="1:8" ht="60" customHeight="1" x14ac:dyDescent="0.25">
      <c r="A291" s="95"/>
      <c r="B291" s="95"/>
      <c r="C291" s="95"/>
      <c r="D291" s="95"/>
      <c r="E291" s="95"/>
      <c r="F291" s="95"/>
      <c r="G291" s="95"/>
      <c r="H291" s="49"/>
    </row>
    <row r="292" spans="1:8" ht="60" customHeight="1" x14ac:dyDescent="0.25">
      <c r="A292" s="95"/>
      <c r="B292" s="95"/>
      <c r="C292" s="95"/>
      <c r="D292" s="95"/>
      <c r="E292" s="95"/>
      <c r="F292" s="95"/>
      <c r="G292" s="95"/>
      <c r="H292" s="49"/>
    </row>
    <row r="293" spans="1:8" ht="60" customHeight="1" x14ac:dyDescent="0.25">
      <c r="A293" s="95"/>
      <c r="B293" s="95"/>
      <c r="C293" s="95"/>
      <c r="D293" s="95"/>
      <c r="E293" s="95"/>
      <c r="F293" s="95"/>
      <c r="G293" s="95"/>
      <c r="H293" s="49"/>
    </row>
    <row r="294" spans="1:8" ht="60" customHeight="1" x14ac:dyDescent="0.25">
      <c r="A294" s="95"/>
      <c r="B294" s="95"/>
      <c r="C294" s="95"/>
      <c r="D294" s="95"/>
      <c r="E294" s="95"/>
      <c r="F294" s="95"/>
      <c r="G294" s="95"/>
      <c r="H294" s="49"/>
    </row>
    <row r="295" spans="1:8" ht="60" customHeight="1" x14ac:dyDescent="0.25">
      <c r="A295" s="95"/>
      <c r="B295" s="95"/>
      <c r="C295" s="95"/>
      <c r="D295" s="95"/>
      <c r="E295" s="95"/>
      <c r="F295" s="95"/>
      <c r="G295" s="95"/>
      <c r="H295" s="49"/>
    </row>
    <row r="296" spans="1:8" ht="60" customHeight="1" x14ac:dyDescent="0.25">
      <c r="A296" s="95"/>
      <c r="B296" s="95"/>
      <c r="C296" s="95"/>
      <c r="D296" s="95"/>
      <c r="E296" s="95"/>
      <c r="F296" s="95"/>
      <c r="G296" s="95"/>
      <c r="H296" s="49"/>
    </row>
    <row r="297" spans="1:8" ht="60" customHeight="1" x14ac:dyDescent="0.25">
      <c r="A297" s="95"/>
      <c r="B297" s="95"/>
      <c r="C297" s="95"/>
      <c r="D297" s="95"/>
      <c r="E297" s="95"/>
      <c r="F297" s="95"/>
      <c r="G297" s="95"/>
      <c r="H297" s="49"/>
    </row>
    <row r="298" spans="1:8" ht="60" customHeight="1" x14ac:dyDescent="0.25">
      <c r="A298" s="95"/>
      <c r="B298" s="95"/>
      <c r="C298" s="95"/>
      <c r="D298" s="95"/>
      <c r="E298" s="95"/>
      <c r="F298" s="95"/>
      <c r="G298" s="95"/>
      <c r="H298" s="49"/>
    </row>
    <row r="299" spans="1:8" ht="60" customHeight="1" x14ac:dyDescent="0.25">
      <c r="A299" s="95"/>
      <c r="B299" s="95"/>
      <c r="C299" s="95"/>
      <c r="D299" s="95"/>
      <c r="E299" s="95"/>
      <c r="F299" s="95"/>
      <c r="G299" s="95"/>
      <c r="H299" s="49"/>
    </row>
    <row r="300" spans="1:8" ht="60" customHeight="1" x14ac:dyDescent="0.25">
      <c r="A300" s="95"/>
      <c r="B300" s="95"/>
      <c r="C300" s="95"/>
      <c r="D300" s="95"/>
      <c r="E300" s="95"/>
      <c r="F300" s="95"/>
      <c r="G300" s="95"/>
      <c r="H300" s="49"/>
    </row>
    <row r="301" spans="1:8" ht="60" customHeight="1" x14ac:dyDescent="0.25">
      <c r="A301" s="95"/>
      <c r="B301" s="95"/>
      <c r="C301" s="95"/>
      <c r="D301" s="95"/>
      <c r="E301" s="95"/>
      <c r="F301" s="95"/>
      <c r="G301" s="95"/>
      <c r="H301" s="49"/>
    </row>
    <row r="302" spans="1:8" ht="60" customHeight="1" x14ac:dyDescent="0.25">
      <c r="A302" s="95"/>
      <c r="B302" s="95"/>
      <c r="C302" s="95"/>
      <c r="D302" s="95"/>
      <c r="E302" s="95"/>
      <c r="F302" s="95"/>
      <c r="G302" s="95"/>
      <c r="H302" s="49"/>
    </row>
    <row r="303" spans="1:8" ht="60" customHeight="1" x14ac:dyDescent="0.25">
      <c r="A303" s="95"/>
      <c r="B303" s="95"/>
      <c r="C303" s="95"/>
      <c r="D303" s="95"/>
      <c r="E303" s="95"/>
      <c r="F303" s="95"/>
      <c r="G303" s="95"/>
      <c r="H303" s="49"/>
    </row>
    <row r="304" spans="1:8" ht="60" customHeight="1" x14ac:dyDescent="0.25">
      <c r="A304" s="95"/>
      <c r="B304" s="95"/>
      <c r="C304" s="95"/>
      <c r="D304" s="95"/>
      <c r="E304" s="95"/>
      <c r="F304" s="95"/>
      <c r="G304" s="95"/>
      <c r="H304" s="49"/>
    </row>
    <row r="305" spans="1:8" ht="60" customHeight="1" x14ac:dyDescent="0.25">
      <c r="A305" s="95"/>
      <c r="B305" s="95"/>
      <c r="C305" s="95"/>
      <c r="D305" s="95"/>
      <c r="E305" s="95"/>
      <c r="F305" s="95"/>
      <c r="G305" s="95"/>
      <c r="H305" s="49"/>
    </row>
    <row r="306" spans="1:8" ht="60" customHeight="1" x14ac:dyDescent="0.25">
      <c r="A306" s="95"/>
      <c r="B306" s="95"/>
      <c r="C306" s="95"/>
      <c r="D306" s="95"/>
      <c r="E306" s="95"/>
      <c r="F306" s="95"/>
      <c r="G306" s="95"/>
      <c r="H306" s="49"/>
    </row>
    <row r="307" spans="1:8" ht="60" customHeight="1" x14ac:dyDescent="0.25">
      <c r="A307" s="95"/>
      <c r="B307" s="95"/>
      <c r="C307" s="95"/>
      <c r="D307" s="95"/>
      <c r="E307" s="95"/>
      <c r="F307" s="95"/>
      <c r="G307" s="95"/>
      <c r="H307" s="49"/>
    </row>
    <row r="308" spans="1:8" ht="60" customHeight="1" x14ac:dyDescent="0.25">
      <c r="A308" s="95"/>
      <c r="B308" s="95"/>
      <c r="C308" s="95"/>
      <c r="D308" s="95"/>
      <c r="E308" s="95"/>
      <c r="F308" s="95"/>
      <c r="G308" s="95"/>
      <c r="H308" s="49"/>
    </row>
    <row r="309" spans="1:8" ht="60" customHeight="1" x14ac:dyDescent="0.25">
      <c r="A309" s="100"/>
      <c r="B309" s="95"/>
      <c r="C309" s="95"/>
      <c r="D309" s="95"/>
      <c r="E309" s="95"/>
      <c r="F309" s="95"/>
      <c r="G309" s="95"/>
      <c r="H309" s="49"/>
    </row>
    <row r="310" spans="1:8" ht="60" customHeight="1" x14ac:dyDescent="0.25">
      <c r="A310" s="95"/>
      <c r="B310" s="95"/>
      <c r="C310" s="95"/>
      <c r="D310" s="95"/>
      <c r="E310" s="95"/>
      <c r="F310" s="95"/>
      <c r="G310" s="95"/>
      <c r="H310" s="49"/>
    </row>
    <row r="311" spans="1:8" ht="60" customHeight="1" x14ac:dyDescent="0.25">
      <c r="A311" s="95"/>
      <c r="B311" s="95"/>
      <c r="C311" s="95"/>
      <c r="D311" s="95"/>
      <c r="E311" s="95"/>
      <c r="F311" s="95"/>
      <c r="G311" s="95"/>
      <c r="H311" s="49"/>
    </row>
    <row r="312" spans="1:8" ht="60" customHeight="1" x14ac:dyDescent="0.25">
      <c r="A312" s="95"/>
      <c r="B312" s="95"/>
      <c r="C312" s="95"/>
      <c r="D312" s="95"/>
      <c r="E312" s="95"/>
      <c r="F312" s="95"/>
      <c r="G312" s="95"/>
      <c r="H312" s="49"/>
    </row>
    <row r="313" spans="1:8" ht="60" customHeight="1" x14ac:dyDescent="0.25">
      <c r="A313" s="95"/>
      <c r="B313" s="95"/>
      <c r="C313" s="95"/>
      <c r="D313" s="95"/>
      <c r="E313" s="95"/>
      <c r="F313" s="95"/>
      <c r="G313" s="95"/>
      <c r="H313" s="49"/>
    </row>
    <row r="314" spans="1:8" ht="60" customHeight="1" x14ac:dyDescent="0.25">
      <c r="A314" s="95"/>
      <c r="B314" s="95"/>
      <c r="C314" s="95"/>
      <c r="D314" s="95"/>
      <c r="E314" s="95"/>
      <c r="F314" s="95"/>
      <c r="G314" s="95"/>
      <c r="H314" s="49"/>
    </row>
    <row r="315" spans="1:8" ht="60" customHeight="1" x14ac:dyDescent="0.25">
      <c r="A315" s="95"/>
      <c r="B315" s="95"/>
      <c r="C315" s="95"/>
      <c r="D315" s="95"/>
      <c r="E315" s="95"/>
      <c r="F315" s="95"/>
      <c r="G315" s="95"/>
      <c r="H315" s="49"/>
    </row>
    <row r="316" spans="1:8" ht="60" customHeight="1" x14ac:dyDescent="0.25">
      <c r="A316" s="95"/>
      <c r="B316" s="95"/>
      <c r="C316" s="95"/>
      <c r="D316" s="95"/>
      <c r="E316" s="95"/>
      <c r="F316" s="95"/>
      <c r="G316" s="95"/>
      <c r="H316" s="49"/>
    </row>
    <row r="317" spans="1:8" ht="60" customHeight="1" x14ac:dyDescent="0.25">
      <c r="A317" s="95"/>
      <c r="B317" s="95"/>
      <c r="C317" s="95"/>
      <c r="D317" s="95"/>
      <c r="E317" s="95"/>
      <c r="F317" s="95"/>
      <c r="G317" s="95"/>
      <c r="H317" s="49"/>
    </row>
    <row r="318" spans="1:8" ht="60" customHeight="1" x14ac:dyDescent="0.25">
      <c r="A318" s="95"/>
      <c r="B318" s="95"/>
      <c r="C318" s="95"/>
      <c r="D318" s="95"/>
      <c r="E318" s="95"/>
      <c r="F318" s="95"/>
      <c r="G318" s="95"/>
      <c r="H318" s="49"/>
    </row>
    <row r="319" spans="1:8" ht="60" customHeight="1" x14ac:dyDescent="0.25">
      <c r="A319" s="95"/>
      <c r="B319" s="95"/>
      <c r="C319" s="95"/>
      <c r="D319" s="95"/>
      <c r="E319" s="95"/>
      <c r="F319" s="95"/>
      <c r="G319" s="95"/>
      <c r="H319" s="49"/>
    </row>
    <row r="320" spans="1:8" ht="60" customHeight="1" x14ac:dyDescent="0.25">
      <c r="A320" s="100"/>
      <c r="B320" s="95"/>
      <c r="C320" s="95"/>
      <c r="D320" s="95"/>
      <c r="E320" s="95"/>
      <c r="F320" s="95"/>
      <c r="G320" s="95"/>
      <c r="H320" s="49"/>
    </row>
    <row r="321" spans="1:8" ht="60" customHeight="1" x14ac:dyDescent="0.25">
      <c r="A321" s="100"/>
      <c r="B321" s="95"/>
      <c r="C321" s="95"/>
      <c r="D321" s="95"/>
      <c r="E321" s="95"/>
      <c r="F321" s="95"/>
      <c r="G321" s="95"/>
      <c r="H321" s="49"/>
    </row>
    <row r="322" spans="1:8" ht="60" customHeight="1" x14ac:dyDescent="0.25">
      <c r="A322" s="95"/>
      <c r="B322" s="95"/>
      <c r="C322" s="95"/>
      <c r="D322" s="95"/>
      <c r="E322" s="95"/>
      <c r="F322" s="95"/>
      <c r="G322" s="95"/>
      <c r="H322" s="49"/>
    </row>
    <row r="323" spans="1:8" ht="60" customHeight="1" x14ac:dyDescent="0.25">
      <c r="A323" s="95"/>
      <c r="B323" s="95"/>
      <c r="C323" s="95"/>
      <c r="D323" s="95"/>
      <c r="E323" s="95"/>
      <c r="F323" s="95"/>
      <c r="G323" s="95"/>
      <c r="H323" s="49"/>
    </row>
    <row r="324" spans="1:8" ht="60" customHeight="1" x14ac:dyDescent="0.25">
      <c r="A324" s="95"/>
      <c r="B324" s="95"/>
      <c r="C324" s="95"/>
      <c r="D324" s="95"/>
      <c r="E324" s="95"/>
      <c r="F324" s="95"/>
      <c r="G324" s="95"/>
      <c r="H324" s="49"/>
    </row>
    <row r="325" spans="1:8" ht="60" customHeight="1" x14ac:dyDescent="0.25">
      <c r="A325" s="95"/>
      <c r="B325" s="95"/>
      <c r="C325" s="95"/>
      <c r="D325" s="95"/>
      <c r="E325" s="95"/>
      <c r="F325" s="95"/>
      <c r="G325" s="95"/>
      <c r="H325" s="49"/>
    </row>
    <row r="326" spans="1:8" ht="60" customHeight="1" x14ac:dyDescent="0.25">
      <c r="A326" s="95"/>
      <c r="B326" s="95"/>
      <c r="C326" s="95"/>
      <c r="D326" s="95"/>
      <c r="E326" s="95"/>
      <c r="F326" s="95"/>
      <c r="G326" s="95"/>
      <c r="H326" s="49"/>
    </row>
    <row r="327" spans="1:8" ht="60" customHeight="1" x14ac:dyDescent="0.25">
      <c r="A327" s="95"/>
      <c r="B327" s="95"/>
      <c r="C327" s="95"/>
      <c r="D327" s="95"/>
      <c r="E327" s="95"/>
      <c r="F327" s="95"/>
      <c r="G327" s="95"/>
      <c r="H327" s="49"/>
    </row>
    <row r="328" spans="1:8" ht="60" customHeight="1" x14ac:dyDescent="0.25">
      <c r="A328" s="95"/>
      <c r="B328" s="95"/>
      <c r="C328" s="95"/>
      <c r="D328" s="95"/>
      <c r="E328" s="95"/>
      <c r="F328" s="95"/>
      <c r="G328" s="95"/>
      <c r="H328" s="49"/>
    </row>
    <row r="329" spans="1:8" ht="60" customHeight="1" x14ac:dyDescent="0.25">
      <c r="A329" s="95"/>
      <c r="B329" s="95"/>
      <c r="C329" s="95"/>
      <c r="D329" s="95"/>
      <c r="E329" s="95"/>
      <c r="F329" s="95"/>
      <c r="G329" s="95"/>
      <c r="H329" s="49"/>
    </row>
    <row r="330" spans="1:8" ht="60" customHeight="1" x14ac:dyDescent="0.25">
      <c r="A330" s="95"/>
      <c r="B330" s="95"/>
      <c r="C330" s="95"/>
      <c r="D330" s="95"/>
      <c r="E330" s="95"/>
      <c r="F330" s="95"/>
      <c r="G330" s="95"/>
      <c r="H330" s="49"/>
    </row>
    <row r="331" spans="1:8" ht="60" customHeight="1" x14ac:dyDescent="0.25">
      <c r="A331" s="95"/>
      <c r="B331" s="95"/>
      <c r="C331" s="95"/>
      <c r="D331" s="95"/>
      <c r="E331" s="95"/>
      <c r="F331" s="95"/>
      <c r="G331" s="95"/>
      <c r="H331" s="49"/>
    </row>
    <row r="332" spans="1:8" ht="60" customHeight="1" x14ac:dyDescent="0.15">
      <c r="H332" s="49"/>
    </row>
    <row r="333" spans="1:8" ht="60" customHeight="1" x14ac:dyDescent="0.15">
      <c r="H333" s="49"/>
    </row>
    <row r="334" spans="1:8" ht="60" customHeight="1" x14ac:dyDescent="0.15">
      <c r="H334" s="49"/>
    </row>
    <row r="335" spans="1:8" ht="60" customHeight="1" x14ac:dyDescent="0.15">
      <c r="H335" s="49"/>
    </row>
    <row r="336" spans="1:8" ht="60" customHeight="1" x14ac:dyDescent="0.15"/>
    <row r="337" ht="60" customHeight="1" x14ac:dyDescent="0.15"/>
    <row r="338" ht="60" customHeight="1" x14ac:dyDescent="0.15"/>
    <row r="339" ht="60" customHeight="1" x14ac:dyDescent="0.15"/>
    <row r="340" ht="60" customHeight="1" x14ac:dyDescent="0.15"/>
    <row r="341" ht="60" customHeight="1" x14ac:dyDescent="0.15"/>
    <row r="342" ht="60" customHeight="1" x14ac:dyDescent="0.15"/>
    <row r="343" ht="60" customHeight="1" x14ac:dyDescent="0.15"/>
    <row r="344" ht="60" customHeight="1" x14ac:dyDescent="0.15"/>
    <row r="345" ht="60" customHeight="1" x14ac:dyDescent="0.15"/>
    <row r="346" ht="60" customHeight="1" x14ac:dyDescent="0.15"/>
    <row r="347" ht="60" customHeight="1" x14ac:dyDescent="0.15"/>
    <row r="348" ht="60" customHeight="1" x14ac:dyDescent="0.15"/>
    <row r="349" ht="60" customHeight="1" x14ac:dyDescent="0.15"/>
    <row r="350" ht="60" customHeight="1" x14ac:dyDescent="0.15"/>
    <row r="351" ht="60" customHeight="1" x14ac:dyDescent="0.15"/>
    <row r="352" ht="60" customHeight="1" x14ac:dyDescent="0.15"/>
    <row r="353" ht="60" customHeight="1" x14ac:dyDescent="0.15"/>
    <row r="354" ht="60" customHeight="1" x14ac:dyDescent="0.15"/>
    <row r="355" ht="60" customHeight="1" x14ac:dyDescent="0.15"/>
    <row r="356" ht="60" customHeight="1" x14ac:dyDescent="0.15"/>
    <row r="357" ht="60" customHeight="1" x14ac:dyDescent="0.15"/>
    <row r="358" ht="60" customHeight="1" x14ac:dyDescent="0.15"/>
    <row r="359" ht="60" customHeight="1" x14ac:dyDescent="0.15"/>
    <row r="360" ht="60" customHeight="1" x14ac:dyDescent="0.15"/>
    <row r="361" ht="60" customHeight="1" x14ac:dyDescent="0.15"/>
    <row r="362" ht="60" customHeight="1" x14ac:dyDescent="0.15"/>
    <row r="363" ht="60" customHeight="1" x14ac:dyDescent="0.15"/>
    <row r="364" ht="60" customHeight="1" x14ac:dyDescent="0.15"/>
    <row r="365" ht="60" customHeight="1" x14ac:dyDescent="0.15"/>
    <row r="366" ht="60" customHeight="1" x14ac:dyDescent="0.15"/>
    <row r="367" ht="60" customHeight="1" x14ac:dyDescent="0.15"/>
    <row r="368" ht="60" customHeight="1" x14ac:dyDescent="0.15"/>
    <row r="369" ht="60" customHeight="1" x14ac:dyDescent="0.15"/>
    <row r="370" ht="60" customHeight="1" x14ac:dyDescent="0.15"/>
    <row r="371" ht="60" customHeight="1" x14ac:dyDescent="0.15"/>
    <row r="372" ht="60" customHeight="1" x14ac:dyDescent="0.15"/>
    <row r="373" ht="60" customHeight="1" x14ac:dyDescent="0.15"/>
    <row r="374" ht="60" customHeight="1" x14ac:dyDescent="0.15"/>
    <row r="375" ht="60" customHeight="1" x14ac:dyDescent="0.15"/>
    <row r="376" ht="60" customHeight="1" x14ac:dyDescent="0.15"/>
    <row r="377" ht="60" customHeight="1" x14ac:dyDescent="0.15"/>
    <row r="378" ht="60" customHeight="1" x14ac:dyDescent="0.15"/>
    <row r="379" ht="60" customHeight="1" x14ac:dyDescent="0.15"/>
    <row r="380" ht="60" customHeight="1" x14ac:dyDescent="0.15"/>
    <row r="381" ht="60" customHeight="1" x14ac:dyDescent="0.15"/>
    <row r="382" ht="60" customHeight="1" x14ac:dyDescent="0.15"/>
    <row r="383" ht="60" customHeight="1" x14ac:dyDescent="0.15"/>
    <row r="384" ht="60" customHeight="1" x14ac:dyDescent="0.15"/>
    <row r="385" ht="60" customHeight="1" x14ac:dyDescent="0.15"/>
    <row r="386" ht="60" customHeight="1" x14ac:dyDescent="0.15"/>
    <row r="387" ht="60" customHeight="1" x14ac:dyDescent="0.15"/>
    <row r="388" ht="60" customHeight="1" x14ac:dyDescent="0.15"/>
    <row r="389" ht="60" customHeight="1" x14ac:dyDescent="0.15"/>
    <row r="390" ht="60" customHeight="1" x14ac:dyDescent="0.15"/>
    <row r="391" ht="60" customHeight="1" x14ac:dyDescent="0.15"/>
    <row r="392" ht="60" customHeight="1" x14ac:dyDescent="0.15"/>
    <row r="393" ht="60" customHeight="1" x14ac:dyDescent="0.15"/>
    <row r="394" ht="60" customHeight="1" x14ac:dyDescent="0.15"/>
    <row r="395" ht="60" customHeight="1" x14ac:dyDescent="0.15"/>
    <row r="396" ht="60" customHeight="1" x14ac:dyDescent="0.15"/>
    <row r="397" ht="60" customHeight="1" x14ac:dyDescent="0.15"/>
    <row r="398" ht="60" customHeight="1" x14ac:dyDescent="0.15"/>
    <row r="399" ht="60" customHeight="1" x14ac:dyDescent="0.15"/>
    <row r="400" ht="60" customHeight="1" x14ac:dyDescent="0.15"/>
    <row r="401" ht="60" customHeight="1" x14ac:dyDescent="0.15"/>
    <row r="402" ht="60" customHeight="1" x14ac:dyDescent="0.15"/>
    <row r="403" ht="60" customHeight="1" x14ac:dyDescent="0.15"/>
    <row r="404" ht="60" customHeight="1" x14ac:dyDescent="0.15"/>
    <row r="405" ht="60" customHeight="1" x14ac:dyDescent="0.15"/>
    <row r="406" ht="60" customHeight="1" x14ac:dyDescent="0.15"/>
    <row r="407" ht="60" customHeight="1" x14ac:dyDescent="0.15"/>
    <row r="408" ht="60" customHeight="1" x14ac:dyDescent="0.15"/>
    <row r="409" ht="60" customHeight="1" x14ac:dyDescent="0.15"/>
    <row r="410" ht="60" customHeight="1" x14ac:dyDescent="0.15"/>
    <row r="411" ht="60" customHeight="1" x14ac:dyDescent="0.15"/>
    <row r="412" ht="60" customHeight="1" x14ac:dyDescent="0.15"/>
    <row r="413" ht="60" customHeight="1" x14ac:dyDescent="0.15"/>
    <row r="414" ht="60" customHeight="1" x14ac:dyDescent="0.15"/>
    <row r="415" ht="60" customHeight="1" x14ac:dyDescent="0.15"/>
    <row r="416" ht="60" customHeight="1" x14ac:dyDescent="0.15"/>
    <row r="417" ht="60" customHeight="1" x14ac:dyDescent="0.15"/>
    <row r="418" ht="60" customHeight="1" x14ac:dyDescent="0.15"/>
    <row r="419" ht="60" customHeight="1" x14ac:dyDescent="0.15"/>
    <row r="420" ht="60" customHeight="1" x14ac:dyDescent="0.15"/>
    <row r="421" ht="60" customHeight="1" x14ac:dyDescent="0.15"/>
    <row r="422" ht="60" customHeight="1" x14ac:dyDescent="0.15"/>
    <row r="423" ht="60" customHeight="1" x14ac:dyDescent="0.15"/>
    <row r="424" ht="60" customHeight="1" x14ac:dyDescent="0.15"/>
    <row r="425" ht="60" customHeight="1" x14ac:dyDescent="0.15"/>
    <row r="426" ht="60" customHeight="1" x14ac:dyDescent="0.15"/>
    <row r="427" ht="60" customHeight="1" x14ac:dyDescent="0.15"/>
    <row r="428" ht="60" customHeight="1" x14ac:dyDescent="0.15"/>
    <row r="429" ht="60" customHeight="1" x14ac:dyDescent="0.15"/>
    <row r="430" ht="60" customHeight="1" x14ac:dyDescent="0.15"/>
    <row r="431" ht="60" customHeight="1" x14ac:dyDescent="0.15"/>
    <row r="432" ht="60" customHeight="1" x14ac:dyDescent="0.15"/>
    <row r="433" ht="60" customHeight="1" x14ac:dyDescent="0.15"/>
    <row r="434" ht="60" customHeight="1" x14ac:dyDescent="0.15"/>
    <row r="435" ht="60" customHeight="1" x14ac:dyDescent="0.15"/>
    <row r="436" ht="60" customHeight="1" x14ac:dyDescent="0.15"/>
    <row r="437" ht="60" customHeight="1" x14ac:dyDescent="0.15"/>
    <row r="438" ht="60" customHeight="1" x14ac:dyDescent="0.15"/>
    <row r="439" ht="60" customHeight="1" x14ac:dyDescent="0.15"/>
    <row r="440" ht="60" customHeight="1" x14ac:dyDescent="0.15"/>
    <row r="441" ht="60" customHeight="1" x14ac:dyDescent="0.15"/>
    <row r="442" ht="60" customHeight="1" x14ac:dyDescent="0.15"/>
    <row r="443" ht="60" customHeight="1" x14ac:dyDescent="0.15"/>
    <row r="444" ht="60" customHeight="1" x14ac:dyDescent="0.15"/>
    <row r="445" ht="60" customHeight="1" x14ac:dyDescent="0.15"/>
    <row r="446" ht="60" customHeight="1" x14ac:dyDescent="0.15"/>
    <row r="447" ht="60" customHeight="1" x14ac:dyDescent="0.15"/>
    <row r="448" ht="60" customHeight="1" x14ac:dyDescent="0.15"/>
    <row r="449" ht="60" customHeight="1" x14ac:dyDescent="0.15"/>
    <row r="450" ht="60" customHeight="1" x14ac:dyDescent="0.15"/>
    <row r="451" ht="60" customHeight="1" x14ac:dyDescent="0.15"/>
    <row r="452" ht="60" customHeight="1" x14ac:dyDescent="0.15"/>
    <row r="453" ht="60" customHeight="1" x14ac:dyDescent="0.15"/>
    <row r="454" ht="60" customHeight="1" x14ac:dyDescent="0.15"/>
    <row r="455" ht="60" customHeight="1" x14ac:dyDescent="0.15"/>
    <row r="456" ht="60" customHeight="1" x14ac:dyDescent="0.15"/>
    <row r="457" ht="60" customHeight="1" x14ac:dyDescent="0.15"/>
    <row r="458" ht="60" customHeight="1" x14ac:dyDescent="0.15"/>
    <row r="459" ht="60" customHeight="1" x14ac:dyDescent="0.15"/>
    <row r="460" ht="60" customHeight="1" x14ac:dyDescent="0.15"/>
    <row r="461" ht="60" customHeight="1" x14ac:dyDescent="0.15"/>
    <row r="462" ht="60" customHeight="1" x14ac:dyDescent="0.15"/>
    <row r="463" ht="60" customHeight="1" x14ac:dyDescent="0.15"/>
    <row r="464" ht="60" customHeight="1" x14ac:dyDescent="0.15"/>
    <row r="465" ht="60" customHeight="1" x14ac:dyDescent="0.15"/>
    <row r="466" ht="60" customHeight="1" x14ac:dyDescent="0.15"/>
    <row r="467" ht="60" customHeight="1" x14ac:dyDescent="0.15"/>
    <row r="468" ht="60" customHeight="1" x14ac:dyDescent="0.15"/>
    <row r="469" ht="60" customHeight="1" x14ac:dyDescent="0.15"/>
    <row r="470" ht="60" customHeight="1" x14ac:dyDescent="0.15"/>
    <row r="471" ht="60" customHeight="1" x14ac:dyDescent="0.15"/>
    <row r="472" ht="60" customHeight="1" x14ac:dyDescent="0.15"/>
    <row r="473" ht="60" customHeight="1" x14ac:dyDescent="0.15"/>
    <row r="474" ht="60" customHeight="1" x14ac:dyDescent="0.15"/>
    <row r="475" ht="60" customHeight="1" x14ac:dyDescent="0.15"/>
    <row r="476" ht="60" customHeight="1" x14ac:dyDescent="0.15"/>
    <row r="477" ht="60" customHeight="1" x14ac:dyDescent="0.15"/>
    <row r="478" ht="60" customHeight="1" x14ac:dyDescent="0.15"/>
    <row r="479" ht="60" customHeight="1" x14ac:dyDescent="0.15"/>
    <row r="480" ht="60" customHeight="1" x14ac:dyDescent="0.15"/>
    <row r="481" ht="60" customHeight="1" x14ac:dyDescent="0.15"/>
    <row r="482" ht="60" customHeight="1" x14ac:dyDescent="0.15"/>
    <row r="483" ht="60" customHeight="1" x14ac:dyDescent="0.15"/>
    <row r="484" ht="60" customHeight="1" x14ac:dyDescent="0.15"/>
    <row r="485" ht="60" customHeight="1" x14ac:dyDescent="0.15"/>
    <row r="486" ht="60" customHeight="1" x14ac:dyDescent="0.15"/>
    <row r="487" ht="60" customHeight="1" x14ac:dyDescent="0.15"/>
    <row r="488" ht="60" customHeight="1" x14ac:dyDescent="0.15"/>
    <row r="489" ht="60" customHeight="1" x14ac:dyDescent="0.15"/>
    <row r="490" ht="60" customHeight="1" x14ac:dyDescent="0.15"/>
    <row r="491" ht="60" customHeight="1" x14ac:dyDescent="0.15"/>
    <row r="492" ht="60" customHeight="1" x14ac:dyDescent="0.15"/>
    <row r="493" ht="60" customHeight="1" x14ac:dyDescent="0.15"/>
    <row r="494" ht="60" customHeight="1" x14ac:dyDescent="0.15"/>
    <row r="495" ht="60" customHeight="1" x14ac:dyDescent="0.15"/>
    <row r="496" ht="60" customHeight="1" x14ac:dyDescent="0.15"/>
    <row r="497" ht="60" customHeight="1" x14ac:dyDescent="0.15"/>
    <row r="498" ht="60" customHeight="1" x14ac:dyDescent="0.15"/>
    <row r="499" ht="60" customHeight="1" x14ac:dyDescent="0.15"/>
    <row r="500" ht="60" customHeight="1" x14ac:dyDescent="0.15"/>
    <row r="501" ht="60" customHeight="1" x14ac:dyDescent="0.15"/>
    <row r="502" ht="60" customHeight="1" x14ac:dyDescent="0.15"/>
    <row r="503" ht="60" customHeight="1" x14ac:dyDescent="0.15"/>
    <row r="504" ht="60" customHeight="1" x14ac:dyDescent="0.15"/>
    <row r="505" ht="60" customHeight="1" x14ac:dyDescent="0.15"/>
    <row r="506" ht="60" customHeight="1" x14ac:dyDescent="0.15"/>
    <row r="507" ht="60" customHeight="1" x14ac:dyDescent="0.15"/>
    <row r="508" ht="60" customHeight="1" x14ac:dyDescent="0.15"/>
    <row r="509" ht="60" customHeight="1" x14ac:dyDescent="0.15"/>
    <row r="510" ht="60" customHeight="1" x14ac:dyDescent="0.15"/>
    <row r="511" ht="60" customHeight="1" x14ac:dyDescent="0.15"/>
    <row r="512" ht="60" customHeight="1" x14ac:dyDescent="0.15"/>
    <row r="513" ht="60" customHeight="1" x14ac:dyDescent="0.15"/>
    <row r="514" ht="60" customHeight="1" x14ac:dyDescent="0.15"/>
    <row r="515" ht="60" customHeight="1" x14ac:dyDescent="0.15"/>
    <row r="516" ht="60" customHeight="1" x14ac:dyDescent="0.15"/>
    <row r="517" ht="60" customHeight="1" x14ac:dyDescent="0.15"/>
    <row r="518" ht="60" customHeight="1" x14ac:dyDescent="0.15"/>
    <row r="519" ht="60" customHeight="1" x14ac:dyDescent="0.15"/>
    <row r="520" ht="60" customHeight="1" x14ac:dyDescent="0.15"/>
    <row r="521" ht="60" customHeight="1" x14ac:dyDescent="0.15"/>
    <row r="522" ht="60" customHeight="1" x14ac:dyDescent="0.15"/>
    <row r="523" ht="60" customHeight="1" x14ac:dyDescent="0.15"/>
    <row r="524" ht="60" customHeight="1" x14ac:dyDescent="0.15"/>
    <row r="525" ht="60" customHeight="1" x14ac:dyDescent="0.15"/>
    <row r="526" ht="60" customHeight="1" x14ac:dyDescent="0.15"/>
    <row r="527" ht="60" customHeight="1" x14ac:dyDescent="0.15"/>
    <row r="528" ht="60" customHeight="1" x14ac:dyDescent="0.15"/>
    <row r="529" ht="60" customHeight="1" x14ac:dyDescent="0.15"/>
    <row r="530" ht="60" customHeight="1" x14ac:dyDescent="0.15"/>
    <row r="531" ht="60" customHeight="1" x14ac:dyDescent="0.15"/>
    <row r="532" ht="60" customHeight="1" x14ac:dyDescent="0.15"/>
    <row r="533" ht="60" customHeight="1" x14ac:dyDescent="0.15"/>
    <row r="534" ht="60" customHeight="1" x14ac:dyDescent="0.15"/>
    <row r="535" ht="60" customHeight="1" x14ac:dyDescent="0.15"/>
    <row r="536" ht="60" customHeight="1" x14ac:dyDescent="0.15"/>
    <row r="537" ht="60" customHeight="1" x14ac:dyDescent="0.15"/>
    <row r="538" ht="60" customHeight="1" x14ac:dyDescent="0.15"/>
    <row r="539" ht="60" customHeight="1" x14ac:dyDescent="0.15"/>
    <row r="540" ht="60" customHeight="1" x14ac:dyDescent="0.15"/>
    <row r="541" ht="60" customHeight="1" x14ac:dyDescent="0.15"/>
    <row r="542" ht="60" customHeight="1" x14ac:dyDescent="0.15"/>
    <row r="543" ht="60" customHeight="1" x14ac:dyDescent="0.15"/>
    <row r="544" ht="60" customHeight="1" x14ac:dyDescent="0.15"/>
    <row r="545" ht="60" customHeight="1" x14ac:dyDescent="0.15"/>
    <row r="546" ht="60" customHeight="1" x14ac:dyDescent="0.15"/>
    <row r="547" ht="60" customHeight="1" x14ac:dyDescent="0.15"/>
    <row r="548" ht="60" customHeight="1" x14ac:dyDescent="0.15"/>
    <row r="549" ht="60" customHeight="1" x14ac:dyDescent="0.15"/>
    <row r="550" ht="60" customHeight="1" x14ac:dyDescent="0.15"/>
    <row r="551" ht="60" customHeight="1" x14ac:dyDescent="0.15"/>
    <row r="552" ht="60" customHeight="1" x14ac:dyDescent="0.15"/>
    <row r="553" ht="60" customHeight="1" x14ac:dyDescent="0.15"/>
    <row r="554" ht="60" customHeight="1" x14ac:dyDescent="0.15"/>
    <row r="555" ht="60" customHeight="1" x14ac:dyDescent="0.15"/>
    <row r="556" ht="60" customHeight="1" x14ac:dyDescent="0.15"/>
    <row r="557" ht="60" customHeight="1" x14ac:dyDescent="0.15"/>
    <row r="558" ht="60" customHeight="1" x14ac:dyDescent="0.15"/>
    <row r="559" ht="60" customHeight="1" x14ac:dyDescent="0.15"/>
    <row r="560" ht="60" customHeight="1" x14ac:dyDescent="0.15"/>
    <row r="561" ht="60" customHeight="1" x14ac:dyDescent="0.15"/>
    <row r="562" ht="60" customHeight="1" x14ac:dyDescent="0.15"/>
    <row r="563" ht="60" customHeight="1" x14ac:dyDescent="0.15"/>
    <row r="564" ht="60" customHeight="1" x14ac:dyDescent="0.15"/>
    <row r="565" ht="60" customHeight="1" x14ac:dyDescent="0.15"/>
    <row r="566" ht="60" customHeight="1" x14ac:dyDescent="0.15"/>
    <row r="567" ht="60" customHeight="1" x14ac:dyDescent="0.15"/>
    <row r="568" ht="60" customHeight="1" x14ac:dyDescent="0.15"/>
    <row r="569" ht="60" customHeight="1" x14ac:dyDescent="0.15"/>
    <row r="570" ht="60" customHeight="1" x14ac:dyDescent="0.15"/>
    <row r="571" ht="60" customHeight="1" x14ac:dyDescent="0.15"/>
    <row r="572" ht="60" customHeight="1" x14ac:dyDescent="0.15"/>
    <row r="573" ht="60" customHeight="1" x14ac:dyDescent="0.15"/>
    <row r="574" ht="60" customHeight="1" x14ac:dyDescent="0.15"/>
    <row r="575" ht="60" customHeight="1" x14ac:dyDescent="0.15"/>
    <row r="576" ht="60" customHeight="1" x14ac:dyDescent="0.15"/>
    <row r="577" ht="60" customHeight="1" x14ac:dyDescent="0.15"/>
    <row r="578" ht="60" customHeight="1" x14ac:dyDescent="0.15"/>
    <row r="579" ht="60" customHeight="1" x14ac:dyDescent="0.15"/>
    <row r="580" ht="60" customHeight="1" x14ac:dyDescent="0.15"/>
    <row r="581" ht="60" customHeight="1" x14ac:dyDescent="0.15"/>
    <row r="582" ht="60" customHeight="1" x14ac:dyDescent="0.15"/>
    <row r="583" ht="60" customHeight="1" x14ac:dyDescent="0.15"/>
    <row r="584" ht="60" customHeight="1" x14ac:dyDescent="0.15"/>
    <row r="585" ht="60" customHeight="1" x14ac:dyDescent="0.15"/>
    <row r="586" ht="60" customHeight="1" x14ac:dyDescent="0.15"/>
    <row r="587" ht="60" customHeight="1" x14ac:dyDescent="0.15"/>
    <row r="588" ht="60" customHeight="1" x14ac:dyDescent="0.15"/>
    <row r="589" ht="60" customHeight="1" x14ac:dyDescent="0.15"/>
    <row r="590" ht="60" customHeight="1" x14ac:dyDescent="0.15"/>
    <row r="591" ht="60" customHeight="1" x14ac:dyDescent="0.15"/>
    <row r="592" ht="60" customHeight="1" x14ac:dyDescent="0.15"/>
    <row r="593" spans="9:11" ht="60" customHeight="1" x14ac:dyDescent="0.15"/>
    <row r="594" spans="9:11" ht="60" customHeight="1" x14ac:dyDescent="0.15"/>
    <row r="595" spans="9:11" ht="60" customHeight="1" x14ac:dyDescent="0.15"/>
    <row r="596" spans="9:11" ht="60" customHeight="1" x14ac:dyDescent="0.15"/>
    <row r="597" spans="9:11" ht="60" customHeight="1" x14ac:dyDescent="0.15"/>
    <row r="598" spans="9:11" ht="60" customHeight="1" x14ac:dyDescent="0.15"/>
    <row r="599" spans="9:11" ht="60" customHeight="1" x14ac:dyDescent="0.15"/>
    <row r="600" spans="9:11" ht="60" customHeight="1" x14ac:dyDescent="0.15"/>
    <row r="601" spans="9:11" ht="60" customHeight="1" x14ac:dyDescent="0.15"/>
    <row r="602" spans="9:11" ht="60" customHeight="1" x14ac:dyDescent="0.15"/>
    <row r="603" spans="9:11" ht="60" customHeight="1" x14ac:dyDescent="0.15"/>
    <row r="604" spans="9:11" ht="60" customHeight="1" x14ac:dyDescent="0.15"/>
    <row r="605" spans="9:11" ht="60" customHeight="1" x14ac:dyDescent="0.15">
      <c r="I605" s="99"/>
      <c r="J605" s="99"/>
      <c r="K605" s="99"/>
    </row>
    <row r="606" spans="9:11" ht="60" customHeight="1" x14ac:dyDescent="0.15"/>
    <row r="607" spans="9:11" ht="60" customHeight="1" x14ac:dyDescent="0.15"/>
    <row r="608" spans="9:11" ht="60" customHeight="1" x14ac:dyDescent="0.15"/>
    <row r="609" spans="1:11" ht="60" customHeight="1" x14ac:dyDescent="0.15"/>
    <row r="610" spans="1:11" ht="60" customHeight="1" x14ac:dyDescent="0.15"/>
    <row r="611" spans="1:11" ht="60" customHeight="1" x14ac:dyDescent="0.15"/>
    <row r="612" spans="1:11" ht="60" customHeight="1" x14ac:dyDescent="0.15"/>
    <row r="613" spans="1:11" ht="60" customHeight="1" x14ac:dyDescent="0.15"/>
    <row r="614" spans="1:11" ht="60" customHeight="1" x14ac:dyDescent="0.15"/>
    <row r="615" spans="1:11" ht="60" customHeight="1" x14ac:dyDescent="0.15"/>
    <row r="616" spans="1:11" s="99" customFormat="1" ht="60" customHeight="1" x14ac:dyDescent="0.15">
      <c r="A616" s="46"/>
      <c r="B616" s="46"/>
      <c r="C616" s="46"/>
      <c r="D616" s="46"/>
      <c r="E616" s="46"/>
      <c r="F616" s="46"/>
      <c r="G616" s="46"/>
      <c r="H616" s="46"/>
      <c r="I616" s="46"/>
      <c r="J616" s="46"/>
      <c r="K616" s="46"/>
    </row>
    <row r="617" spans="1:11" ht="60" customHeight="1" x14ac:dyDescent="0.15"/>
    <row r="618" spans="1:11" ht="60" customHeight="1" x14ac:dyDescent="0.15"/>
    <row r="619" spans="1:11" ht="60" customHeight="1" x14ac:dyDescent="0.15"/>
    <row r="620" spans="1:11" ht="60" customHeight="1" x14ac:dyDescent="0.15"/>
    <row r="621" spans="1:11" ht="60" customHeight="1" x14ac:dyDescent="0.15"/>
    <row r="622" spans="1:11" ht="60" customHeight="1" x14ac:dyDescent="0.15"/>
    <row r="623" spans="1:11" ht="60" customHeight="1" x14ac:dyDescent="0.15"/>
    <row r="624" spans="1:11" ht="60" customHeight="1" x14ac:dyDescent="0.15"/>
    <row r="625" ht="60" customHeight="1" x14ac:dyDescent="0.15"/>
    <row r="626" ht="60" customHeight="1" x14ac:dyDescent="0.15"/>
    <row r="627" ht="60" customHeight="1" x14ac:dyDescent="0.15"/>
    <row r="628" ht="60" customHeight="1" x14ac:dyDescent="0.15"/>
    <row r="629" ht="60" customHeight="1" x14ac:dyDescent="0.15"/>
    <row r="630" ht="60" customHeight="1" x14ac:dyDescent="0.15"/>
    <row r="631" ht="60" customHeight="1" x14ac:dyDescent="0.15"/>
    <row r="632" ht="60" customHeight="1" x14ac:dyDescent="0.15"/>
    <row r="633" ht="60" customHeight="1" x14ac:dyDescent="0.15"/>
    <row r="634" ht="60" customHeight="1" x14ac:dyDescent="0.15"/>
    <row r="635" ht="60" customHeight="1" x14ac:dyDescent="0.15"/>
    <row r="636" ht="60" customHeight="1" x14ac:dyDescent="0.15"/>
    <row r="637" ht="60" customHeight="1" x14ac:dyDescent="0.15"/>
    <row r="638" ht="60" customHeight="1" x14ac:dyDescent="0.15"/>
    <row r="639" ht="60" customHeight="1" x14ac:dyDescent="0.15"/>
    <row r="640" ht="60" customHeight="1" x14ac:dyDescent="0.15"/>
    <row r="641" ht="60" customHeight="1" x14ac:dyDescent="0.15"/>
    <row r="642" ht="60" customHeight="1" x14ac:dyDescent="0.15"/>
    <row r="643" ht="60" customHeight="1" x14ac:dyDescent="0.15"/>
    <row r="644" ht="60" customHeight="1" x14ac:dyDescent="0.15"/>
    <row r="645" ht="60" customHeight="1" x14ac:dyDescent="0.15"/>
    <row r="646" ht="60" customHeight="1" x14ac:dyDescent="0.15"/>
    <row r="647" ht="60" customHeight="1" x14ac:dyDescent="0.15"/>
    <row r="648" ht="60" customHeight="1" x14ac:dyDescent="0.15"/>
    <row r="649" ht="60" customHeight="1" x14ac:dyDescent="0.15"/>
    <row r="650" ht="60" customHeight="1" x14ac:dyDescent="0.15"/>
    <row r="651" ht="60" customHeight="1" x14ac:dyDescent="0.15"/>
    <row r="652" ht="60" customHeight="1" x14ac:dyDescent="0.15"/>
    <row r="653" ht="60" customHeight="1" x14ac:dyDescent="0.15"/>
    <row r="654" ht="60" customHeight="1" x14ac:dyDescent="0.15"/>
    <row r="655" ht="60" customHeight="1" x14ac:dyDescent="0.15"/>
    <row r="656" ht="60" customHeight="1" x14ac:dyDescent="0.15"/>
    <row r="657" ht="60" customHeight="1" x14ac:dyDescent="0.15"/>
    <row r="658" ht="60" customHeight="1" x14ac:dyDescent="0.15"/>
    <row r="659" ht="60" customHeight="1" x14ac:dyDescent="0.15"/>
    <row r="660" ht="60" customHeight="1" x14ac:dyDescent="0.15"/>
    <row r="661" ht="60" customHeight="1" x14ac:dyDescent="0.15"/>
    <row r="662" ht="60" customHeight="1" x14ac:dyDescent="0.15"/>
    <row r="663" ht="60" customHeight="1" x14ac:dyDescent="0.15"/>
    <row r="664" ht="60" customHeight="1" x14ac:dyDescent="0.15"/>
    <row r="665" ht="60" customHeight="1" x14ac:dyDescent="0.15"/>
    <row r="666" ht="60" customHeight="1" x14ac:dyDescent="0.15"/>
    <row r="667" ht="60" customHeight="1" x14ac:dyDescent="0.15"/>
    <row r="668" ht="60" customHeight="1" x14ac:dyDescent="0.15"/>
    <row r="669" ht="60" customHeight="1" x14ac:dyDescent="0.15"/>
    <row r="670" ht="60" customHeight="1" x14ac:dyDescent="0.15"/>
    <row r="671" ht="60" customHeight="1" x14ac:dyDescent="0.15"/>
    <row r="672" ht="60" customHeight="1" x14ac:dyDescent="0.15"/>
    <row r="673" ht="60" customHeight="1" x14ac:dyDescent="0.15"/>
    <row r="674" ht="60" customHeight="1" x14ac:dyDescent="0.15"/>
    <row r="675" ht="60" customHeight="1" x14ac:dyDescent="0.15"/>
    <row r="676" ht="60" customHeight="1" x14ac:dyDescent="0.15"/>
    <row r="677" ht="60" customHeight="1" x14ac:dyDescent="0.15"/>
    <row r="678" ht="60" customHeight="1" x14ac:dyDescent="0.15"/>
    <row r="679" ht="60" customHeight="1" x14ac:dyDescent="0.15"/>
    <row r="680" ht="60" customHeight="1" x14ac:dyDescent="0.15"/>
    <row r="681" ht="60" customHeight="1" x14ac:dyDescent="0.15"/>
    <row r="682" ht="60" customHeight="1" x14ac:dyDescent="0.15"/>
    <row r="683" ht="60" customHeight="1" x14ac:dyDescent="0.15"/>
    <row r="684" ht="60" customHeight="1" x14ac:dyDescent="0.15"/>
    <row r="685" ht="60" customHeight="1" x14ac:dyDescent="0.15"/>
    <row r="686" ht="60" customHeight="1" x14ac:dyDescent="0.15"/>
    <row r="687" ht="60" customHeight="1" x14ac:dyDescent="0.15"/>
    <row r="688" ht="60" customHeight="1" x14ac:dyDescent="0.15"/>
    <row r="689" ht="60" customHeight="1" x14ac:dyDescent="0.15"/>
    <row r="690" ht="60" customHeight="1" x14ac:dyDescent="0.15"/>
    <row r="691" ht="60" customHeight="1" x14ac:dyDescent="0.15"/>
    <row r="692" ht="60" customHeight="1" x14ac:dyDescent="0.15"/>
    <row r="693" ht="60" customHeight="1" x14ac:dyDescent="0.15"/>
    <row r="694" ht="60" customHeight="1" x14ac:dyDescent="0.15"/>
    <row r="695" ht="60" customHeight="1" x14ac:dyDescent="0.15"/>
    <row r="696" ht="60" customHeight="1" x14ac:dyDescent="0.15"/>
    <row r="697" ht="60" customHeight="1" x14ac:dyDescent="0.15"/>
    <row r="698" ht="60" customHeight="1" x14ac:dyDescent="0.15"/>
    <row r="699" ht="60" customHeight="1" x14ac:dyDescent="0.15"/>
    <row r="700" ht="60" customHeight="1" x14ac:dyDescent="0.15"/>
    <row r="701" ht="60" customHeight="1" x14ac:dyDescent="0.15"/>
    <row r="702" ht="60" customHeight="1" x14ac:dyDescent="0.15"/>
    <row r="703" ht="60" customHeight="1" x14ac:dyDescent="0.15"/>
    <row r="704" ht="60" customHeight="1" x14ac:dyDescent="0.15"/>
    <row r="705" ht="60" customHeight="1" x14ac:dyDescent="0.15"/>
    <row r="706" ht="60" customHeight="1" x14ac:dyDescent="0.15"/>
    <row r="707" ht="60" customHeight="1" x14ac:dyDescent="0.15"/>
    <row r="708" ht="60" customHeight="1" x14ac:dyDescent="0.15"/>
    <row r="709" ht="60" customHeight="1" x14ac:dyDescent="0.15"/>
    <row r="710" ht="60" customHeight="1" x14ac:dyDescent="0.15"/>
    <row r="711" ht="60" customHeight="1" x14ac:dyDescent="0.15"/>
    <row r="712" ht="60" customHeight="1" x14ac:dyDescent="0.15"/>
    <row r="713" ht="60" customHeight="1" x14ac:dyDescent="0.15"/>
    <row r="714" ht="60" customHeight="1" x14ac:dyDescent="0.15"/>
    <row r="715" ht="60" customHeight="1" x14ac:dyDescent="0.15"/>
    <row r="716" ht="60" customHeight="1" x14ac:dyDescent="0.15"/>
    <row r="717" ht="60" customHeight="1" x14ac:dyDescent="0.15"/>
    <row r="718" ht="60" customHeight="1" x14ac:dyDescent="0.15"/>
    <row r="719" ht="60" customHeight="1" x14ac:dyDescent="0.15"/>
    <row r="720" ht="60" customHeight="1" x14ac:dyDescent="0.15"/>
    <row r="721" ht="60" customHeight="1" x14ac:dyDescent="0.15"/>
    <row r="722" ht="60" customHeight="1" x14ac:dyDescent="0.15"/>
    <row r="723" ht="60" customHeight="1" x14ac:dyDescent="0.15"/>
    <row r="724" ht="60" customHeight="1" x14ac:dyDescent="0.15"/>
    <row r="725" ht="60" customHeight="1" x14ac:dyDescent="0.15"/>
    <row r="726" ht="60" customHeight="1" x14ac:dyDescent="0.15"/>
    <row r="727" ht="60" customHeight="1" x14ac:dyDescent="0.15"/>
    <row r="728" ht="60" customHeight="1" x14ac:dyDescent="0.15"/>
    <row r="729" ht="60" customHeight="1" x14ac:dyDescent="0.15"/>
    <row r="730" ht="60" customHeight="1" x14ac:dyDescent="0.15"/>
    <row r="731" ht="60" customHeight="1" x14ac:dyDescent="0.15"/>
    <row r="732" ht="60" customHeight="1" x14ac:dyDescent="0.15"/>
    <row r="733" ht="60" customHeight="1" x14ac:dyDescent="0.15"/>
    <row r="734" ht="60" customHeight="1" x14ac:dyDescent="0.15"/>
    <row r="735" ht="60" customHeight="1" x14ac:dyDescent="0.15"/>
    <row r="736" ht="60" customHeight="1" x14ac:dyDescent="0.15"/>
    <row r="737" ht="60" customHeight="1" x14ac:dyDescent="0.15"/>
    <row r="738" ht="60" customHeight="1" x14ac:dyDescent="0.15"/>
    <row r="739" ht="60" customHeight="1" x14ac:dyDescent="0.15"/>
    <row r="740" ht="60" customHeight="1" x14ac:dyDescent="0.15"/>
    <row r="741" ht="60" customHeight="1" x14ac:dyDescent="0.15"/>
    <row r="742" ht="60" customHeight="1" x14ac:dyDescent="0.15"/>
    <row r="743" ht="60" customHeight="1" x14ac:dyDescent="0.15"/>
    <row r="744" ht="60" customHeight="1" x14ac:dyDescent="0.15"/>
    <row r="745" ht="60" customHeight="1" x14ac:dyDescent="0.15"/>
    <row r="746" ht="60" customHeight="1" x14ac:dyDescent="0.15"/>
    <row r="747" ht="60" customHeight="1" x14ac:dyDescent="0.15"/>
    <row r="748" ht="60" customHeight="1" x14ac:dyDescent="0.15"/>
    <row r="749" ht="60" customHeight="1" x14ac:dyDescent="0.15"/>
    <row r="750" ht="60" customHeight="1" x14ac:dyDescent="0.15"/>
    <row r="751" ht="60" customHeight="1" x14ac:dyDescent="0.15"/>
    <row r="752" ht="60" customHeight="1" x14ac:dyDescent="0.15"/>
    <row r="753" ht="60" customHeight="1" x14ac:dyDescent="0.15"/>
    <row r="754" ht="60" customHeight="1" x14ac:dyDescent="0.15"/>
    <row r="755" ht="60" customHeight="1" x14ac:dyDescent="0.15"/>
    <row r="756" ht="60" customHeight="1" x14ac:dyDescent="0.15"/>
    <row r="757" ht="60" customHeight="1" x14ac:dyDescent="0.15"/>
    <row r="758" ht="60" customHeight="1" x14ac:dyDescent="0.15"/>
    <row r="759" ht="60" customHeight="1" x14ac:dyDescent="0.15"/>
    <row r="760" ht="60" customHeight="1" x14ac:dyDescent="0.15"/>
    <row r="761" ht="60" customHeight="1" x14ac:dyDescent="0.15"/>
    <row r="762" ht="60" customHeight="1" x14ac:dyDescent="0.15"/>
    <row r="763" ht="60" customHeight="1" x14ac:dyDescent="0.15"/>
    <row r="764" ht="60" customHeight="1" x14ac:dyDescent="0.15"/>
    <row r="765" ht="60" customHeight="1" x14ac:dyDescent="0.15"/>
    <row r="766" ht="60" customHeight="1" x14ac:dyDescent="0.15"/>
    <row r="767" ht="60" customHeight="1" x14ac:dyDescent="0.15"/>
    <row r="768" ht="60" customHeight="1" x14ac:dyDescent="0.15"/>
    <row r="769" ht="60" customHeight="1" x14ac:dyDescent="0.15"/>
    <row r="770" ht="60" customHeight="1" x14ac:dyDescent="0.15"/>
    <row r="771" ht="60" customHeight="1" x14ac:dyDescent="0.15"/>
    <row r="772" ht="60" customHeight="1" x14ac:dyDescent="0.15"/>
    <row r="773" ht="60" customHeight="1" x14ac:dyDescent="0.15"/>
    <row r="774" ht="60" customHeight="1" x14ac:dyDescent="0.15"/>
    <row r="775" ht="60" customHeight="1" x14ac:dyDescent="0.15"/>
    <row r="776" ht="60" customHeight="1" x14ac:dyDescent="0.15"/>
    <row r="777" ht="60" customHeight="1" x14ac:dyDescent="0.15"/>
    <row r="778" ht="60" customHeight="1" x14ac:dyDescent="0.15"/>
    <row r="779" ht="60" customHeight="1" x14ac:dyDescent="0.15"/>
    <row r="780" ht="60" customHeight="1" x14ac:dyDescent="0.15"/>
    <row r="781" ht="60" customHeight="1" x14ac:dyDescent="0.15"/>
    <row r="782" ht="60" customHeight="1" x14ac:dyDescent="0.15"/>
    <row r="783" ht="60" customHeight="1" x14ac:dyDescent="0.15"/>
    <row r="784" ht="60" customHeight="1" x14ac:dyDescent="0.15"/>
    <row r="785" ht="60" customHeight="1" x14ac:dyDescent="0.15"/>
    <row r="786" ht="60" customHeight="1" x14ac:dyDescent="0.15"/>
    <row r="787" ht="60" customHeight="1" x14ac:dyDescent="0.15"/>
    <row r="788" ht="60" customHeight="1" x14ac:dyDescent="0.15"/>
    <row r="789" ht="60" customHeight="1" x14ac:dyDescent="0.15"/>
    <row r="790" ht="60" customHeight="1" x14ac:dyDescent="0.15"/>
    <row r="791" ht="60" customHeight="1" x14ac:dyDescent="0.15"/>
    <row r="792" ht="60" customHeight="1" x14ac:dyDescent="0.15"/>
    <row r="793" ht="60" customHeight="1" x14ac:dyDescent="0.15"/>
    <row r="794" ht="60" customHeight="1" x14ac:dyDescent="0.15"/>
    <row r="795" ht="60" customHeight="1" x14ac:dyDescent="0.15"/>
    <row r="796" ht="60" customHeight="1" x14ac:dyDescent="0.15"/>
    <row r="797" ht="60" customHeight="1" x14ac:dyDescent="0.15"/>
    <row r="798" ht="60" customHeight="1" x14ac:dyDescent="0.15"/>
    <row r="799" ht="60" customHeight="1" x14ac:dyDescent="0.15"/>
    <row r="800" ht="60" customHeight="1" x14ac:dyDescent="0.15"/>
    <row r="801" ht="60" customHeight="1" x14ac:dyDescent="0.15"/>
    <row r="802" ht="60" customHeight="1" x14ac:dyDescent="0.15"/>
    <row r="803" ht="60" customHeight="1" x14ac:dyDescent="0.15"/>
    <row r="804" ht="60" customHeight="1" x14ac:dyDescent="0.15"/>
    <row r="805" ht="60" customHeight="1" x14ac:dyDescent="0.15"/>
    <row r="806" ht="60" customHeight="1" x14ac:dyDescent="0.15"/>
  </sheetData>
  <sheetProtection formatCells="0" formatColumns="0" formatRows="0" insertColumns="0" insertRows="0" insertHyperlinks="0" deleteColumns="0" deleteRows="0" selectLockedCells="1" sort="0" autoFilter="0" pivotTables="0"/>
  <autoFilter ref="A7:K156" xr:uid="{B4C8FA2B-B76A-41A7-84BA-30405A9ED806}"/>
  <mergeCells count="10">
    <mergeCell ref="H1:I1"/>
    <mergeCell ref="H2:I3"/>
    <mergeCell ref="F4:I6"/>
    <mergeCell ref="D4:E6"/>
    <mergeCell ref="J1:L6"/>
    <mergeCell ref="A1:C6"/>
    <mergeCell ref="D2:D3"/>
    <mergeCell ref="E2:E3"/>
    <mergeCell ref="F2:F3"/>
    <mergeCell ref="G2:G3"/>
  </mergeCells>
  <conditionalFormatting sqref="G2:H2">
    <cfRule type="cellIs" dxfId="23" priority="1" operator="equal">
      <formula>10</formula>
    </cfRule>
    <cfRule type="cellIs" dxfId="22" priority="2" operator="equal">
      <formula>9</formula>
    </cfRule>
    <cfRule type="cellIs" dxfId="21" priority="3" operator="equal">
      <formula>8</formula>
    </cfRule>
    <cfRule type="cellIs" dxfId="20" priority="4" operator="equal">
      <formula>7</formula>
    </cfRule>
    <cfRule type="cellIs" dxfId="19" priority="5" operator="equal">
      <formula>6</formula>
    </cfRule>
    <cfRule type="cellIs" dxfId="18" priority="6" operator="equal">
      <formula>5</formula>
    </cfRule>
    <cfRule type="cellIs" dxfId="17" priority="7" operator="equal">
      <formula>4</formula>
    </cfRule>
    <cfRule type="cellIs" dxfId="16" priority="8" operator="equal">
      <formula>3</formula>
    </cfRule>
    <cfRule type="cellIs" dxfId="15" priority="9" operator="equal">
      <formula>2</formula>
    </cfRule>
    <cfRule type="cellIs" dxfId="14" priority="10" operator="equal">
      <formula>1</formula>
    </cfRule>
  </conditionalFormatting>
  <pageMargins left="0.7" right="0.7" top="0.75" bottom="0.75" header="0.3" footer="0.3"/>
  <pageSetup paperSize="9" scale="5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B415A-0447-4338-AB34-AEFCC612DB4C}">
  <sheetPr codeName="Foglio5"/>
  <dimension ref="A1:X41"/>
  <sheetViews>
    <sheetView view="pageBreakPreview" topLeftCell="A4" zoomScale="115" zoomScaleNormal="100" zoomScaleSheetLayoutView="115" workbookViewId="0">
      <selection activeCell="F13" sqref="F13"/>
    </sheetView>
  </sheetViews>
  <sheetFormatPr defaultRowHeight="15" customHeight="1" x14ac:dyDescent="0.15"/>
  <cols>
    <col min="1" max="1" width="15" style="47" bestFit="1" customWidth="1"/>
    <col min="2" max="4" width="11.83203125" style="47" customWidth="1"/>
    <col min="5" max="5" width="16.83203125" style="47" customWidth="1"/>
    <col min="6" max="6" width="20" style="47" bestFit="1" customWidth="1"/>
    <col min="7" max="7" width="12.33203125" style="47" customWidth="1"/>
    <col min="8" max="10" width="11.83203125" style="47" customWidth="1"/>
    <col min="11" max="11" width="11.33203125" style="47" customWidth="1"/>
    <col min="12" max="13" width="9.33203125" style="47"/>
    <col min="14" max="14" width="9.33203125" style="47" hidden="1" customWidth="1"/>
    <col min="15" max="15" width="10.5" style="47" hidden="1" customWidth="1"/>
    <col min="16" max="16" width="25.83203125" style="47" hidden="1" customWidth="1"/>
    <col min="17" max="17" width="27.5" style="47" hidden="1" customWidth="1"/>
    <col min="18" max="19" width="9.33203125" style="47" hidden="1" customWidth="1"/>
    <col min="20" max="20" width="27.5" style="47" hidden="1" customWidth="1"/>
    <col min="21" max="22" width="9.33203125" style="47" hidden="1" customWidth="1"/>
    <col min="23" max="251" width="9.33203125" style="47"/>
    <col min="252" max="262" width="11.83203125" style="47" customWidth="1"/>
    <col min="263" max="263" width="11.33203125" style="47" customWidth="1"/>
    <col min="264" max="507" width="9.33203125" style="47"/>
    <col min="508" max="518" width="11.83203125" style="47" customWidth="1"/>
    <col min="519" max="519" width="11.33203125" style="47" customWidth="1"/>
    <col min="520" max="763" width="9.33203125" style="47"/>
    <col min="764" max="774" width="11.83203125" style="47" customWidth="1"/>
    <col min="775" max="775" width="11.33203125" style="47" customWidth="1"/>
    <col min="776" max="1019" width="9.33203125" style="47"/>
    <col min="1020" max="1030" width="11.83203125" style="47" customWidth="1"/>
    <col min="1031" max="1031" width="11.33203125" style="47" customWidth="1"/>
    <col min="1032" max="1275" width="9.33203125" style="47"/>
    <col min="1276" max="1286" width="11.83203125" style="47" customWidth="1"/>
    <col min="1287" max="1287" width="11.33203125" style="47" customWidth="1"/>
    <col min="1288" max="1531" width="9.33203125" style="47"/>
    <col min="1532" max="1542" width="11.83203125" style="47" customWidth="1"/>
    <col min="1543" max="1543" width="11.33203125" style="47" customWidth="1"/>
    <col min="1544" max="1787" width="9.33203125" style="47"/>
    <col min="1788" max="1798" width="11.83203125" style="47" customWidth="1"/>
    <col min="1799" max="1799" width="11.33203125" style="47" customWidth="1"/>
    <col min="1800" max="2043" width="9.33203125" style="47"/>
    <col min="2044" max="2054" width="11.83203125" style="47" customWidth="1"/>
    <col min="2055" max="2055" width="11.33203125" style="47" customWidth="1"/>
    <col min="2056" max="2299" width="9.33203125" style="47"/>
    <col min="2300" max="2310" width="11.83203125" style="47" customWidth="1"/>
    <col min="2311" max="2311" width="11.33203125" style="47" customWidth="1"/>
    <col min="2312" max="2555" width="9.33203125" style="47"/>
    <col min="2556" max="2566" width="11.83203125" style="47" customWidth="1"/>
    <col min="2567" max="2567" width="11.33203125" style="47" customWidth="1"/>
    <col min="2568" max="2811" width="9.33203125" style="47"/>
    <col min="2812" max="2822" width="11.83203125" style="47" customWidth="1"/>
    <col min="2823" max="2823" width="11.33203125" style="47" customWidth="1"/>
    <col min="2824" max="3067" width="9.33203125" style="47"/>
    <col min="3068" max="3078" width="11.83203125" style="47" customWidth="1"/>
    <col min="3079" max="3079" width="11.33203125" style="47" customWidth="1"/>
    <col min="3080" max="3323" width="9.33203125" style="47"/>
    <col min="3324" max="3334" width="11.83203125" style="47" customWidth="1"/>
    <col min="3335" max="3335" width="11.33203125" style="47" customWidth="1"/>
    <col min="3336" max="3579" width="9.33203125" style="47"/>
    <col min="3580" max="3590" width="11.83203125" style="47" customWidth="1"/>
    <col min="3591" max="3591" width="11.33203125" style="47" customWidth="1"/>
    <col min="3592" max="3835" width="9.33203125" style="47"/>
    <col min="3836" max="3846" width="11.83203125" style="47" customWidth="1"/>
    <col min="3847" max="3847" width="11.33203125" style="47" customWidth="1"/>
    <col min="3848" max="4091" width="9.33203125" style="47"/>
    <col min="4092" max="4102" width="11.83203125" style="47" customWidth="1"/>
    <col min="4103" max="4103" width="11.33203125" style="47" customWidth="1"/>
    <col min="4104" max="4347" width="9.33203125" style="47"/>
    <col min="4348" max="4358" width="11.83203125" style="47" customWidth="1"/>
    <col min="4359" max="4359" width="11.33203125" style="47" customWidth="1"/>
    <col min="4360" max="4603" width="9.33203125" style="47"/>
    <col min="4604" max="4614" width="11.83203125" style="47" customWidth="1"/>
    <col min="4615" max="4615" width="11.33203125" style="47" customWidth="1"/>
    <col min="4616" max="4859" width="9.33203125" style="47"/>
    <col min="4860" max="4870" width="11.83203125" style="47" customWidth="1"/>
    <col min="4871" max="4871" width="11.33203125" style="47" customWidth="1"/>
    <col min="4872" max="5115" width="9.33203125" style="47"/>
    <col min="5116" max="5126" width="11.83203125" style="47" customWidth="1"/>
    <col min="5127" max="5127" width="11.33203125" style="47" customWidth="1"/>
    <col min="5128" max="5371" width="9.33203125" style="47"/>
    <col min="5372" max="5382" width="11.83203125" style="47" customWidth="1"/>
    <col min="5383" max="5383" width="11.33203125" style="47" customWidth="1"/>
    <col min="5384" max="5627" width="9.33203125" style="47"/>
    <col min="5628" max="5638" width="11.83203125" style="47" customWidth="1"/>
    <col min="5639" max="5639" width="11.33203125" style="47" customWidth="1"/>
    <col min="5640" max="5883" width="9.33203125" style="47"/>
    <col min="5884" max="5894" width="11.83203125" style="47" customWidth="1"/>
    <col min="5895" max="5895" width="11.33203125" style="47" customWidth="1"/>
    <col min="5896" max="6139" width="9.33203125" style="47"/>
    <col min="6140" max="6150" width="11.83203125" style="47" customWidth="1"/>
    <col min="6151" max="6151" width="11.33203125" style="47" customWidth="1"/>
    <col min="6152" max="6395" width="9.33203125" style="47"/>
    <col min="6396" max="6406" width="11.83203125" style="47" customWidth="1"/>
    <col min="6407" max="6407" width="11.33203125" style="47" customWidth="1"/>
    <col min="6408" max="6651" width="9.33203125" style="47"/>
    <col min="6652" max="6662" width="11.83203125" style="47" customWidth="1"/>
    <col min="6663" max="6663" width="11.33203125" style="47" customWidth="1"/>
    <col min="6664" max="6907" width="9.33203125" style="47"/>
    <col min="6908" max="6918" width="11.83203125" style="47" customWidth="1"/>
    <col min="6919" max="6919" width="11.33203125" style="47" customWidth="1"/>
    <col min="6920" max="7163" width="9.33203125" style="47"/>
    <col min="7164" max="7174" width="11.83203125" style="47" customWidth="1"/>
    <col min="7175" max="7175" width="11.33203125" style="47" customWidth="1"/>
    <col min="7176" max="7419" width="9.33203125" style="47"/>
    <col min="7420" max="7430" width="11.83203125" style="47" customWidth="1"/>
    <col min="7431" max="7431" width="11.33203125" style="47" customWidth="1"/>
    <col min="7432" max="7675" width="9.33203125" style="47"/>
    <col min="7676" max="7686" width="11.83203125" style="47" customWidth="1"/>
    <col min="7687" max="7687" width="11.33203125" style="47" customWidth="1"/>
    <col min="7688" max="7931" width="9.33203125" style="47"/>
    <col min="7932" max="7942" width="11.83203125" style="47" customWidth="1"/>
    <col min="7943" max="7943" width="11.33203125" style="47" customWidth="1"/>
    <col min="7944" max="8187" width="9.33203125" style="47"/>
    <col min="8188" max="8198" width="11.83203125" style="47" customWidth="1"/>
    <col min="8199" max="8199" width="11.33203125" style="47" customWidth="1"/>
    <col min="8200" max="8443" width="9.33203125" style="47"/>
    <col min="8444" max="8454" width="11.83203125" style="47" customWidth="1"/>
    <col min="8455" max="8455" width="11.33203125" style="47" customWidth="1"/>
    <col min="8456" max="8699" width="9.33203125" style="47"/>
    <col min="8700" max="8710" width="11.83203125" style="47" customWidth="1"/>
    <col min="8711" max="8711" width="11.33203125" style="47" customWidth="1"/>
    <col min="8712" max="8955" width="9.33203125" style="47"/>
    <col min="8956" max="8966" width="11.83203125" style="47" customWidth="1"/>
    <col min="8967" max="8967" width="11.33203125" style="47" customWidth="1"/>
    <col min="8968" max="9211" width="9.33203125" style="47"/>
    <col min="9212" max="9222" width="11.83203125" style="47" customWidth="1"/>
    <col min="9223" max="9223" width="11.33203125" style="47" customWidth="1"/>
    <col min="9224" max="9467" width="9.33203125" style="47"/>
    <col min="9468" max="9478" width="11.83203125" style="47" customWidth="1"/>
    <col min="9479" max="9479" width="11.33203125" style="47" customWidth="1"/>
    <col min="9480" max="9723" width="9.33203125" style="47"/>
    <col min="9724" max="9734" width="11.83203125" style="47" customWidth="1"/>
    <col min="9735" max="9735" width="11.33203125" style="47" customWidth="1"/>
    <col min="9736" max="9979" width="9.33203125" style="47"/>
    <col min="9980" max="9990" width="11.83203125" style="47" customWidth="1"/>
    <col min="9991" max="9991" width="11.33203125" style="47" customWidth="1"/>
    <col min="9992" max="10235" width="9.33203125" style="47"/>
    <col min="10236" max="10246" width="11.83203125" style="47" customWidth="1"/>
    <col min="10247" max="10247" width="11.33203125" style="47" customWidth="1"/>
    <col min="10248" max="10491" width="9.33203125" style="47"/>
    <col min="10492" max="10502" width="11.83203125" style="47" customWidth="1"/>
    <col min="10503" max="10503" width="11.33203125" style="47" customWidth="1"/>
    <col min="10504" max="10747" width="9.33203125" style="47"/>
    <col min="10748" max="10758" width="11.83203125" style="47" customWidth="1"/>
    <col min="10759" max="10759" width="11.33203125" style="47" customWidth="1"/>
    <col min="10760" max="11003" width="9.33203125" style="47"/>
    <col min="11004" max="11014" width="11.83203125" style="47" customWidth="1"/>
    <col min="11015" max="11015" width="11.33203125" style="47" customWidth="1"/>
    <col min="11016" max="11259" width="9.33203125" style="47"/>
    <col min="11260" max="11270" width="11.83203125" style="47" customWidth="1"/>
    <col min="11271" max="11271" width="11.33203125" style="47" customWidth="1"/>
    <col min="11272" max="11515" width="9.33203125" style="47"/>
    <col min="11516" max="11526" width="11.83203125" style="47" customWidth="1"/>
    <col min="11527" max="11527" width="11.33203125" style="47" customWidth="1"/>
    <col min="11528" max="11771" width="9.33203125" style="47"/>
    <col min="11772" max="11782" width="11.83203125" style="47" customWidth="1"/>
    <col min="11783" max="11783" width="11.33203125" style="47" customWidth="1"/>
    <col min="11784" max="12027" width="9.33203125" style="47"/>
    <col min="12028" max="12038" width="11.83203125" style="47" customWidth="1"/>
    <col min="12039" max="12039" width="11.33203125" style="47" customWidth="1"/>
    <col min="12040" max="12283" width="9.33203125" style="47"/>
    <col min="12284" max="12294" width="11.83203125" style="47" customWidth="1"/>
    <col min="12295" max="12295" width="11.33203125" style="47" customWidth="1"/>
    <col min="12296" max="12539" width="9.33203125" style="47"/>
    <col min="12540" max="12550" width="11.83203125" style="47" customWidth="1"/>
    <col min="12551" max="12551" width="11.33203125" style="47" customWidth="1"/>
    <col min="12552" max="12795" width="9.33203125" style="47"/>
    <col min="12796" max="12806" width="11.83203125" style="47" customWidth="1"/>
    <col min="12807" max="12807" width="11.33203125" style="47" customWidth="1"/>
    <col min="12808" max="13051" width="9.33203125" style="47"/>
    <col min="13052" max="13062" width="11.83203125" style="47" customWidth="1"/>
    <col min="13063" max="13063" width="11.33203125" style="47" customWidth="1"/>
    <col min="13064" max="13307" width="9.33203125" style="47"/>
    <col min="13308" max="13318" width="11.83203125" style="47" customWidth="1"/>
    <col min="13319" max="13319" width="11.33203125" style="47" customWidth="1"/>
    <col min="13320" max="13563" width="9.33203125" style="47"/>
    <col min="13564" max="13574" width="11.83203125" style="47" customWidth="1"/>
    <col min="13575" max="13575" width="11.33203125" style="47" customWidth="1"/>
    <col min="13576" max="13819" width="9.33203125" style="47"/>
    <col min="13820" max="13830" width="11.83203125" style="47" customWidth="1"/>
    <col min="13831" max="13831" width="11.33203125" style="47" customWidth="1"/>
    <col min="13832" max="14075" width="9.33203125" style="47"/>
    <col min="14076" max="14086" width="11.83203125" style="47" customWidth="1"/>
    <col min="14087" max="14087" width="11.33203125" style="47" customWidth="1"/>
    <col min="14088" max="14331" width="9.33203125" style="47"/>
    <col min="14332" max="14342" width="11.83203125" style="47" customWidth="1"/>
    <col min="14343" max="14343" width="11.33203125" style="47" customWidth="1"/>
    <col min="14344" max="14587" width="9.33203125" style="47"/>
    <col min="14588" max="14598" width="11.83203125" style="47" customWidth="1"/>
    <col min="14599" max="14599" width="11.33203125" style="47" customWidth="1"/>
    <col min="14600" max="14843" width="9.33203125" style="47"/>
    <col min="14844" max="14854" width="11.83203125" style="47" customWidth="1"/>
    <col min="14855" max="14855" width="11.33203125" style="47" customWidth="1"/>
    <col min="14856" max="15099" width="9.33203125" style="47"/>
    <col min="15100" max="15110" width="11.83203125" style="47" customWidth="1"/>
    <col min="15111" max="15111" width="11.33203125" style="47" customWidth="1"/>
    <col min="15112" max="15355" width="9.33203125" style="47"/>
    <col min="15356" max="15366" width="11.83203125" style="47" customWidth="1"/>
    <col min="15367" max="15367" width="11.33203125" style="47" customWidth="1"/>
    <col min="15368" max="15611" width="9.33203125" style="47"/>
    <col min="15612" max="15622" width="11.83203125" style="47" customWidth="1"/>
    <col min="15623" max="15623" width="11.33203125" style="47" customWidth="1"/>
    <col min="15624" max="15867" width="9.33203125" style="47"/>
    <col min="15868" max="15878" width="11.83203125" style="47" customWidth="1"/>
    <col min="15879" max="15879" width="11.33203125" style="47" customWidth="1"/>
    <col min="15880" max="16123" width="9.33203125" style="47"/>
    <col min="16124" max="16134" width="11.83203125" style="47" customWidth="1"/>
    <col min="16135" max="16135" width="11.33203125" style="47" customWidth="1"/>
    <col min="16136" max="16384" width="9.33203125" style="47"/>
  </cols>
  <sheetData>
    <row r="1" spans="1:22" ht="10.5" x14ac:dyDescent="0.15">
      <c r="A1" s="223"/>
      <c r="B1" s="224"/>
      <c r="C1" s="224"/>
      <c r="D1" s="225"/>
      <c r="E1" s="140" t="s">
        <v>216</v>
      </c>
      <c r="F1" s="141" t="s">
        <v>217</v>
      </c>
      <c r="G1" s="141" t="s">
        <v>209</v>
      </c>
      <c r="H1" s="141" t="s">
        <v>1</v>
      </c>
      <c r="I1" s="206" t="s">
        <v>218</v>
      </c>
      <c r="J1" s="207"/>
    </row>
    <row r="2" spans="1:22" ht="15" customHeight="1" x14ac:dyDescent="0.15">
      <c r="A2" s="226"/>
      <c r="B2" s="227"/>
      <c r="C2" s="227"/>
      <c r="D2" s="228"/>
      <c r="E2" s="219" t="str">
        <f>'BOM Index'!A34</f>
        <v>BE0806C</v>
      </c>
      <c r="F2" s="221" t="str">
        <f>'BOM Index'!C34</f>
        <v>BE0806C-C010270</v>
      </c>
      <c r="G2" s="222">
        <f ca="1">'BOM Index'!F34</f>
        <v>45845</v>
      </c>
      <c r="H2" s="232"/>
      <c r="I2" s="202" t="s">
        <v>250</v>
      </c>
      <c r="J2" s="203"/>
    </row>
    <row r="3" spans="1:22" ht="15" customHeight="1" x14ac:dyDescent="0.15">
      <c r="A3" s="226"/>
      <c r="B3" s="227"/>
      <c r="C3" s="227"/>
      <c r="D3" s="228"/>
      <c r="E3" s="220"/>
      <c r="F3" s="197"/>
      <c r="G3" s="199"/>
      <c r="H3" s="233"/>
      <c r="I3" s="204"/>
      <c r="J3" s="205"/>
    </row>
    <row r="4" spans="1:22" ht="15" customHeight="1" x14ac:dyDescent="0.15">
      <c r="A4" s="226"/>
      <c r="B4" s="227"/>
      <c r="C4" s="227"/>
      <c r="D4" s="228"/>
      <c r="E4" s="174" t="s">
        <v>251</v>
      </c>
      <c r="F4" s="174"/>
      <c r="G4" s="159" t="str">
        <f>'BOM Index'!D4</f>
        <v>COC-CP 700 S</v>
      </c>
      <c r="H4" s="160"/>
      <c r="I4" s="160"/>
      <c r="J4" s="165"/>
    </row>
    <row r="5" spans="1:22" ht="15" customHeight="1" x14ac:dyDescent="0.15">
      <c r="A5" s="226"/>
      <c r="B5" s="227"/>
      <c r="C5" s="227"/>
      <c r="D5" s="228"/>
      <c r="E5" s="177"/>
      <c r="F5" s="177"/>
      <c r="G5" s="161"/>
      <c r="H5" s="162"/>
      <c r="I5" s="162"/>
      <c r="J5" s="166"/>
    </row>
    <row r="6" spans="1:22" ht="15" customHeight="1" x14ac:dyDescent="0.15">
      <c r="A6" s="229"/>
      <c r="B6" s="230"/>
      <c r="C6" s="230"/>
      <c r="D6" s="231"/>
      <c r="E6" s="180"/>
      <c r="F6" s="180"/>
      <c r="G6" s="163"/>
      <c r="H6" s="164"/>
      <c r="I6" s="164"/>
      <c r="J6" s="167"/>
    </row>
    <row r="7" spans="1:22" ht="12.75" customHeight="1" x14ac:dyDescent="0.15">
      <c r="A7" s="210" t="s">
        <v>252</v>
      </c>
      <c r="B7" s="211"/>
      <c r="C7" s="211"/>
      <c r="D7" s="211"/>
      <c r="E7" s="211"/>
      <c r="F7" s="211"/>
      <c r="G7" s="211"/>
      <c r="H7" s="211"/>
      <c r="I7" s="211"/>
      <c r="J7" s="212"/>
      <c r="O7" s="47" t="str">
        <f>CONCATENATE(B9,"-",D9)</f>
        <v>---</v>
      </c>
    </row>
    <row r="8" spans="1:22" ht="12.75" x14ac:dyDescent="0.15">
      <c r="A8" s="104" t="s">
        <v>253</v>
      </c>
      <c r="B8" s="105" t="s">
        <v>254</v>
      </c>
      <c r="C8" s="105" t="s">
        <v>255</v>
      </c>
      <c r="D8" s="105" t="s">
        <v>256</v>
      </c>
      <c r="E8" s="237" t="s">
        <v>257</v>
      </c>
      <c r="F8" s="237"/>
      <c r="G8" s="105" t="s">
        <v>251</v>
      </c>
      <c r="J8" s="63"/>
    </row>
    <row r="9" spans="1:22" ht="15.75" x14ac:dyDescent="0.15">
      <c r="A9" s="43" t="str">
        <f>IF('BOM Index'!G12="ATEX","YES","NO")</f>
        <v>NO</v>
      </c>
      <c r="B9" s="42" t="s">
        <v>2</v>
      </c>
      <c r="C9" s="42" t="s">
        <v>2</v>
      </c>
      <c r="D9" s="42" t="s">
        <v>2</v>
      </c>
      <c r="E9" s="238" t="str">
        <f>IF(A9="YES",VLOOKUP(O7,O12:R17,IF(C9="-",4,IF(C9="sicura",2,3)),FALSE),"-")</f>
        <v>-</v>
      </c>
      <c r="F9" s="239"/>
      <c r="G9" s="142" t="str">
        <f>IF(A9="NO","-",VLOOKUP(E9,T11:U20,2,FALSE))</f>
        <v>-</v>
      </c>
      <c r="J9" s="63"/>
      <c r="N9" s="47" t="s">
        <v>229</v>
      </c>
      <c r="T9" s="47" t="s">
        <v>230</v>
      </c>
    </row>
    <row r="10" spans="1:22" ht="12.75" x14ac:dyDescent="0.15">
      <c r="A10" s="106"/>
      <c r="B10" s="107"/>
      <c r="C10" s="107"/>
      <c r="D10" s="107"/>
      <c r="E10" s="107"/>
      <c r="F10" s="107"/>
      <c r="G10" s="107"/>
      <c r="H10" s="107"/>
      <c r="I10" s="107"/>
      <c r="J10" s="108"/>
      <c r="N10" s="109" t="s">
        <v>231</v>
      </c>
      <c r="T10" s="109" t="s">
        <v>232</v>
      </c>
    </row>
    <row r="11" spans="1:22" ht="15.75" x14ac:dyDescent="0.15">
      <c r="A11" s="110" t="s">
        <v>258</v>
      </c>
      <c r="C11" s="111" t="s">
        <v>298</v>
      </c>
      <c r="J11" s="63"/>
      <c r="P11" s="49" t="s">
        <v>3639</v>
      </c>
      <c r="Q11" s="49">
        <v>22</v>
      </c>
      <c r="R11" s="49" t="s">
        <v>2</v>
      </c>
      <c r="T11" s="2" t="s">
        <v>234</v>
      </c>
      <c r="U11" s="1" t="s">
        <v>4</v>
      </c>
      <c r="V11" s="112"/>
    </row>
    <row r="12" spans="1:22" ht="12.75" customHeight="1" x14ac:dyDescent="0.15">
      <c r="A12" s="104" t="s">
        <v>228</v>
      </c>
      <c r="C12" s="105" t="s">
        <v>271</v>
      </c>
      <c r="J12" s="63"/>
      <c r="N12" s="209" t="s">
        <v>233</v>
      </c>
      <c r="O12" s="47" t="s">
        <v>267</v>
      </c>
      <c r="P12" s="49" t="s">
        <v>234</v>
      </c>
      <c r="Q12" s="49" t="s">
        <v>235</v>
      </c>
      <c r="R12" s="113" t="s">
        <v>2</v>
      </c>
      <c r="T12" s="2" t="s">
        <v>236</v>
      </c>
      <c r="U12" s="1" t="s">
        <v>5</v>
      </c>
      <c r="V12" s="112"/>
    </row>
    <row r="13" spans="1:22" ht="15.75" x14ac:dyDescent="0.15">
      <c r="A13" s="44" t="s">
        <v>10</v>
      </c>
      <c r="C13" s="45" t="s">
        <v>3570</v>
      </c>
      <c r="J13" s="63"/>
      <c r="N13" s="209"/>
      <c r="O13" s="47" t="s">
        <v>268</v>
      </c>
      <c r="P13" s="49" t="s">
        <v>236</v>
      </c>
      <c r="Q13" s="49" t="s">
        <v>237</v>
      </c>
      <c r="R13" s="113" t="s">
        <v>2</v>
      </c>
      <c r="T13" s="2" t="s">
        <v>235</v>
      </c>
      <c r="U13" s="1" t="s">
        <v>6</v>
      </c>
      <c r="V13" s="112"/>
    </row>
    <row r="14" spans="1:22" ht="15" customHeight="1" x14ac:dyDescent="0.15">
      <c r="A14" s="114"/>
      <c r="B14" s="115"/>
      <c r="C14" s="115"/>
      <c r="D14" s="115"/>
      <c r="E14" s="115"/>
      <c r="F14" s="115"/>
      <c r="G14" s="115"/>
      <c r="H14" s="115"/>
      <c r="I14" s="115"/>
      <c r="J14" s="116"/>
      <c r="N14" s="209"/>
      <c r="O14" s="47" t="s">
        <v>260</v>
      </c>
      <c r="P14" s="49" t="s">
        <v>262</v>
      </c>
      <c r="Q14" s="49" t="s">
        <v>264</v>
      </c>
      <c r="R14" s="113" t="s">
        <v>2</v>
      </c>
      <c r="T14" s="2" t="s">
        <v>237</v>
      </c>
      <c r="U14" s="1" t="s">
        <v>7</v>
      </c>
      <c r="V14" s="112"/>
    </row>
    <row r="15" spans="1:22" ht="15" customHeight="1" x14ac:dyDescent="0.15">
      <c r="A15" s="213" t="s">
        <v>259</v>
      </c>
      <c r="B15" s="214"/>
      <c r="C15" s="214"/>
      <c r="D15" s="214"/>
      <c r="E15" s="214"/>
      <c r="F15" s="214"/>
      <c r="G15" s="214"/>
      <c r="H15" s="214"/>
      <c r="I15" s="214"/>
      <c r="J15" s="215"/>
      <c r="N15" s="209"/>
      <c r="O15" s="47" t="s">
        <v>261</v>
      </c>
      <c r="P15" s="49" t="s">
        <v>263</v>
      </c>
      <c r="Q15" s="49" t="s">
        <v>265</v>
      </c>
      <c r="R15" s="113" t="s">
        <v>2</v>
      </c>
      <c r="T15" s="2" t="s">
        <v>3640</v>
      </c>
      <c r="U15" s="1" t="s">
        <v>8</v>
      </c>
      <c r="V15" s="112"/>
    </row>
    <row r="16" spans="1:22" ht="15.75" customHeight="1" x14ac:dyDescent="0.15">
      <c r="A16" s="216"/>
      <c r="B16" s="217"/>
      <c r="C16" s="217"/>
      <c r="D16" s="217"/>
      <c r="E16" s="217"/>
      <c r="F16" s="217"/>
      <c r="G16" s="217"/>
      <c r="H16" s="217"/>
      <c r="I16" s="217"/>
      <c r="J16" s="218"/>
      <c r="N16" s="209"/>
      <c r="O16" s="48" t="s">
        <v>3641</v>
      </c>
      <c r="P16" s="49" t="s">
        <v>2</v>
      </c>
      <c r="Q16" s="49" t="s">
        <v>3640</v>
      </c>
      <c r="R16" s="113" t="s">
        <v>2</v>
      </c>
      <c r="T16" s="47" t="s">
        <v>262</v>
      </c>
      <c r="U16" s="1" t="s">
        <v>9</v>
      </c>
      <c r="V16" s="112"/>
    </row>
    <row r="17" spans="1:24" ht="18" customHeight="1" x14ac:dyDescent="0.15">
      <c r="A17" s="117"/>
      <c r="B17" s="118"/>
      <c r="C17" s="118"/>
      <c r="D17" s="255" t="s">
        <v>297</v>
      </c>
      <c r="E17" s="256"/>
      <c r="F17" s="118"/>
      <c r="G17" s="119"/>
      <c r="H17" s="240" t="str">
        <f>IF(E9="-",CONCATENATE(CHAR(10),CHAR(10),"NON APPLICABILE"),CONCATENATE(CHAR(10),CHAR(10),E9))</f>
        <v xml:space="preserve">
NON APPLICABILE</v>
      </c>
      <c r="I17" s="241"/>
      <c r="J17" s="63"/>
      <c r="N17" s="209"/>
      <c r="O17" s="48" t="s">
        <v>3642</v>
      </c>
      <c r="P17" s="49" t="s">
        <v>2</v>
      </c>
      <c r="Q17" s="49" t="s">
        <v>3643</v>
      </c>
      <c r="R17" s="113" t="s">
        <v>2</v>
      </c>
      <c r="T17" s="47" t="s">
        <v>263</v>
      </c>
      <c r="U17" s="49" t="s">
        <v>78</v>
      </c>
      <c r="V17" s="112"/>
    </row>
    <row r="18" spans="1:24" ht="18" customHeight="1" x14ac:dyDescent="0.15">
      <c r="A18" s="121"/>
      <c r="B18" s="122"/>
      <c r="C18" s="122"/>
      <c r="D18" s="257"/>
      <c r="E18" s="257"/>
      <c r="F18" s="122"/>
      <c r="G18" s="123"/>
      <c r="H18" s="242"/>
      <c r="I18" s="243"/>
      <c r="J18" s="63"/>
      <c r="O18" s="120" t="s">
        <v>2</v>
      </c>
      <c r="P18" s="113" t="s">
        <v>2</v>
      </c>
      <c r="Q18" s="113" t="s">
        <v>2</v>
      </c>
      <c r="R18" s="113" t="s">
        <v>2</v>
      </c>
      <c r="T18" s="47" t="s">
        <v>264</v>
      </c>
      <c r="U18" s="49" t="s">
        <v>266</v>
      </c>
      <c r="V18" s="112"/>
    </row>
    <row r="19" spans="1:24" ht="18" customHeight="1" x14ac:dyDescent="0.15">
      <c r="A19" s="124" t="s">
        <v>292</v>
      </c>
      <c r="B19" s="122"/>
      <c r="C19" s="122" t="s">
        <v>295</v>
      </c>
      <c r="D19" s="122"/>
      <c r="E19" s="122"/>
      <c r="F19" s="122"/>
      <c r="G19" s="123"/>
      <c r="H19" s="242"/>
      <c r="I19" s="243"/>
      <c r="J19" s="63"/>
      <c r="T19" s="47" t="s">
        <v>265</v>
      </c>
      <c r="U19" s="49" t="s">
        <v>3644</v>
      </c>
      <c r="V19" s="112"/>
    </row>
    <row r="20" spans="1:24" ht="18" customHeight="1" x14ac:dyDescent="0.15">
      <c r="A20" s="125" t="s">
        <v>293</v>
      </c>
      <c r="B20" s="122"/>
      <c r="C20" s="122" t="s">
        <v>296</v>
      </c>
      <c r="D20" s="122"/>
      <c r="E20" s="122"/>
      <c r="F20" s="122"/>
      <c r="G20" s="123"/>
      <c r="H20" s="242"/>
      <c r="I20" s="243"/>
      <c r="J20" s="63"/>
      <c r="T20" s="143" t="s">
        <v>3643</v>
      </c>
      <c r="U20" s="49" t="s">
        <v>3645</v>
      </c>
      <c r="V20" s="112"/>
      <c r="X20" s="126"/>
    </row>
    <row r="21" spans="1:24" ht="24.95" customHeight="1" x14ac:dyDescent="0.15">
      <c r="A21" s="127" t="s">
        <v>294</v>
      </c>
      <c r="B21" s="122"/>
      <c r="C21" s="122"/>
      <c r="D21" s="122"/>
      <c r="E21" s="122"/>
      <c r="F21" s="122"/>
      <c r="G21" s="123"/>
      <c r="H21" s="244"/>
      <c r="I21" s="245"/>
      <c r="J21" s="63"/>
    </row>
    <row r="22" spans="1:24" ht="20.25" x14ac:dyDescent="0.15">
      <c r="A22" s="121"/>
      <c r="B22" s="128" t="str">
        <f>VLOOKUP("MACCHINA TIPO",DIZIONARIO!$A$2:$H$4,MATCH(C$13,DIZIONARIO!$A$1:$H$1,0),FALSE)</f>
        <v>MACHINE TYPE</v>
      </c>
      <c r="C22" s="246" t="str">
        <f>'BOM Index'!D4</f>
        <v>COC-CP 700 S</v>
      </c>
      <c r="D22" s="247"/>
      <c r="E22" s="247"/>
      <c r="F22" s="248"/>
      <c r="G22" s="123"/>
      <c r="H22" s="249"/>
      <c r="I22" s="250"/>
      <c r="J22" s="63"/>
    </row>
    <row r="23" spans="1:24" ht="18" x14ac:dyDescent="0.15">
      <c r="A23" s="121"/>
      <c r="B23" s="129"/>
      <c r="C23" s="122"/>
      <c r="D23" s="122"/>
      <c r="E23" s="122"/>
      <c r="F23" s="122"/>
      <c r="G23" s="123"/>
      <c r="H23" s="251"/>
      <c r="I23" s="252"/>
      <c r="J23" s="63"/>
    </row>
    <row r="24" spans="1:24" ht="20.25" x14ac:dyDescent="0.15">
      <c r="A24" s="121"/>
      <c r="B24" s="128" t="str">
        <f>VLOOKUP("MATRICOLA N°",DIZIONARIO!$A$2:$H$4,MATCH(C$13,DIZIONARIO!$A$1:$H$1,0),FALSE)</f>
        <v>SERIAL NUMBER</v>
      </c>
      <c r="C24" s="246" t="str">
        <f>'BOM Index'!C34</f>
        <v>BE0806C-C010270</v>
      </c>
      <c r="D24" s="247"/>
      <c r="E24" s="247"/>
      <c r="F24" s="248"/>
      <c r="G24" s="123"/>
      <c r="H24" s="251"/>
      <c r="I24" s="252"/>
      <c r="J24" s="63"/>
    </row>
    <row r="25" spans="1:24" ht="18" x14ac:dyDescent="0.15">
      <c r="A25" s="121"/>
      <c r="B25" s="129"/>
      <c r="C25" s="122"/>
      <c r="D25" s="122"/>
      <c r="E25" s="122"/>
      <c r="F25" s="122"/>
      <c r="G25" s="123"/>
      <c r="H25" s="251"/>
      <c r="I25" s="252"/>
      <c r="J25" s="63"/>
    </row>
    <row r="26" spans="1:24" ht="20.25" x14ac:dyDescent="0.15">
      <c r="A26" s="121"/>
      <c r="B26" s="128" t="str">
        <f>VLOOKUP("ANNO FABBR.",DIZIONARIO!$A$2:$H$4,MATCH(C$13,DIZIONARIO!$A$1:$H$1,0),FALSE)</f>
        <v>MANUFACTURING YEAR</v>
      </c>
      <c r="C26" s="130">
        <f ca="1">'BOM Index'!I15</f>
        <v>2025</v>
      </c>
      <c r="D26" s="122"/>
      <c r="E26" s="122"/>
      <c r="F26" s="122"/>
      <c r="G26" s="123"/>
      <c r="H26" s="251"/>
      <c r="I26" s="252"/>
      <c r="J26" s="63"/>
    </row>
    <row r="27" spans="1:24" ht="9.9499999999999993" customHeight="1" x14ac:dyDescent="0.15">
      <c r="A27" s="131"/>
      <c r="B27" s="132"/>
      <c r="C27" s="132"/>
      <c r="D27" s="132"/>
      <c r="E27" s="132"/>
      <c r="F27" s="132"/>
      <c r="G27" s="133"/>
      <c r="H27" s="253"/>
      <c r="I27" s="254"/>
      <c r="J27" s="63"/>
    </row>
    <row r="28" spans="1:24" ht="15" customHeight="1" x14ac:dyDescent="0.15">
      <c r="A28" s="114"/>
      <c r="B28" s="115"/>
      <c r="C28" s="115"/>
      <c r="D28" s="115"/>
      <c r="E28" s="115"/>
      <c r="F28" s="115"/>
      <c r="G28" s="115"/>
      <c r="H28" s="115"/>
      <c r="I28" s="115"/>
      <c r="J28" s="116"/>
    </row>
    <row r="31" spans="1:24" ht="10.5" x14ac:dyDescent="0.15"/>
    <row r="36" spans="1:8" ht="15" hidden="1" customHeight="1" x14ac:dyDescent="0.15"/>
    <row r="37" spans="1:8" ht="15" hidden="1" customHeight="1" x14ac:dyDescent="0.15">
      <c r="A37" s="134" t="s">
        <v>238</v>
      </c>
    </row>
    <row r="38" spans="1:8" ht="15" hidden="1" customHeight="1" x14ac:dyDescent="0.15"/>
    <row r="39" spans="1:8" ht="15" hidden="1" customHeight="1" x14ac:dyDescent="0.15">
      <c r="A39" s="234" t="s">
        <v>10</v>
      </c>
      <c r="B39" s="235" t="s">
        <v>239</v>
      </c>
      <c r="C39" s="236"/>
      <c r="D39" s="236"/>
      <c r="E39" s="236"/>
      <c r="F39" s="236"/>
      <c r="G39" s="236"/>
      <c r="H39" s="236"/>
    </row>
    <row r="40" spans="1:8" ht="15" hidden="1" customHeight="1" x14ac:dyDescent="0.15">
      <c r="A40" s="234"/>
      <c r="B40" s="235"/>
      <c r="C40" s="236"/>
      <c r="D40" s="236"/>
      <c r="E40" s="236"/>
      <c r="F40" s="236"/>
      <c r="G40" s="236"/>
      <c r="H40" s="236"/>
    </row>
    <row r="41" spans="1:8" ht="15" hidden="1" customHeight="1" x14ac:dyDescent="0.15">
      <c r="A41" s="234"/>
      <c r="B41" s="235"/>
      <c r="C41" s="236"/>
      <c r="D41" s="236"/>
      <c r="E41" s="236"/>
      <c r="F41" s="236"/>
      <c r="G41" s="236"/>
      <c r="H41" s="236"/>
    </row>
  </sheetData>
  <sheetProtection formatCells="0" formatColumns="0" formatRows="0" insertColumns="0" insertRows="0" insertHyperlinks="0" deleteColumns="0" deleteRows="0" selectLockedCells="1" sort="0" autoFilter="0" pivotTables="0"/>
  <mergeCells count="21">
    <mergeCell ref="A39:A41"/>
    <mergeCell ref="B39:H41"/>
    <mergeCell ref="E8:F8"/>
    <mergeCell ref="E9:F9"/>
    <mergeCell ref="H17:I21"/>
    <mergeCell ref="C22:F22"/>
    <mergeCell ref="H22:I27"/>
    <mergeCell ref="C24:F24"/>
    <mergeCell ref="D17:E18"/>
    <mergeCell ref="N12:N17"/>
    <mergeCell ref="A7:J7"/>
    <mergeCell ref="A15:J16"/>
    <mergeCell ref="E2:E3"/>
    <mergeCell ref="F2:F3"/>
    <mergeCell ref="G2:G3"/>
    <mergeCell ref="A1:D6"/>
    <mergeCell ref="I1:J1"/>
    <mergeCell ref="I2:J3"/>
    <mergeCell ref="H2:H3"/>
    <mergeCell ref="G4:J6"/>
    <mergeCell ref="E4:F6"/>
  </mergeCells>
  <conditionalFormatting sqref="H2:I2">
    <cfRule type="cellIs" dxfId="13" priority="1" operator="equal">
      <formula>10</formula>
    </cfRule>
    <cfRule type="cellIs" dxfId="12" priority="2" operator="equal">
      <formula>9</formula>
    </cfRule>
    <cfRule type="cellIs" dxfId="11" priority="3" operator="equal">
      <formula>8</formula>
    </cfRule>
    <cfRule type="cellIs" dxfId="10" priority="4" operator="equal">
      <formula>7</formula>
    </cfRule>
    <cfRule type="cellIs" dxfId="9" priority="5" operator="equal">
      <formula>6</formula>
    </cfRule>
    <cfRule type="cellIs" dxfId="8" priority="6" operator="equal">
      <formula>5</formula>
    </cfRule>
    <cfRule type="cellIs" dxfId="7" priority="7" operator="equal">
      <formula>4</formula>
    </cfRule>
    <cfRule type="cellIs" dxfId="6" priority="8" operator="equal">
      <formula>3</formula>
    </cfRule>
    <cfRule type="cellIs" dxfId="5" priority="9" operator="equal">
      <formula>2</formula>
    </cfRule>
    <cfRule type="cellIs" dxfId="4" priority="10" operator="equal">
      <formula>1</formula>
    </cfRule>
  </conditionalFormatting>
  <conditionalFormatting sqref="H17:I21">
    <cfRule type="expression" dxfId="3" priority="12">
      <formula>$A$9="NO"</formula>
    </cfRule>
  </conditionalFormatting>
  <conditionalFormatting sqref="H22:I27">
    <cfRule type="expression" dxfId="2" priority="15">
      <formula>A13="NO"</formula>
    </cfRule>
  </conditionalFormatting>
  <conditionalFormatting sqref="I11">
    <cfRule type="expression" dxfId="1" priority="11">
      <formula>EAC_tag="NO"</formula>
    </cfRule>
  </conditionalFormatting>
  <dataValidations count="8">
    <dataValidation type="list" allowBlank="1" showInputMessage="1" showErrorMessage="1" sqref="A39:A41" xr:uid="{F0B3E076-505F-421D-9045-1A3FC97F590A}">
      <formula1>"X,NO"</formula1>
    </dataValidation>
    <dataValidation type="list" allowBlank="1" showInputMessage="1" showErrorMessage="1" sqref="A65544 IR65544 SN65544 ACJ65544 AMF65544 AWB65544 BFX65544 BPT65544 BZP65544 CJL65544 CTH65544 DDD65544 DMZ65544 DWV65544 EGR65544 EQN65544 FAJ65544 FKF65544 FUB65544 GDX65544 GNT65544 GXP65544 HHL65544 HRH65544 IBD65544 IKZ65544 IUV65544 JER65544 JON65544 JYJ65544 KIF65544 KSB65544 LBX65544 LLT65544 LVP65544 MFL65544 MPH65544 MZD65544 NIZ65544 NSV65544 OCR65544 OMN65544 OWJ65544 PGF65544 PQB65544 PZX65544 QJT65544 QTP65544 RDL65544 RNH65544 RXD65544 SGZ65544 SQV65544 TAR65544 TKN65544 TUJ65544 UEF65544 UOB65544 UXX65544 VHT65544 VRP65544 WBL65544 WLH65544 WVD65544 A131080 IR131080 SN131080 ACJ131080 AMF131080 AWB131080 BFX131080 BPT131080 BZP131080 CJL131080 CTH131080 DDD131080 DMZ131080 DWV131080 EGR131080 EQN131080 FAJ131080 FKF131080 FUB131080 GDX131080 GNT131080 GXP131080 HHL131080 HRH131080 IBD131080 IKZ131080 IUV131080 JER131080 JON131080 JYJ131080 KIF131080 KSB131080 LBX131080 LLT131080 LVP131080 MFL131080 MPH131080 MZD131080 NIZ131080 NSV131080 OCR131080 OMN131080 OWJ131080 PGF131080 PQB131080 PZX131080 QJT131080 QTP131080 RDL131080 RNH131080 RXD131080 SGZ131080 SQV131080 TAR131080 TKN131080 TUJ131080 UEF131080 UOB131080 UXX131080 VHT131080 VRP131080 WBL131080 WLH131080 WVD131080 A196616 IR196616 SN196616 ACJ196616 AMF196616 AWB196616 BFX196616 BPT196616 BZP196616 CJL196616 CTH196616 DDD196616 DMZ196616 DWV196616 EGR196616 EQN196616 FAJ196616 FKF196616 FUB196616 GDX196616 GNT196616 GXP196616 HHL196616 HRH196616 IBD196616 IKZ196616 IUV196616 JER196616 JON196616 JYJ196616 KIF196616 KSB196616 LBX196616 LLT196616 LVP196616 MFL196616 MPH196616 MZD196616 NIZ196616 NSV196616 OCR196616 OMN196616 OWJ196616 PGF196616 PQB196616 PZX196616 QJT196616 QTP196616 RDL196616 RNH196616 RXD196616 SGZ196616 SQV196616 TAR196616 TKN196616 TUJ196616 UEF196616 UOB196616 UXX196616 VHT196616 VRP196616 WBL196616 WLH196616 WVD196616 A262152 IR262152 SN262152 ACJ262152 AMF262152 AWB262152 BFX262152 BPT262152 BZP262152 CJL262152 CTH262152 DDD262152 DMZ262152 DWV262152 EGR262152 EQN262152 FAJ262152 FKF262152 FUB262152 GDX262152 GNT262152 GXP262152 HHL262152 HRH262152 IBD262152 IKZ262152 IUV262152 JER262152 JON262152 JYJ262152 KIF262152 KSB262152 LBX262152 LLT262152 LVP262152 MFL262152 MPH262152 MZD262152 NIZ262152 NSV262152 OCR262152 OMN262152 OWJ262152 PGF262152 PQB262152 PZX262152 QJT262152 QTP262152 RDL262152 RNH262152 RXD262152 SGZ262152 SQV262152 TAR262152 TKN262152 TUJ262152 UEF262152 UOB262152 UXX262152 VHT262152 VRP262152 WBL262152 WLH262152 WVD262152 A327688 IR327688 SN327688 ACJ327688 AMF327688 AWB327688 BFX327688 BPT327688 BZP327688 CJL327688 CTH327688 DDD327688 DMZ327688 DWV327688 EGR327688 EQN327688 FAJ327688 FKF327688 FUB327688 GDX327688 GNT327688 GXP327688 HHL327688 HRH327688 IBD327688 IKZ327688 IUV327688 JER327688 JON327688 JYJ327688 KIF327688 KSB327688 LBX327688 LLT327688 LVP327688 MFL327688 MPH327688 MZD327688 NIZ327688 NSV327688 OCR327688 OMN327688 OWJ327688 PGF327688 PQB327688 PZX327688 QJT327688 QTP327688 RDL327688 RNH327688 RXD327688 SGZ327688 SQV327688 TAR327688 TKN327688 TUJ327688 UEF327688 UOB327688 UXX327688 VHT327688 VRP327688 WBL327688 WLH327688 WVD327688 A393224 IR393224 SN393224 ACJ393224 AMF393224 AWB393224 BFX393224 BPT393224 BZP393224 CJL393224 CTH393224 DDD393224 DMZ393224 DWV393224 EGR393224 EQN393224 FAJ393224 FKF393224 FUB393224 GDX393224 GNT393224 GXP393224 HHL393224 HRH393224 IBD393224 IKZ393224 IUV393224 JER393224 JON393224 JYJ393224 KIF393224 KSB393224 LBX393224 LLT393224 LVP393224 MFL393224 MPH393224 MZD393224 NIZ393224 NSV393224 OCR393224 OMN393224 OWJ393224 PGF393224 PQB393224 PZX393224 QJT393224 QTP393224 RDL393224 RNH393224 RXD393224 SGZ393224 SQV393224 TAR393224 TKN393224 TUJ393224 UEF393224 UOB393224 UXX393224 VHT393224 VRP393224 WBL393224 WLH393224 WVD393224 A458760 IR458760 SN458760 ACJ458760 AMF458760 AWB458760 BFX458760 BPT458760 BZP458760 CJL458760 CTH458760 DDD458760 DMZ458760 DWV458760 EGR458760 EQN458760 FAJ458760 FKF458760 FUB458760 GDX458760 GNT458760 GXP458760 HHL458760 HRH458760 IBD458760 IKZ458760 IUV458760 JER458760 JON458760 JYJ458760 KIF458760 KSB458760 LBX458760 LLT458760 LVP458760 MFL458760 MPH458760 MZD458760 NIZ458760 NSV458760 OCR458760 OMN458760 OWJ458760 PGF458760 PQB458760 PZX458760 QJT458760 QTP458760 RDL458760 RNH458760 RXD458760 SGZ458760 SQV458760 TAR458760 TKN458760 TUJ458760 UEF458760 UOB458760 UXX458760 VHT458760 VRP458760 WBL458760 WLH458760 WVD458760 A524296 IR524296 SN524296 ACJ524296 AMF524296 AWB524296 BFX524296 BPT524296 BZP524296 CJL524296 CTH524296 DDD524296 DMZ524296 DWV524296 EGR524296 EQN524296 FAJ524296 FKF524296 FUB524296 GDX524296 GNT524296 GXP524296 HHL524296 HRH524296 IBD524296 IKZ524296 IUV524296 JER524296 JON524296 JYJ524296 KIF524296 KSB524296 LBX524296 LLT524296 LVP524296 MFL524296 MPH524296 MZD524296 NIZ524296 NSV524296 OCR524296 OMN524296 OWJ524296 PGF524296 PQB524296 PZX524296 QJT524296 QTP524296 RDL524296 RNH524296 RXD524296 SGZ524296 SQV524296 TAR524296 TKN524296 TUJ524296 UEF524296 UOB524296 UXX524296 VHT524296 VRP524296 WBL524296 WLH524296 WVD524296 A589832 IR589832 SN589832 ACJ589832 AMF589832 AWB589832 BFX589832 BPT589832 BZP589832 CJL589832 CTH589832 DDD589832 DMZ589832 DWV589832 EGR589832 EQN589832 FAJ589832 FKF589832 FUB589832 GDX589832 GNT589832 GXP589832 HHL589832 HRH589832 IBD589832 IKZ589832 IUV589832 JER589832 JON589832 JYJ589832 KIF589832 KSB589832 LBX589832 LLT589832 LVP589832 MFL589832 MPH589832 MZD589832 NIZ589832 NSV589832 OCR589832 OMN589832 OWJ589832 PGF589832 PQB589832 PZX589832 QJT589832 QTP589832 RDL589832 RNH589832 RXD589832 SGZ589832 SQV589832 TAR589832 TKN589832 TUJ589832 UEF589832 UOB589832 UXX589832 VHT589832 VRP589832 WBL589832 WLH589832 WVD589832 A655368 IR655368 SN655368 ACJ655368 AMF655368 AWB655368 BFX655368 BPT655368 BZP655368 CJL655368 CTH655368 DDD655368 DMZ655368 DWV655368 EGR655368 EQN655368 FAJ655368 FKF655368 FUB655368 GDX655368 GNT655368 GXP655368 HHL655368 HRH655368 IBD655368 IKZ655368 IUV655368 JER655368 JON655368 JYJ655368 KIF655368 KSB655368 LBX655368 LLT655368 LVP655368 MFL655368 MPH655368 MZD655368 NIZ655368 NSV655368 OCR655368 OMN655368 OWJ655368 PGF655368 PQB655368 PZX655368 QJT655368 QTP655368 RDL655368 RNH655368 RXD655368 SGZ655368 SQV655368 TAR655368 TKN655368 TUJ655368 UEF655368 UOB655368 UXX655368 VHT655368 VRP655368 WBL655368 WLH655368 WVD655368 A720904 IR720904 SN720904 ACJ720904 AMF720904 AWB720904 BFX720904 BPT720904 BZP720904 CJL720904 CTH720904 DDD720904 DMZ720904 DWV720904 EGR720904 EQN720904 FAJ720904 FKF720904 FUB720904 GDX720904 GNT720904 GXP720904 HHL720904 HRH720904 IBD720904 IKZ720904 IUV720904 JER720904 JON720904 JYJ720904 KIF720904 KSB720904 LBX720904 LLT720904 LVP720904 MFL720904 MPH720904 MZD720904 NIZ720904 NSV720904 OCR720904 OMN720904 OWJ720904 PGF720904 PQB720904 PZX720904 QJT720904 QTP720904 RDL720904 RNH720904 RXD720904 SGZ720904 SQV720904 TAR720904 TKN720904 TUJ720904 UEF720904 UOB720904 UXX720904 VHT720904 VRP720904 WBL720904 WLH720904 WVD720904 A786440 IR786440 SN786440 ACJ786440 AMF786440 AWB786440 BFX786440 BPT786440 BZP786440 CJL786440 CTH786440 DDD786440 DMZ786440 DWV786440 EGR786440 EQN786440 FAJ786440 FKF786440 FUB786440 GDX786440 GNT786440 GXP786440 HHL786440 HRH786440 IBD786440 IKZ786440 IUV786440 JER786440 JON786440 JYJ786440 KIF786440 KSB786440 LBX786440 LLT786440 LVP786440 MFL786440 MPH786440 MZD786440 NIZ786440 NSV786440 OCR786440 OMN786440 OWJ786440 PGF786440 PQB786440 PZX786440 QJT786440 QTP786440 RDL786440 RNH786440 RXD786440 SGZ786440 SQV786440 TAR786440 TKN786440 TUJ786440 UEF786440 UOB786440 UXX786440 VHT786440 VRP786440 WBL786440 WLH786440 WVD786440 A851976 IR851976 SN851976 ACJ851976 AMF851976 AWB851976 BFX851976 BPT851976 BZP851976 CJL851976 CTH851976 DDD851976 DMZ851976 DWV851976 EGR851976 EQN851976 FAJ851976 FKF851976 FUB851976 GDX851976 GNT851976 GXP851976 HHL851976 HRH851976 IBD851976 IKZ851976 IUV851976 JER851976 JON851976 JYJ851976 KIF851976 KSB851976 LBX851976 LLT851976 LVP851976 MFL851976 MPH851976 MZD851976 NIZ851976 NSV851976 OCR851976 OMN851976 OWJ851976 PGF851976 PQB851976 PZX851976 QJT851976 QTP851976 RDL851976 RNH851976 RXD851976 SGZ851976 SQV851976 TAR851976 TKN851976 TUJ851976 UEF851976 UOB851976 UXX851976 VHT851976 VRP851976 WBL851976 WLH851976 WVD851976 A917512 IR917512 SN917512 ACJ917512 AMF917512 AWB917512 BFX917512 BPT917512 BZP917512 CJL917512 CTH917512 DDD917512 DMZ917512 DWV917512 EGR917512 EQN917512 FAJ917512 FKF917512 FUB917512 GDX917512 GNT917512 GXP917512 HHL917512 HRH917512 IBD917512 IKZ917512 IUV917512 JER917512 JON917512 JYJ917512 KIF917512 KSB917512 LBX917512 LLT917512 LVP917512 MFL917512 MPH917512 MZD917512 NIZ917512 NSV917512 OCR917512 OMN917512 OWJ917512 PGF917512 PQB917512 PZX917512 QJT917512 QTP917512 RDL917512 RNH917512 RXD917512 SGZ917512 SQV917512 TAR917512 TKN917512 TUJ917512 UEF917512 UOB917512 UXX917512 VHT917512 VRP917512 WBL917512 WLH917512 WVD917512 A983048 IR983048 SN983048 ACJ983048 AMF983048 AWB983048 BFX983048 BPT983048 BZP983048 CJL983048 CTH983048 DDD983048 DMZ983048 DWV983048 EGR983048 EQN983048 FAJ983048 FKF983048 FUB983048 GDX983048 GNT983048 GXP983048 HHL983048 HRH983048 IBD983048 IKZ983048 IUV983048 JER983048 JON983048 JYJ983048 KIF983048 KSB983048 LBX983048 LLT983048 LVP983048 MFL983048 MPH983048 MZD983048 NIZ983048 NSV983048 OCR983048 OMN983048 OWJ983048 PGF983048 PQB983048 PZX983048 QJT983048 QTP983048 RDL983048 RNH983048 RXD983048 SGZ983048 SQV983048 TAR983048 TKN983048 TUJ983048 UEF983048 UOB983048 UXX983048 VHT983048 VRP983048 WBL983048 WLH983048 WVD983048" xr:uid="{EE5A9E1E-94F4-4D10-80AD-F71700597DCB}">
      <formula1>elenco_comm</formula1>
    </dataValidation>
    <dataValidation type="list" allowBlank="1" showInputMessage="1" showErrorMessage="1" sqref="C65548 IT65548 SP65548 ACL65548 AMH65548 AWD65548 BFZ65548 BPV65548 BZR65548 CJN65548 CTJ65548 DDF65548 DNB65548 DWX65548 EGT65548 EQP65548 FAL65548 FKH65548 FUD65548 GDZ65548 GNV65548 GXR65548 HHN65548 HRJ65548 IBF65548 ILB65548 IUX65548 JET65548 JOP65548 JYL65548 KIH65548 KSD65548 LBZ65548 LLV65548 LVR65548 MFN65548 MPJ65548 MZF65548 NJB65548 NSX65548 OCT65548 OMP65548 OWL65548 PGH65548 PQD65548 PZZ65548 QJV65548 QTR65548 RDN65548 RNJ65548 RXF65548 SHB65548 SQX65548 TAT65548 TKP65548 TUL65548 UEH65548 UOD65548 UXZ65548 VHV65548 VRR65548 WBN65548 WLJ65548 WVF65548 C131084 IT131084 SP131084 ACL131084 AMH131084 AWD131084 BFZ131084 BPV131084 BZR131084 CJN131084 CTJ131084 DDF131084 DNB131084 DWX131084 EGT131084 EQP131084 FAL131084 FKH131084 FUD131084 GDZ131084 GNV131084 GXR131084 HHN131084 HRJ131084 IBF131084 ILB131084 IUX131084 JET131084 JOP131084 JYL131084 KIH131084 KSD131084 LBZ131084 LLV131084 LVR131084 MFN131084 MPJ131084 MZF131084 NJB131084 NSX131084 OCT131084 OMP131084 OWL131084 PGH131084 PQD131084 PZZ131084 QJV131084 QTR131084 RDN131084 RNJ131084 RXF131084 SHB131084 SQX131084 TAT131084 TKP131084 TUL131084 UEH131084 UOD131084 UXZ131084 VHV131084 VRR131084 WBN131084 WLJ131084 WVF131084 C196620 IT196620 SP196620 ACL196620 AMH196620 AWD196620 BFZ196620 BPV196620 BZR196620 CJN196620 CTJ196620 DDF196620 DNB196620 DWX196620 EGT196620 EQP196620 FAL196620 FKH196620 FUD196620 GDZ196620 GNV196620 GXR196620 HHN196620 HRJ196620 IBF196620 ILB196620 IUX196620 JET196620 JOP196620 JYL196620 KIH196620 KSD196620 LBZ196620 LLV196620 LVR196620 MFN196620 MPJ196620 MZF196620 NJB196620 NSX196620 OCT196620 OMP196620 OWL196620 PGH196620 PQD196620 PZZ196620 QJV196620 QTR196620 RDN196620 RNJ196620 RXF196620 SHB196620 SQX196620 TAT196620 TKP196620 TUL196620 UEH196620 UOD196620 UXZ196620 VHV196620 VRR196620 WBN196620 WLJ196620 WVF196620 C262156 IT262156 SP262156 ACL262156 AMH262156 AWD262156 BFZ262156 BPV262156 BZR262156 CJN262156 CTJ262156 DDF262156 DNB262156 DWX262156 EGT262156 EQP262156 FAL262156 FKH262156 FUD262156 GDZ262156 GNV262156 GXR262156 HHN262156 HRJ262156 IBF262156 ILB262156 IUX262156 JET262156 JOP262156 JYL262156 KIH262156 KSD262156 LBZ262156 LLV262156 LVR262156 MFN262156 MPJ262156 MZF262156 NJB262156 NSX262156 OCT262156 OMP262156 OWL262156 PGH262156 PQD262156 PZZ262156 QJV262156 QTR262156 RDN262156 RNJ262156 RXF262156 SHB262156 SQX262156 TAT262156 TKP262156 TUL262156 UEH262156 UOD262156 UXZ262156 VHV262156 VRR262156 WBN262156 WLJ262156 WVF262156 C327692 IT327692 SP327692 ACL327692 AMH327692 AWD327692 BFZ327692 BPV327692 BZR327692 CJN327692 CTJ327692 DDF327692 DNB327692 DWX327692 EGT327692 EQP327692 FAL327692 FKH327692 FUD327692 GDZ327692 GNV327692 GXR327692 HHN327692 HRJ327692 IBF327692 ILB327692 IUX327692 JET327692 JOP327692 JYL327692 KIH327692 KSD327692 LBZ327692 LLV327692 LVR327692 MFN327692 MPJ327692 MZF327692 NJB327692 NSX327692 OCT327692 OMP327692 OWL327692 PGH327692 PQD327692 PZZ327692 QJV327692 QTR327692 RDN327692 RNJ327692 RXF327692 SHB327692 SQX327692 TAT327692 TKP327692 TUL327692 UEH327692 UOD327692 UXZ327692 VHV327692 VRR327692 WBN327692 WLJ327692 WVF327692 C393228 IT393228 SP393228 ACL393228 AMH393228 AWD393228 BFZ393228 BPV393228 BZR393228 CJN393228 CTJ393228 DDF393228 DNB393228 DWX393228 EGT393228 EQP393228 FAL393228 FKH393228 FUD393228 GDZ393228 GNV393228 GXR393228 HHN393228 HRJ393228 IBF393228 ILB393228 IUX393228 JET393228 JOP393228 JYL393228 KIH393228 KSD393228 LBZ393228 LLV393228 LVR393228 MFN393228 MPJ393228 MZF393228 NJB393228 NSX393228 OCT393228 OMP393228 OWL393228 PGH393228 PQD393228 PZZ393228 QJV393228 QTR393228 RDN393228 RNJ393228 RXF393228 SHB393228 SQX393228 TAT393228 TKP393228 TUL393228 UEH393228 UOD393228 UXZ393228 VHV393228 VRR393228 WBN393228 WLJ393228 WVF393228 C458764 IT458764 SP458764 ACL458764 AMH458764 AWD458764 BFZ458764 BPV458764 BZR458764 CJN458764 CTJ458764 DDF458764 DNB458764 DWX458764 EGT458764 EQP458764 FAL458764 FKH458764 FUD458764 GDZ458764 GNV458764 GXR458764 HHN458764 HRJ458764 IBF458764 ILB458764 IUX458764 JET458764 JOP458764 JYL458764 KIH458764 KSD458764 LBZ458764 LLV458764 LVR458764 MFN458764 MPJ458764 MZF458764 NJB458764 NSX458764 OCT458764 OMP458764 OWL458764 PGH458764 PQD458764 PZZ458764 QJV458764 QTR458764 RDN458764 RNJ458764 RXF458764 SHB458764 SQX458764 TAT458764 TKP458764 TUL458764 UEH458764 UOD458764 UXZ458764 VHV458764 VRR458764 WBN458764 WLJ458764 WVF458764 C524300 IT524300 SP524300 ACL524300 AMH524300 AWD524300 BFZ524300 BPV524300 BZR524300 CJN524300 CTJ524300 DDF524300 DNB524300 DWX524300 EGT524300 EQP524300 FAL524300 FKH524300 FUD524300 GDZ524300 GNV524300 GXR524300 HHN524300 HRJ524300 IBF524300 ILB524300 IUX524300 JET524300 JOP524300 JYL524300 KIH524300 KSD524300 LBZ524300 LLV524300 LVR524300 MFN524300 MPJ524300 MZF524300 NJB524300 NSX524300 OCT524300 OMP524300 OWL524300 PGH524300 PQD524300 PZZ524300 QJV524300 QTR524300 RDN524300 RNJ524300 RXF524300 SHB524300 SQX524300 TAT524300 TKP524300 TUL524300 UEH524300 UOD524300 UXZ524300 VHV524300 VRR524300 WBN524300 WLJ524300 WVF524300 C589836 IT589836 SP589836 ACL589836 AMH589836 AWD589836 BFZ589836 BPV589836 BZR589836 CJN589836 CTJ589836 DDF589836 DNB589836 DWX589836 EGT589836 EQP589836 FAL589836 FKH589836 FUD589836 GDZ589836 GNV589836 GXR589836 HHN589836 HRJ589836 IBF589836 ILB589836 IUX589836 JET589836 JOP589836 JYL589836 KIH589836 KSD589836 LBZ589836 LLV589836 LVR589836 MFN589836 MPJ589836 MZF589836 NJB589836 NSX589836 OCT589836 OMP589836 OWL589836 PGH589836 PQD589836 PZZ589836 QJV589836 QTR589836 RDN589836 RNJ589836 RXF589836 SHB589836 SQX589836 TAT589836 TKP589836 TUL589836 UEH589836 UOD589836 UXZ589836 VHV589836 VRR589836 WBN589836 WLJ589836 WVF589836 C655372 IT655372 SP655372 ACL655372 AMH655372 AWD655372 BFZ655372 BPV655372 BZR655372 CJN655372 CTJ655372 DDF655372 DNB655372 DWX655372 EGT655372 EQP655372 FAL655372 FKH655372 FUD655372 GDZ655372 GNV655372 GXR655372 HHN655372 HRJ655372 IBF655372 ILB655372 IUX655372 JET655372 JOP655372 JYL655372 KIH655372 KSD655372 LBZ655372 LLV655372 LVR655372 MFN655372 MPJ655372 MZF655372 NJB655372 NSX655372 OCT655372 OMP655372 OWL655372 PGH655372 PQD655372 PZZ655372 QJV655372 QTR655372 RDN655372 RNJ655372 RXF655372 SHB655372 SQX655372 TAT655372 TKP655372 TUL655372 UEH655372 UOD655372 UXZ655372 VHV655372 VRR655372 WBN655372 WLJ655372 WVF655372 C720908 IT720908 SP720908 ACL720908 AMH720908 AWD720908 BFZ720908 BPV720908 BZR720908 CJN720908 CTJ720908 DDF720908 DNB720908 DWX720908 EGT720908 EQP720908 FAL720908 FKH720908 FUD720908 GDZ720908 GNV720908 GXR720908 HHN720908 HRJ720908 IBF720908 ILB720908 IUX720908 JET720908 JOP720908 JYL720908 KIH720908 KSD720908 LBZ720908 LLV720908 LVR720908 MFN720908 MPJ720908 MZF720908 NJB720908 NSX720908 OCT720908 OMP720908 OWL720908 PGH720908 PQD720908 PZZ720908 QJV720908 QTR720908 RDN720908 RNJ720908 RXF720908 SHB720908 SQX720908 TAT720908 TKP720908 TUL720908 UEH720908 UOD720908 UXZ720908 VHV720908 VRR720908 WBN720908 WLJ720908 WVF720908 C786444 IT786444 SP786444 ACL786444 AMH786444 AWD786444 BFZ786444 BPV786444 BZR786444 CJN786444 CTJ786444 DDF786444 DNB786444 DWX786444 EGT786444 EQP786444 FAL786444 FKH786444 FUD786444 GDZ786444 GNV786444 GXR786444 HHN786444 HRJ786444 IBF786444 ILB786444 IUX786444 JET786444 JOP786444 JYL786444 KIH786444 KSD786444 LBZ786444 LLV786444 LVR786444 MFN786444 MPJ786444 MZF786444 NJB786444 NSX786444 OCT786444 OMP786444 OWL786444 PGH786444 PQD786444 PZZ786444 QJV786444 QTR786444 RDN786444 RNJ786444 RXF786444 SHB786444 SQX786444 TAT786444 TKP786444 TUL786444 UEH786444 UOD786444 UXZ786444 VHV786444 VRR786444 WBN786444 WLJ786444 WVF786444 C851980 IT851980 SP851980 ACL851980 AMH851980 AWD851980 BFZ851980 BPV851980 BZR851980 CJN851980 CTJ851980 DDF851980 DNB851980 DWX851980 EGT851980 EQP851980 FAL851980 FKH851980 FUD851980 GDZ851980 GNV851980 GXR851980 HHN851980 HRJ851980 IBF851980 ILB851980 IUX851980 JET851980 JOP851980 JYL851980 KIH851980 KSD851980 LBZ851980 LLV851980 LVR851980 MFN851980 MPJ851980 MZF851980 NJB851980 NSX851980 OCT851980 OMP851980 OWL851980 PGH851980 PQD851980 PZZ851980 QJV851980 QTR851980 RDN851980 RNJ851980 RXF851980 SHB851980 SQX851980 TAT851980 TKP851980 TUL851980 UEH851980 UOD851980 UXZ851980 VHV851980 VRR851980 WBN851980 WLJ851980 WVF851980 C917516 IT917516 SP917516 ACL917516 AMH917516 AWD917516 BFZ917516 BPV917516 BZR917516 CJN917516 CTJ917516 DDF917516 DNB917516 DWX917516 EGT917516 EQP917516 FAL917516 FKH917516 FUD917516 GDZ917516 GNV917516 GXR917516 HHN917516 HRJ917516 IBF917516 ILB917516 IUX917516 JET917516 JOP917516 JYL917516 KIH917516 KSD917516 LBZ917516 LLV917516 LVR917516 MFN917516 MPJ917516 MZF917516 NJB917516 NSX917516 OCT917516 OMP917516 OWL917516 PGH917516 PQD917516 PZZ917516 QJV917516 QTR917516 RDN917516 RNJ917516 RXF917516 SHB917516 SQX917516 TAT917516 TKP917516 TUL917516 UEH917516 UOD917516 UXZ917516 VHV917516 VRR917516 WBN917516 WLJ917516 WVF917516 C983052 IT983052 SP983052 ACL983052 AMH983052 AWD983052 BFZ983052 BPV983052 BZR983052 CJN983052 CTJ983052 DDF983052 DNB983052 DWX983052 EGT983052 EQP983052 FAL983052 FKH983052 FUD983052 GDZ983052 GNV983052 GXR983052 HHN983052 HRJ983052 IBF983052 ILB983052 IUX983052 JET983052 JOP983052 JYL983052 KIH983052 KSD983052 LBZ983052 LLV983052 LVR983052 MFN983052 MPJ983052 MZF983052 NJB983052 NSX983052 OCT983052 OMP983052 OWL983052 PGH983052 PQD983052 PZZ983052 QJV983052 QTR983052 RDN983052 RNJ983052 RXF983052 SHB983052 SQX983052 TAT983052 TKP983052 TUL983052 UEH983052 UOD983052 UXZ983052 VHV983052 VRR983052 WBN983052 WLJ983052 WVF983052 WVJ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xr:uid="{D86F34DC-DF6A-441F-B553-01EF3E64968A}">
      <formula1>"135,200"</formula1>
    </dataValidation>
    <dataValidation type="list" allowBlank="1" showInputMessage="1" showErrorMessage="1" sqref="I65548 IZ65548 SV65548 ACR65548 AMN65548 AWJ65548 BGF65548 BQB65548 BZX65548 CJT65548 CTP65548 DDL65548 DNH65548 DXD65548 EGZ65548 EQV65548 FAR65548 FKN65548 FUJ65548 GEF65548 GOB65548 GXX65548 HHT65548 HRP65548 IBL65548 ILH65548 IVD65548 JEZ65548 JOV65548 JYR65548 KIN65548 KSJ65548 LCF65548 LMB65548 LVX65548 MFT65548 MPP65548 MZL65548 NJH65548 NTD65548 OCZ65548 OMV65548 OWR65548 PGN65548 PQJ65548 QAF65548 QKB65548 QTX65548 RDT65548 RNP65548 RXL65548 SHH65548 SRD65548 TAZ65548 TKV65548 TUR65548 UEN65548 UOJ65548 UYF65548 VIB65548 VRX65548 WBT65548 WLP65548 WVL65548 I131084 IZ131084 SV131084 ACR131084 AMN131084 AWJ131084 BGF131084 BQB131084 BZX131084 CJT131084 CTP131084 DDL131084 DNH131084 DXD131084 EGZ131084 EQV131084 FAR131084 FKN131084 FUJ131084 GEF131084 GOB131084 GXX131084 HHT131084 HRP131084 IBL131084 ILH131084 IVD131084 JEZ131084 JOV131084 JYR131084 KIN131084 KSJ131084 LCF131084 LMB131084 LVX131084 MFT131084 MPP131084 MZL131084 NJH131084 NTD131084 OCZ131084 OMV131084 OWR131084 PGN131084 PQJ131084 QAF131084 QKB131084 QTX131084 RDT131084 RNP131084 RXL131084 SHH131084 SRD131084 TAZ131084 TKV131084 TUR131084 UEN131084 UOJ131084 UYF131084 VIB131084 VRX131084 WBT131084 WLP131084 WVL131084 I196620 IZ196620 SV196620 ACR196620 AMN196620 AWJ196620 BGF196620 BQB196620 BZX196620 CJT196620 CTP196620 DDL196620 DNH196620 DXD196620 EGZ196620 EQV196620 FAR196620 FKN196620 FUJ196620 GEF196620 GOB196620 GXX196620 HHT196620 HRP196620 IBL196620 ILH196620 IVD196620 JEZ196620 JOV196620 JYR196620 KIN196620 KSJ196620 LCF196620 LMB196620 LVX196620 MFT196620 MPP196620 MZL196620 NJH196620 NTD196620 OCZ196620 OMV196620 OWR196620 PGN196620 PQJ196620 QAF196620 QKB196620 QTX196620 RDT196620 RNP196620 RXL196620 SHH196620 SRD196620 TAZ196620 TKV196620 TUR196620 UEN196620 UOJ196620 UYF196620 VIB196620 VRX196620 WBT196620 WLP196620 WVL196620 I262156 IZ262156 SV262156 ACR262156 AMN262156 AWJ262156 BGF262156 BQB262156 BZX262156 CJT262156 CTP262156 DDL262156 DNH262156 DXD262156 EGZ262156 EQV262156 FAR262156 FKN262156 FUJ262156 GEF262156 GOB262156 GXX262156 HHT262156 HRP262156 IBL262156 ILH262156 IVD262156 JEZ262156 JOV262156 JYR262156 KIN262156 KSJ262156 LCF262156 LMB262156 LVX262156 MFT262156 MPP262156 MZL262156 NJH262156 NTD262156 OCZ262156 OMV262156 OWR262156 PGN262156 PQJ262156 QAF262156 QKB262156 QTX262156 RDT262156 RNP262156 RXL262156 SHH262156 SRD262156 TAZ262156 TKV262156 TUR262156 UEN262156 UOJ262156 UYF262156 VIB262156 VRX262156 WBT262156 WLP262156 WVL262156 I327692 IZ327692 SV327692 ACR327692 AMN327692 AWJ327692 BGF327692 BQB327692 BZX327692 CJT327692 CTP327692 DDL327692 DNH327692 DXD327692 EGZ327692 EQV327692 FAR327692 FKN327692 FUJ327692 GEF327692 GOB327692 GXX327692 HHT327692 HRP327692 IBL327692 ILH327692 IVD327692 JEZ327692 JOV327692 JYR327692 KIN327692 KSJ327692 LCF327692 LMB327692 LVX327692 MFT327692 MPP327692 MZL327692 NJH327692 NTD327692 OCZ327692 OMV327692 OWR327692 PGN327692 PQJ327692 QAF327692 QKB327692 QTX327692 RDT327692 RNP327692 RXL327692 SHH327692 SRD327692 TAZ327692 TKV327692 TUR327692 UEN327692 UOJ327692 UYF327692 VIB327692 VRX327692 WBT327692 WLP327692 WVL327692 I393228 IZ393228 SV393228 ACR393228 AMN393228 AWJ393228 BGF393228 BQB393228 BZX393228 CJT393228 CTP393228 DDL393228 DNH393228 DXD393228 EGZ393228 EQV393228 FAR393228 FKN393228 FUJ393228 GEF393228 GOB393228 GXX393228 HHT393228 HRP393228 IBL393228 ILH393228 IVD393228 JEZ393228 JOV393228 JYR393228 KIN393228 KSJ393228 LCF393228 LMB393228 LVX393228 MFT393228 MPP393228 MZL393228 NJH393228 NTD393228 OCZ393228 OMV393228 OWR393228 PGN393228 PQJ393228 QAF393228 QKB393228 QTX393228 RDT393228 RNP393228 RXL393228 SHH393228 SRD393228 TAZ393228 TKV393228 TUR393228 UEN393228 UOJ393228 UYF393228 VIB393228 VRX393228 WBT393228 WLP393228 WVL393228 I458764 IZ458764 SV458764 ACR458764 AMN458764 AWJ458764 BGF458764 BQB458764 BZX458764 CJT458764 CTP458764 DDL458764 DNH458764 DXD458764 EGZ458764 EQV458764 FAR458764 FKN458764 FUJ458764 GEF458764 GOB458764 GXX458764 HHT458764 HRP458764 IBL458764 ILH458764 IVD458764 JEZ458764 JOV458764 JYR458764 KIN458764 KSJ458764 LCF458764 LMB458764 LVX458764 MFT458764 MPP458764 MZL458764 NJH458764 NTD458764 OCZ458764 OMV458764 OWR458764 PGN458764 PQJ458764 QAF458764 QKB458764 QTX458764 RDT458764 RNP458764 RXL458764 SHH458764 SRD458764 TAZ458764 TKV458764 TUR458764 UEN458764 UOJ458764 UYF458764 VIB458764 VRX458764 WBT458764 WLP458764 WVL458764 I524300 IZ524300 SV524300 ACR524300 AMN524300 AWJ524300 BGF524300 BQB524300 BZX524300 CJT524300 CTP524300 DDL524300 DNH524300 DXD524300 EGZ524300 EQV524300 FAR524300 FKN524300 FUJ524300 GEF524300 GOB524300 GXX524300 HHT524300 HRP524300 IBL524300 ILH524300 IVD524300 JEZ524300 JOV524300 JYR524300 KIN524300 KSJ524300 LCF524300 LMB524300 LVX524300 MFT524300 MPP524300 MZL524300 NJH524300 NTD524300 OCZ524300 OMV524300 OWR524300 PGN524300 PQJ524300 QAF524300 QKB524300 QTX524300 RDT524300 RNP524300 RXL524300 SHH524300 SRD524300 TAZ524300 TKV524300 TUR524300 UEN524300 UOJ524300 UYF524300 VIB524300 VRX524300 WBT524300 WLP524300 WVL524300 I589836 IZ589836 SV589836 ACR589836 AMN589836 AWJ589836 BGF589836 BQB589836 BZX589836 CJT589836 CTP589836 DDL589836 DNH589836 DXD589836 EGZ589836 EQV589836 FAR589836 FKN589836 FUJ589836 GEF589836 GOB589836 GXX589836 HHT589836 HRP589836 IBL589836 ILH589836 IVD589836 JEZ589836 JOV589836 JYR589836 KIN589836 KSJ589836 LCF589836 LMB589836 LVX589836 MFT589836 MPP589836 MZL589836 NJH589836 NTD589836 OCZ589836 OMV589836 OWR589836 PGN589836 PQJ589836 QAF589836 QKB589836 QTX589836 RDT589836 RNP589836 RXL589836 SHH589836 SRD589836 TAZ589836 TKV589836 TUR589836 UEN589836 UOJ589836 UYF589836 VIB589836 VRX589836 WBT589836 WLP589836 WVL589836 I655372 IZ655372 SV655372 ACR655372 AMN655372 AWJ655372 BGF655372 BQB655372 BZX655372 CJT655372 CTP655372 DDL655372 DNH655372 DXD655372 EGZ655372 EQV655372 FAR655372 FKN655372 FUJ655372 GEF655372 GOB655372 GXX655372 HHT655372 HRP655372 IBL655372 ILH655372 IVD655372 JEZ655372 JOV655372 JYR655372 KIN655372 KSJ655372 LCF655372 LMB655372 LVX655372 MFT655372 MPP655372 MZL655372 NJH655372 NTD655372 OCZ655372 OMV655372 OWR655372 PGN655372 PQJ655372 QAF655372 QKB655372 QTX655372 RDT655372 RNP655372 RXL655372 SHH655372 SRD655372 TAZ655372 TKV655372 TUR655372 UEN655372 UOJ655372 UYF655372 VIB655372 VRX655372 WBT655372 WLP655372 WVL655372 I720908 IZ720908 SV720908 ACR720908 AMN720908 AWJ720908 BGF720908 BQB720908 BZX720908 CJT720908 CTP720908 DDL720908 DNH720908 DXD720908 EGZ720908 EQV720908 FAR720908 FKN720908 FUJ720908 GEF720908 GOB720908 GXX720908 HHT720908 HRP720908 IBL720908 ILH720908 IVD720908 JEZ720908 JOV720908 JYR720908 KIN720908 KSJ720908 LCF720908 LMB720908 LVX720908 MFT720908 MPP720908 MZL720908 NJH720908 NTD720908 OCZ720908 OMV720908 OWR720908 PGN720908 PQJ720908 QAF720908 QKB720908 QTX720908 RDT720908 RNP720908 RXL720908 SHH720908 SRD720908 TAZ720908 TKV720908 TUR720908 UEN720908 UOJ720908 UYF720908 VIB720908 VRX720908 WBT720908 WLP720908 WVL720908 I786444 IZ786444 SV786444 ACR786444 AMN786444 AWJ786444 BGF786444 BQB786444 BZX786444 CJT786444 CTP786444 DDL786444 DNH786444 DXD786444 EGZ786444 EQV786444 FAR786444 FKN786444 FUJ786444 GEF786444 GOB786444 GXX786444 HHT786444 HRP786444 IBL786444 ILH786444 IVD786444 JEZ786444 JOV786444 JYR786444 KIN786444 KSJ786444 LCF786444 LMB786444 LVX786444 MFT786444 MPP786444 MZL786444 NJH786444 NTD786444 OCZ786444 OMV786444 OWR786444 PGN786444 PQJ786444 QAF786444 QKB786444 QTX786444 RDT786444 RNP786444 RXL786444 SHH786444 SRD786444 TAZ786444 TKV786444 TUR786444 UEN786444 UOJ786444 UYF786444 VIB786444 VRX786444 WBT786444 WLP786444 WVL786444 I851980 IZ851980 SV851980 ACR851980 AMN851980 AWJ851980 BGF851980 BQB851980 BZX851980 CJT851980 CTP851980 DDL851980 DNH851980 DXD851980 EGZ851980 EQV851980 FAR851980 FKN851980 FUJ851980 GEF851980 GOB851980 GXX851980 HHT851980 HRP851980 IBL851980 ILH851980 IVD851980 JEZ851980 JOV851980 JYR851980 KIN851980 KSJ851980 LCF851980 LMB851980 LVX851980 MFT851980 MPP851980 MZL851980 NJH851980 NTD851980 OCZ851980 OMV851980 OWR851980 PGN851980 PQJ851980 QAF851980 QKB851980 QTX851980 RDT851980 RNP851980 RXL851980 SHH851980 SRD851980 TAZ851980 TKV851980 TUR851980 UEN851980 UOJ851980 UYF851980 VIB851980 VRX851980 WBT851980 WLP851980 WVL851980 I917516 IZ917516 SV917516 ACR917516 AMN917516 AWJ917516 BGF917516 BQB917516 BZX917516 CJT917516 CTP917516 DDL917516 DNH917516 DXD917516 EGZ917516 EQV917516 FAR917516 FKN917516 FUJ917516 GEF917516 GOB917516 GXX917516 HHT917516 HRP917516 IBL917516 ILH917516 IVD917516 JEZ917516 JOV917516 JYR917516 KIN917516 KSJ917516 LCF917516 LMB917516 LVX917516 MFT917516 MPP917516 MZL917516 NJH917516 NTD917516 OCZ917516 OMV917516 OWR917516 PGN917516 PQJ917516 QAF917516 QKB917516 QTX917516 RDT917516 RNP917516 RXL917516 SHH917516 SRD917516 TAZ917516 TKV917516 TUR917516 UEN917516 UOJ917516 UYF917516 VIB917516 VRX917516 WBT917516 WLP917516 WVL917516 I983052 IZ983052 SV983052 ACR983052 AMN983052 AWJ983052 BGF983052 BQB983052 BZX983052 CJT983052 CTP983052 DDL983052 DNH983052 DXD983052 EGZ983052 EQV983052 FAR983052 FKN983052 FUJ983052 GEF983052 GOB983052 GXX983052 HHT983052 HRP983052 IBL983052 ILH983052 IVD983052 JEZ983052 JOV983052 JYR983052 KIN983052 KSJ983052 LCF983052 LMB983052 LVX983052 MFT983052 MPP983052 MZL983052 NJH983052 NTD983052 OCZ983052 OMV983052 OWR983052 PGN983052 PQJ983052 QAF983052 QKB983052 QTX983052 RDT983052 RNP983052 RXL983052 SHH983052 SRD983052 TAZ983052 TKV983052 TUR983052 UEN983052 UOJ983052 UYF983052 VIB983052 VRX983052 WBT983052 WLP983052 WVL983052 WVP9 JD9 SZ9 ACV9 AMR9 AWN9 BGJ9 BQF9 CAB9 CJX9 CTT9 DDP9 DNL9 DXH9 EHD9 EQZ9 FAV9 FKR9 FUN9 GEJ9 GOF9 GYB9 HHX9 HRT9 IBP9 ILL9 IVH9 JFD9 JOZ9 JYV9 KIR9 KSN9 LCJ9 LMF9 LWB9 MFX9 MPT9 MZP9 NJL9 NTH9 ODD9 OMZ9 OWV9 PGR9 PQN9 QAJ9 QKF9 QUB9 RDX9 RNT9 RXP9 SHL9 SRH9 TBD9 TKZ9 TUV9 UER9 UON9 UYJ9 VIF9 VSB9 WBX9 WLT9" xr:uid="{4DBA509D-5F32-4110-8F6A-7EF6BBCCD5F6}">
      <formula1>"-,EAC"</formula1>
    </dataValidation>
    <dataValidation type="list" allowBlank="1" showInputMessage="1" showErrorMessage="1" sqref="B9" xr:uid="{619FE10D-5038-4796-A40B-1F685B1012B3}">
      <formula1>"21,22,SICURA,-"</formula1>
    </dataValidation>
    <dataValidation type="list" allowBlank="1" showInputMessage="1" showErrorMessage="1" sqref="C9" xr:uid="{78340D09-1EB9-4936-BB59-57287497E498}">
      <formula1>"SICURA,22,-"</formula1>
    </dataValidation>
    <dataValidation type="list" allowBlank="1" showInputMessage="1" showErrorMessage="1" sqref="A13" xr:uid="{99B904E7-62DE-4E13-B658-E606AB7D6236}">
      <formula1>"SI,NO"</formula1>
    </dataValidation>
    <dataValidation type="list" allowBlank="1" showInputMessage="1" showErrorMessage="1" sqref="D9" xr:uid="{EBA781C1-4DCD-4801-8A2D-1C29BD75A06D}">
      <formula1>"135,200,-"</formula1>
    </dataValidation>
  </dataValidations>
  <hyperlinks>
    <hyperlink ref="A21" r:id="rId1" xr:uid="{9A77D60E-9B79-4153-9FE8-C6DA4E9A1A43}"/>
  </hyperlinks>
  <pageMargins left="0.7" right="0.7" top="0.75" bottom="0.75" header="0.3" footer="0.3"/>
  <pageSetup paperSize="9" scale="82" orientation="portrait"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710F22E-1980-4298-9CA5-70615DABA461}">
          <x14:formula1>
            <xm:f>DIZIONARIO!$A$1:$H$1</xm:f>
          </x14:formula1>
          <xm:sqref>C13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257FE-287A-4BFE-81EB-F3AFA9B11A24}">
  <sheetPr codeName="Foglio6"/>
  <dimension ref="A1:H4"/>
  <sheetViews>
    <sheetView zoomScale="205" zoomScaleNormal="205" workbookViewId="0">
      <selection activeCell="B8" sqref="B8"/>
    </sheetView>
  </sheetViews>
  <sheetFormatPr defaultRowHeight="10.5" x14ac:dyDescent="0.15"/>
  <cols>
    <col min="1" max="1" width="15.83203125" bestFit="1" customWidth="1"/>
    <col min="2" max="2" width="14.83203125" bestFit="1" customWidth="1"/>
    <col min="3" max="3" width="13.6640625" bestFit="1" customWidth="1"/>
    <col min="4" max="4" width="21.83203125" bestFit="1" customWidth="1"/>
    <col min="5" max="5" width="19.6640625" bestFit="1" customWidth="1"/>
    <col min="6" max="6" width="13.83203125" bestFit="1" customWidth="1"/>
    <col min="7" max="7" width="14.83203125" bestFit="1" customWidth="1"/>
    <col min="8" max="8" width="20.83203125" bestFit="1" customWidth="1"/>
  </cols>
  <sheetData>
    <row r="1" spans="1:8" x14ac:dyDescent="0.15">
      <c r="A1" t="s">
        <v>3577</v>
      </c>
      <c r="B1" t="s">
        <v>3571</v>
      </c>
      <c r="C1" t="s">
        <v>3572</v>
      </c>
      <c r="D1" t="s">
        <v>3573</v>
      </c>
      <c r="E1" t="s">
        <v>3574</v>
      </c>
      <c r="F1" t="s">
        <v>3575</v>
      </c>
      <c r="G1" t="s">
        <v>3576</v>
      </c>
      <c r="H1" t="s">
        <v>3570</v>
      </c>
    </row>
    <row r="2" spans="1:8" x14ac:dyDescent="0.15">
      <c r="A2" t="s">
        <v>288</v>
      </c>
      <c r="B2" t="s">
        <v>274</v>
      </c>
      <c r="C2" t="s">
        <v>300</v>
      </c>
      <c r="D2" t="s">
        <v>272</v>
      </c>
      <c r="E2" t="s">
        <v>287</v>
      </c>
      <c r="F2" t="s">
        <v>284</v>
      </c>
      <c r="G2" t="s">
        <v>280</v>
      </c>
      <c r="H2" t="s">
        <v>272</v>
      </c>
    </row>
    <row r="3" spans="1:8" x14ac:dyDescent="0.15">
      <c r="A3" t="s">
        <v>289</v>
      </c>
      <c r="B3" t="s">
        <v>275</v>
      </c>
      <c r="C3" t="s">
        <v>278</v>
      </c>
      <c r="D3" t="s">
        <v>277</v>
      </c>
      <c r="E3" t="s">
        <v>286</v>
      </c>
      <c r="F3" t="s">
        <v>285</v>
      </c>
      <c r="G3" t="s">
        <v>281</v>
      </c>
      <c r="H3" t="s">
        <v>273</v>
      </c>
    </row>
    <row r="4" spans="1:8" x14ac:dyDescent="0.15">
      <c r="A4" t="s">
        <v>290</v>
      </c>
      <c r="B4" t="s">
        <v>276</v>
      </c>
      <c r="C4" t="s">
        <v>279</v>
      </c>
      <c r="D4" t="s">
        <v>299</v>
      </c>
      <c r="E4" t="s">
        <v>291</v>
      </c>
      <c r="F4" t="s">
        <v>283</v>
      </c>
      <c r="G4" t="s">
        <v>282</v>
      </c>
      <c r="H4" t="s">
        <v>301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35FCB-A6FC-4C7A-BA04-4B20885FE310}">
  <sheetPr codeName="Foglio7"/>
  <dimension ref="A1:E25"/>
  <sheetViews>
    <sheetView workbookViewId="0">
      <selection activeCell="E10" sqref="E10"/>
    </sheetView>
  </sheetViews>
  <sheetFormatPr defaultRowHeight="10.5" x14ac:dyDescent="0.15"/>
  <cols>
    <col min="1" max="1" width="19.33203125" bestFit="1" customWidth="1"/>
    <col min="2" max="2" width="27.83203125" bestFit="1" customWidth="1"/>
    <col min="3" max="3" width="26.6640625" bestFit="1" customWidth="1"/>
    <col min="4" max="4" width="39.1640625" bestFit="1" customWidth="1"/>
    <col min="5" max="5" width="39.83203125" bestFit="1" customWidth="1"/>
  </cols>
  <sheetData>
    <row r="1" spans="1:5" ht="15" x14ac:dyDescent="0.25">
      <c r="A1" s="34" t="s">
        <v>144</v>
      </c>
      <c r="B1" s="34" t="s">
        <v>145</v>
      </c>
      <c r="C1" s="34" t="s">
        <v>148</v>
      </c>
      <c r="D1" s="34" t="s">
        <v>147</v>
      </c>
      <c r="E1" s="34" t="s">
        <v>146</v>
      </c>
    </row>
    <row r="2" spans="1:5" ht="15" x14ac:dyDescent="0.25">
      <c r="A2" s="35" t="s">
        <v>151</v>
      </c>
      <c r="B2" s="35" t="s">
        <v>177</v>
      </c>
      <c r="C2" s="35">
        <v>9</v>
      </c>
      <c r="D2" s="35" t="s">
        <v>178</v>
      </c>
      <c r="E2" s="35" t="s">
        <v>152</v>
      </c>
    </row>
    <row r="3" spans="1:5" ht="15" x14ac:dyDescent="0.25">
      <c r="A3" s="35" t="s">
        <v>160</v>
      </c>
      <c r="B3" s="35" t="s">
        <v>174</v>
      </c>
      <c r="C3" s="35">
        <v>20</v>
      </c>
      <c r="D3" s="35" t="s">
        <v>176</v>
      </c>
      <c r="E3" s="35" t="s">
        <v>175</v>
      </c>
    </row>
    <row r="4" spans="1:5" ht="15" x14ac:dyDescent="0.25">
      <c r="A4" s="35" t="s">
        <v>161</v>
      </c>
      <c r="B4" s="35" t="s">
        <v>179</v>
      </c>
      <c r="C4" s="35">
        <v>10</v>
      </c>
      <c r="D4" s="35" t="s">
        <v>181</v>
      </c>
      <c r="E4" s="35" t="s">
        <v>180</v>
      </c>
    </row>
    <row r="5" spans="1:5" ht="15" x14ac:dyDescent="0.25">
      <c r="A5" s="35" t="s">
        <v>163</v>
      </c>
      <c r="B5" s="35" t="s">
        <v>182</v>
      </c>
      <c r="C5" s="35">
        <v>10</v>
      </c>
      <c r="D5" s="35" t="s">
        <v>158</v>
      </c>
      <c r="E5" s="35" t="s">
        <v>183</v>
      </c>
    </row>
    <row r="6" spans="1:5" ht="15" x14ac:dyDescent="0.25">
      <c r="A6" s="35" t="s">
        <v>164</v>
      </c>
      <c r="B6" s="35" t="s">
        <v>162</v>
      </c>
      <c r="C6" s="35">
        <v>130</v>
      </c>
      <c r="D6" s="35" t="s">
        <v>154</v>
      </c>
      <c r="E6" s="35" t="s">
        <v>153</v>
      </c>
    </row>
    <row r="7" spans="1:5" ht="15" x14ac:dyDescent="0.25">
      <c r="A7" s="35" t="s">
        <v>165</v>
      </c>
      <c r="B7" s="35" t="s">
        <v>184</v>
      </c>
      <c r="C7" s="35">
        <v>40</v>
      </c>
      <c r="D7" s="35" t="s">
        <v>159</v>
      </c>
      <c r="E7" s="35" t="s">
        <v>152</v>
      </c>
    </row>
    <row r="8" spans="1:5" ht="15" x14ac:dyDescent="0.25">
      <c r="A8" s="35" t="s">
        <v>169</v>
      </c>
      <c r="B8" s="35" t="s">
        <v>189</v>
      </c>
      <c r="C8" s="35">
        <v>130</v>
      </c>
      <c r="D8" s="35" t="s">
        <v>191</v>
      </c>
      <c r="E8" s="35" t="s">
        <v>190</v>
      </c>
    </row>
    <row r="9" spans="1:5" ht="15" x14ac:dyDescent="0.25">
      <c r="A9" s="35" t="s">
        <v>166</v>
      </c>
      <c r="B9" s="35" t="s">
        <v>185</v>
      </c>
      <c r="C9" s="35">
        <v>10</v>
      </c>
      <c r="D9" s="35" t="s">
        <v>203</v>
      </c>
      <c r="E9" s="35" t="s">
        <v>202</v>
      </c>
    </row>
    <row r="10" spans="1:5" ht="15" x14ac:dyDescent="0.25">
      <c r="A10" s="35" t="s">
        <v>167</v>
      </c>
      <c r="B10" s="35" t="s">
        <v>186</v>
      </c>
      <c r="C10" s="35">
        <v>10</v>
      </c>
      <c r="D10" s="35" t="s">
        <v>188</v>
      </c>
      <c r="E10" s="35" t="s">
        <v>187</v>
      </c>
    </row>
    <row r="11" spans="1:5" ht="15" x14ac:dyDescent="0.25">
      <c r="A11" s="35" t="s">
        <v>168</v>
      </c>
      <c r="B11" s="35" t="s">
        <v>195</v>
      </c>
      <c r="C11" s="35">
        <v>1</v>
      </c>
      <c r="D11" s="35" t="s">
        <v>178</v>
      </c>
      <c r="E11" s="35" t="s">
        <v>196</v>
      </c>
    </row>
    <row r="12" spans="1:5" ht="15" x14ac:dyDescent="0.25">
      <c r="A12" s="35" t="s">
        <v>170</v>
      </c>
      <c r="B12" s="35" t="s">
        <v>197</v>
      </c>
      <c r="C12" s="35">
        <v>1</v>
      </c>
      <c r="D12" s="35" t="s">
        <v>199</v>
      </c>
      <c r="E12" s="35" t="s">
        <v>198</v>
      </c>
    </row>
    <row r="13" spans="1:5" ht="15" x14ac:dyDescent="0.25">
      <c r="A13" s="35" t="s">
        <v>171</v>
      </c>
      <c r="B13" s="35" t="s">
        <v>200</v>
      </c>
      <c r="C13" s="35">
        <v>8</v>
      </c>
      <c r="D13" s="35" t="s">
        <v>201</v>
      </c>
      <c r="E13" s="35" t="s">
        <v>152</v>
      </c>
    </row>
    <row r="14" spans="1:5" ht="15" x14ac:dyDescent="0.25">
      <c r="A14" s="35" t="s">
        <v>172</v>
      </c>
      <c r="B14" s="35" t="s">
        <v>155</v>
      </c>
      <c r="C14" s="35">
        <v>210</v>
      </c>
      <c r="D14" s="35" t="s">
        <v>157</v>
      </c>
      <c r="E14" s="35" t="s">
        <v>156</v>
      </c>
    </row>
    <row r="15" spans="1:5" ht="15" x14ac:dyDescent="0.25">
      <c r="A15" s="35" t="s">
        <v>173</v>
      </c>
      <c r="B15" s="35" t="s">
        <v>192</v>
      </c>
      <c r="C15" s="35">
        <v>40</v>
      </c>
      <c r="D15" s="35" t="s">
        <v>194</v>
      </c>
      <c r="E15" s="35" t="s">
        <v>193</v>
      </c>
    </row>
    <row r="16" spans="1:5" ht="15" x14ac:dyDescent="0.25">
      <c r="A16" s="34"/>
      <c r="B16" s="34"/>
      <c r="C16" s="34"/>
      <c r="D16" s="34"/>
      <c r="E16" s="34"/>
    </row>
    <row r="17" spans="1:5" ht="15" x14ac:dyDescent="0.25">
      <c r="A17" s="34"/>
      <c r="B17" s="34"/>
      <c r="C17" s="34"/>
      <c r="D17" s="34"/>
      <c r="E17" s="34"/>
    </row>
    <row r="18" spans="1:5" ht="15" x14ac:dyDescent="0.25">
      <c r="A18" s="34"/>
      <c r="B18" s="34"/>
      <c r="C18" s="34"/>
      <c r="D18" s="34"/>
      <c r="E18" s="34"/>
    </row>
    <row r="19" spans="1:5" ht="15" x14ac:dyDescent="0.25">
      <c r="A19" s="34"/>
      <c r="B19" s="34"/>
      <c r="C19" s="34"/>
      <c r="E19" s="34"/>
    </row>
    <row r="20" spans="1:5" ht="15" x14ac:dyDescent="0.25">
      <c r="A20" s="34"/>
      <c r="B20" s="34"/>
      <c r="C20" s="34"/>
      <c r="E20" s="34"/>
    </row>
    <row r="21" spans="1:5" ht="15" x14ac:dyDescent="0.25">
      <c r="A21" s="34"/>
      <c r="B21" s="34"/>
      <c r="C21" s="34"/>
      <c r="E21" s="34"/>
    </row>
    <row r="22" spans="1:5" ht="15" x14ac:dyDescent="0.25">
      <c r="A22" s="34"/>
      <c r="B22" s="34"/>
      <c r="C22" s="34"/>
      <c r="E22" s="34"/>
    </row>
    <row r="23" spans="1:5" ht="15" x14ac:dyDescent="0.25">
      <c r="A23" s="34"/>
      <c r="B23" s="34"/>
      <c r="C23" s="34"/>
      <c r="D23" s="34"/>
      <c r="E23" s="34"/>
    </row>
    <row r="24" spans="1:5" ht="15" x14ac:dyDescent="0.25">
      <c r="A24" s="34"/>
      <c r="B24" s="34"/>
      <c r="C24" s="34"/>
      <c r="D24" s="34"/>
      <c r="E24" s="34"/>
    </row>
    <row r="25" spans="1:5" ht="15" x14ac:dyDescent="0.25">
      <c r="A25" s="34"/>
      <c r="B25" s="34"/>
      <c r="C25" s="34"/>
      <c r="D25" s="34"/>
      <c r="E25" s="3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dimension ref="A1:CY500"/>
  <sheetViews>
    <sheetView zoomScaleNormal="100" zoomScaleSheetLayoutView="30" workbookViewId="0">
      <selection activeCell="B14" sqref="B14"/>
    </sheetView>
  </sheetViews>
  <sheetFormatPr defaultRowHeight="15" customHeight="1" x14ac:dyDescent="0.15"/>
  <cols>
    <col min="1" max="23" width="18.83203125" style="2" customWidth="1"/>
    <col min="24" max="30" width="26.83203125" style="2" customWidth="1"/>
    <col min="31" max="66" width="18.83203125" style="2" customWidth="1"/>
    <col min="67" max="16384" width="9.33203125" style="2"/>
  </cols>
  <sheetData>
    <row r="1" spans="1:103" ht="15" customHeight="1" x14ac:dyDescent="0.15">
      <c r="A1" s="18"/>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3" t="s">
        <v>97</v>
      </c>
      <c r="AO1" s="16" t="s">
        <v>130</v>
      </c>
      <c r="AP1" s="4"/>
      <c r="AQ1" s="4"/>
      <c r="AR1" s="4"/>
      <c r="AS1" s="4"/>
    </row>
    <row r="2" spans="1:103" ht="15" customHeight="1" x14ac:dyDescent="0.15">
      <c r="A2" s="20"/>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row>
    <row r="3" spans="1:103" ht="15" customHeight="1" x14ac:dyDescent="0.15">
      <c r="A3" s="19"/>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row>
    <row r="4" spans="1:103" ht="15" customHeight="1" x14ac:dyDescent="0.15">
      <c r="A4" s="21"/>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row>
    <row r="5" spans="1:103" ht="15" customHeight="1" x14ac:dyDescent="0.15">
      <c r="A5" s="21"/>
      <c r="B5" s="19"/>
      <c r="C5" s="22"/>
      <c r="D5" s="22"/>
      <c r="E5" s="19"/>
      <c r="F5" s="19"/>
      <c r="G5" s="19"/>
      <c r="H5" s="19"/>
      <c r="I5" s="19"/>
      <c r="J5" s="19"/>
      <c r="K5" s="19"/>
      <c r="L5" s="19"/>
      <c r="M5" s="19"/>
      <c r="N5" s="19"/>
      <c r="O5" s="19"/>
      <c r="P5" s="22"/>
      <c r="Q5" s="22"/>
      <c r="R5" s="22"/>
      <c r="S5" s="22"/>
      <c r="T5" s="22"/>
      <c r="U5" s="22"/>
      <c r="V5" s="22"/>
      <c r="W5" s="22"/>
      <c r="X5" s="19"/>
      <c r="Y5" s="19"/>
      <c r="Z5" s="19"/>
      <c r="AA5" s="19"/>
      <c r="AB5" s="19"/>
      <c r="AC5" s="19"/>
      <c r="AD5" s="19"/>
      <c r="AE5" s="19"/>
      <c r="AF5" s="19"/>
      <c r="AG5" s="19"/>
      <c r="AH5" s="19"/>
      <c r="AI5" s="19"/>
      <c r="AJ5" s="19"/>
      <c r="AK5" s="19"/>
      <c r="AL5" s="19"/>
      <c r="AM5" s="19"/>
      <c r="AW5" s="2" t="s">
        <v>22</v>
      </c>
      <c r="BB5" s="2" t="s">
        <v>33</v>
      </c>
      <c r="BH5" s="2" t="s">
        <v>68</v>
      </c>
      <c r="BI5" s="2" t="s">
        <v>55</v>
      </c>
      <c r="BK5" s="2" t="s">
        <v>95</v>
      </c>
      <c r="BN5" s="6">
        <v>1</v>
      </c>
      <c r="BO5" s="6">
        <v>2</v>
      </c>
      <c r="BP5" s="6">
        <v>3</v>
      </c>
      <c r="BQ5" s="6">
        <v>4</v>
      </c>
      <c r="BR5" s="6">
        <v>5</v>
      </c>
      <c r="BS5" s="6">
        <v>6</v>
      </c>
      <c r="BT5" s="6">
        <v>7</v>
      </c>
      <c r="BU5" s="6">
        <v>8</v>
      </c>
      <c r="BV5" s="6">
        <v>9</v>
      </c>
      <c r="BW5" s="6">
        <v>10</v>
      </c>
      <c r="BX5" s="6">
        <v>11</v>
      </c>
      <c r="BY5" s="6">
        <v>12</v>
      </c>
      <c r="BZ5" s="6">
        <v>13</v>
      </c>
      <c r="CA5" s="6">
        <v>14</v>
      </c>
      <c r="CB5" s="6">
        <v>15</v>
      </c>
      <c r="CC5" s="6">
        <v>16</v>
      </c>
      <c r="CD5" s="6">
        <v>17</v>
      </c>
      <c r="CE5" s="6">
        <v>18</v>
      </c>
      <c r="CF5" s="6">
        <v>19</v>
      </c>
      <c r="CG5" s="6">
        <v>20</v>
      </c>
      <c r="CH5" s="6">
        <v>21</v>
      </c>
      <c r="CI5" s="6">
        <v>22</v>
      </c>
      <c r="CJ5" s="6">
        <v>23</v>
      </c>
      <c r="CK5" s="6">
        <v>24</v>
      </c>
      <c r="CL5" s="6">
        <v>25</v>
      </c>
      <c r="CM5" s="6">
        <v>26</v>
      </c>
      <c r="CN5" s="6">
        <v>27</v>
      </c>
      <c r="CO5" s="6">
        <v>28</v>
      </c>
      <c r="CP5" s="6">
        <v>29</v>
      </c>
      <c r="CQ5" s="6">
        <v>30</v>
      </c>
      <c r="CR5" s="6">
        <v>31</v>
      </c>
      <c r="CS5" s="6">
        <v>32</v>
      </c>
      <c r="CT5" s="6">
        <v>33</v>
      </c>
      <c r="CU5" s="6">
        <v>34</v>
      </c>
      <c r="CV5" s="6">
        <v>35</v>
      </c>
      <c r="CW5" s="6">
        <v>36</v>
      </c>
      <c r="CX5" s="6">
        <v>37</v>
      </c>
      <c r="CY5" s="6">
        <v>38</v>
      </c>
    </row>
    <row r="6" spans="1:103" ht="15" customHeight="1" x14ac:dyDescent="0.15">
      <c r="A6" s="21"/>
      <c r="B6" s="19"/>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BH6" s="10" t="s">
        <v>103</v>
      </c>
      <c r="BI6" s="10" t="s">
        <v>104</v>
      </c>
      <c r="BK6" s="10" t="s">
        <v>105</v>
      </c>
      <c r="BO6" s="258" t="s">
        <v>111</v>
      </c>
      <c r="BP6" s="258"/>
      <c r="BQ6" s="258"/>
      <c r="BR6" s="258"/>
      <c r="BS6" s="259" t="s">
        <v>112</v>
      </c>
      <c r="BT6" s="259"/>
      <c r="BU6" s="259"/>
      <c r="BV6" s="259"/>
      <c r="BW6" s="258" t="s">
        <v>113</v>
      </c>
      <c r="BX6" s="258"/>
      <c r="BY6" s="258"/>
      <c r="BZ6" s="258"/>
      <c r="CA6" s="259" t="s">
        <v>114</v>
      </c>
      <c r="CB6" s="259"/>
      <c r="CC6" s="259"/>
      <c r="CD6" s="259"/>
      <c r="CE6" s="258" t="s">
        <v>116</v>
      </c>
      <c r="CF6" s="258"/>
      <c r="CG6" s="258"/>
      <c r="CH6" s="258"/>
      <c r="CI6" s="259" t="s">
        <v>117</v>
      </c>
      <c r="CJ6" s="259"/>
      <c r="CK6" s="259"/>
      <c r="CL6" s="259"/>
      <c r="CM6" s="258" t="s">
        <v>118</v>
      </c>
      <c r="CN6" s="258"/>
      <c r="CO6" s="258"/>
      <c r="CP6" s="258"/>
      <c r="CQ6" s="259" t="s">
        <v>119</v>
      </c>
      <c r="CR6" s="259"/>
      <c r="CS6" s="259"/>
      <c r="CT6" s="259"/>
      <c r="CU6" s="258" t="s">
        <v>140</v>
      </c>
      <c r="CV6" s="258"/>
      <c r="CW6" s="258"/>
      <c r="CX6" s="258"/>
      <c r="CY6" s="7"/>
    </row>
    <row r="7" spans="1:103" ht="15" customHeight="1" x14ac:dyDescent="0.15">
      <c r="A7" s="19"/>
      <c r="B7" s="19"/>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W7" s="1" t="s">
        <v>3</v>
      </c>
      <c r="AX7" s="1" t="s">
        <v>98</v>
      </c>
      <c r="AY7" s="1" t="s">
        <v>132</v>
      </c>
      <c r="AZ7" s="1"/>
      <c r="BB7" s="1" t="s">
        <v>34</v>
      </c>
      <c r="BC7" s="1" t="s">
        <v>70</v>
      </c>
      <c r="BD7" s="1" t="s">
        <v>79</v>
      </c>
      <c r="BE7" s="1" t="s">
        <v>80</v>
      </c>
      <c r="BF7" s="1" t="s">
        <v>137</v>
      </c>
      <c r="BN7" s="5" t="s">
        <v>0</v>
      </c>
      <c r="BO7" s="12" t="s">
        <v>90</v>
      </c>
      <c r="BP7" s="12" t="s">
        <v>88</v>
      </c>
      <c r="BQ7" s="12" t="s">
        <v>89</v>
      </c>
      <c r="BR7" s="12" t="s">
        <v>106</v>
      </c>
      <c r="BS7" s="14" t="s">
        <v>90</v>
      </c>
      <c r="BT7" s="14" t="s">
        <v>88</v>
      </c>
      <c r="BU7" s="14" t="s">
        <v>89</v>
      </c>
      <c r="BV7" s="14" t="s">
        <v>106</v>
      </c>
      <c r="BW7" s="12" t="s">
        <v>90</v>
      </c>
      <c r="BX7" s="12" t="s">
        <v>88</v>
      </c>
      <c r="BY7" s="12" t="s">
        <v>89</v>
      </c>
      <c r="BZ7" s="12" t="s">
        <v>106</v>
      </c>
      <c r="CA7" s="14" t="s">
        <v>90</v>
      </c>
      <c r="CB7" s="14" t="s">
        <v>88</v>
      </c>
      <c r="CC7" s="14" t="s">
        <v>89</v>
      </c>
      <c r="CD7" s="14" t="s">
        <v>106</v>
      </c>
      <c r="CE7" s="12" t="s">
        <v>90</v>
      </c>
      <c r="CF7" s="12" t="s">
        <v>88</v>
      </c>
      <c r="CG7" s="12" t="s">
        <v>89</v>
      </c>
      <c r="CH7" s="12" t="s">
        <v>106</v>
      </c>
      <c r="CI7" s="14" t="s">
        <v>90</v>
      </c>
      <c r="CJ7" s="14" t="s">
        <v>88</v>
      </c>
      <c r="CK7" s="14" t="s">
        <v>89</v>
      </c>
      <c r="CL7" s="14" t="s">
        <v>106</v>
      </c>
      <c r="CM7" s="12" t="s">
        <v>90</v>
      </c>
      <c r="CN7" s="12" t="s">
        <v>88</v>
      </c>
      <c r="CO7" s="12" t="s">
        <v>89</v>
      </c>
      <c r="CP7" s="12" t="s">
        <v>106</v>
      </c>
      <c r="CQ7" s="14" t="s">
        <v>90</v>
      </c>
      <c r="CR7" s="14" t="s">
        <v>88</v>
      </c>
      <c r="CS7" s="14" t="s">
        <v>89</v>
      </c>
      <c r="CT7" s="14" t="s">
        <v>106</v>
      </c>
      <c r="CU7" s="12" t="s">
        <v>90</v>
      </c>
      <c r="CV7" s="12" t="s">
        <v>88</v>
      </c>
      <c r="CW7" s="12" t="s">
        <v>89</v>
      </c>
      <c r="CX7" s="12" t="s">
        <v>106</v>
      </c>
      <c r="CY7" s="7"/>
    </row>
    <row r="8" spans="1:103" ht="15" customHeight="1" x14ac:dyDescent="0.15">
      <c r="A8" s="21"/>
      <c r="B8" s="19"/>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7" t="s">
        <v>2</v>
      </c>
      <c r="AV8" s="10" t="s">
        <v>99</v>
      </c>
      <c r="AW8" s="2" t="s">
        <v>23</v>
      </c>
      <c r="AX8" s="1" t="s">
        <v>10</v>
      </c>
      <c r="AY8" s="1" t="s">
        <v>96</v>
      </c>
      <c r="AZ8" s="1"/>
      <c r="BA8" s="10" t="s">
        <v>102</v>
      </c>
      <c r="BB8" s="1" t="s">
        <v>35</v>
      </c>
      <c r="BC8" s="1" t="s">
        <v>36</v>
      </c>
      <c r="BD8" s="1" t="s">
        <v>71</v>
      </c>
      <c r="BE8" s="1" t="s">
        <v>4</v>
      </c>
      <c r="BF8" s="1"/>
      <c r="BH8" s="2" t="s">
        <v>56</v>
      </c>
      <c r="BI8" s="2" t="s">
        <v>57</v>
      </c>
      <c r="BK8" s="1">
        <v>0.12</v>
      </c>
      <c r="BN8" s="2" t="s">
        <v>11</v>
      </c>
      <c r="BO8" s="13">
        <v>4</v>
      </c>
      <c r="BP8" s="13">
        <v>6</v>
      </c>
      <c r="BQ8" s="13">
        <v>8</v>
      </c>
      <c r="BR8" s="13" t="s">
        <v>109</v>
      </c>
      <c r="BS8" s="15">
        <v>4</v>
      </c>
      <c r="BT8" s="15">
        <v>6</v>
      </c>
      <c r="BU8" s="15">
        <v>8</v>
      </c>
      <c r="BV8" s="15" t="s">
        <v>109</v>
      </c>
      <c r="BW8" s="13">
        <v>4</v>
      </c>
      <c r="BX8" s="13">
        <v>8</v>
      </c>
      <c r="BY8" s="13">
        <v>12</v>
      </c>
      <c r="BZ8" s="13" t="s">
        <v>109</v>
      </c>
      <c r="CA8" s="15">
        <v>4</v>
      </c>
      <c r="CB8" s="15">
        <v>8</v>
      </c>
      <c r="CC8" s="15">
        <v>12</v>
      </c>
      <c r="CD8" s="15" t="s">
        <v>93</v>
      </c>
      <c r="CE8" s="13">
        <v>4</v>
      </c>
      <c r="CF8" s="13">
        <v>8</v>
      </c>
      <c r="CG8" s="13">
        <v>12</v>
      </c>
      <c r="CH8" s="13" t="s">
        <v>93</v>
      </c>
      <c r="CI8" s="15">
        <v>4</v>
      </c>
      <c r="CJ8" s="15">
        <v>6</v>
      </c>
      <c r="CK8" s="15">
        <v>8</v>
      </c>
      <c r="CL8" s="15" t="s">
        <v>93</v>
      </c>
      <c r="CM8" s="13">
        <v>4</v>
      </c>
      <c r="CN8" s="13">
        <v>6</v>
      </c>
      <c r="CO8" s="13">
        <v>8</v>
      </c>
      <c r="CP8" s="13" t="s">
        <v>109</v>
      </c>
      <c r="CQ8" s="15">
        <v>4</v>
      </c>
      <c r="CR8" s="15">
        <v>6</v>
      </c>
      <c r="CS8" s="15">
        <v>8</v>
      </c>
      <c r="CT8" s="15" t="s">
        <v>120</v>
      </c>
      <c r="CU8" s="13">
        <v>4</v>
      </c>
      <c r="CV8" s="13">
        <v>8</v>
      </c>
      <c r="CW8" s="13">
        <v>12</v>
      </c>
      <c r="CX8" s="13" t="s">
        <v>93</v>
      </c>
      <c r="CY8" s="7"/>
    </row>
    <row r="9" spans="1:103" ht="15" customHeight="1" x14ac:dyDescent="0.15">
      <c r="A9" s="21"/>
      <c r="B9" s="19"/>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7" t="s">
        <v>2</v>
      </c>
      <c r="AV9" s="10" t="s">
        <v>100</v>
      </c>
      <c r="AW9" s="2" t="s">
        <v>24</v>
      </c>
      <c r="AX9" s="1" t="s">
        <v>96</v>
      </c>
      <c r="AY9" s="1" t="s">
        <v>10</v>
      </c>
      <c r="AZ9" s="1"/>
      <c r="BA9" s="10" t="s">
        <v>101</v>
      </c>
      <c r="BB9" s="1" t="s">
        <v>37</v>
      </c>
      <c r="BC9" s="1" t="s">
        <v>38</v>
      </c>
      <c r="BD9" s="1" t="s">
        <v>72</v>
      </c>
      <c r="BE9" s="1" t="s">
        <v>5</v>
      </c>
      <c r="BF9" s="1"/>
      <c r="BH9" s="2" t="s">
        <v>58</v>
      </c>
      <c r="BI9" s="2" t="s">
        <v>59</v>
      </c>
      <c r="BK9" s="1">
        <v>0.18</v>
      </c>
      <c r="BN9" s="2" t="s">
        <v>12</v>
      </c>
      <c r="BO9" s="13">
        <v>4</v>
      </c>
      <c r="BP9" s="13">
        <v>6</v>
      </c>
      <c r="BQ9" s="13">
        <v>8</v>
      </c>
      <c r="BR9" s="13" t="s">
        <v>91</v>
      </c>
      <c r="BS9" s="15">
        <v>4</v>
      </c>
      <c r="BT9" s="15">
        <v>6</v>
      </c>
      <c r="BU9" s="15">
        <v>8</v>
      </c>
      <c r="BV9" s="15" t="s">
        <v>91</v>
      </c>
      <c r="BW9" s="13">
        <v>4</v>
      </c>
      <c r="BX9" s="13">
        <v>8</v>
      </c>
      <c r="BY9" s="13">
        <v>12</v>
      </c>
      <c r="BZ9" s="13" t="s">
        <v>91</v>
      </c>
      <c r="CA9" s="15">
        <v>4</v>
      </c>
      <c r="CB9" s="15">
        <v>8</v>
      </c>
      <c r="CC9" s="15">
        <v>12</v>
      </c>
      <c r="CD9" s="15" t="s">
        <v>94</v>
      </c>
      <c r="CE9" s="13">
        <v>4</v>
      </c>
      <c r="CF9" s="13">
        <v>8</v>
      </c>
      <c r="CG9" s="13">
        <v>12</v>
      </c>
      <c r="CH9" s="13" t="s">
        <v>94</v>
      </c>
      <c r="CI9" s="15">
        <v>4</v>
      </c>
      <c r="CJ9" s="15">
        <v>6</v>
      </c>
      <c r="CK9" s="15">
        <v>8</v>
      </c>
      <c r="CL9" s="15" t="s">
        <v>94</v>
      </c>
      <c r="CM9" s="13">
        <v>4</v>
      </c>
      <c r="CN9" s="13">
        <v>6</v>
      </c>
      <c r="CO9" s="13">
        <v>8</v>
      </c>
      <c r="CP9" s="13" t="s">
        <v>91</v>
      </c>
      <c r="CQ9" s="15">
        <v>4</v>
      </c>
      <c r="CR9" s="15">
        <v>6</v>
      </c>
      <c r="CS9" s="15">
        <v>8</v>
      </c>
      <c r="CT9" s="15" t="s">
        <v>121</v>
      </c>
      <c r="CU9" s="13">
        <v>4</v>
      </c>
      <c r="CV9" s="13">
        <v>8</v>
      </c>
      <c r="CW9" s="13">
        <v>12</v>
      </c>
      <c r="CX9" s="13" t="s">
        <v>94</v>
      </c>
      <c r="CY9" s="7"/>
    </row>
    <row r="10" spans="1:103" ht="15" customHeight="1" x14ac:dyDescent="0.15">
      <c r="A10" s="21"/>
      <c r="B10" s="19"/>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7" t="s">
        <v>2</v>
      </c>
      <c r="AW10" s="2" t="s">
        <v>25</v>
      </c>
      <c r="AX10" s="1" t="s">
        <v>10</v>
      </c>
      <c r="AY10" s="1" t="s">
        <v>10</v>
      </c>
      <c r="AZ10" s="1"/>
      <c r="BB10" s="1" t="s">
        <v>39</v>
      </c>
      <c r="BC10" s="1" t="s">
        <v>40</v>
      </c>
      <c r="BD10" s="1" t="s">
        <v>73</v>
      </c>
      <c r="BE10" s="1" t="s">
        <v>6</v>
      </c>
      <c r="BF10" s="1"/>
      <c r="BH10" s="2" t="s">
        <v>60</v>
      </c>
      <c r="BI10" s="2" t="s">
        <v>61</v>
      </c>
      <c r="BK10" s="1">
        <v>0.25</v>
      </c>
      <c r="BN10" s="2" t="s">
        <v>13</v>
      </c>
      <c r="BO10" s="13">
        <v>4</v>
      </c>
      <c r="BP10" s="13">
        <v>6</v>
      </c>
      <c r="BQ10" s="13">
        <v>8</v>
      </c>
      <c r="BR10" s="13" t="s">
        <v>91</v>
      </c>
      <c r="BS10" s="15">
        <v>4</v>
      </c>
      <c r="BT10" s="15">
        <v>6</v>
      </c>
      <c r="BU10" s="15">
        <v>8</v>
      </c>
      <c r="BV10" s="15" t="s">
        <v>91</v>
      </c>
      <c r="BW10" s="13">
        <v>4</v>
      </c>
      <c r="BX10" s="13">
        <v>8</v>
      </c>
      <c r="BY10" s="13">
        <v>12</v>
      </c>
      <c r="BZ10" s="13" t="s">
        <v>91</v>
      </c>
      <c r="CA10" s="15">
        <v>4</v>
      </c>
      <c r="CB10" s="15">
        <v>8</v>
      </c>
      <c r="CC10" s="15">
        <v>12</v>
      </c>
      <c r="CD10" s="15" t="s">
        <v>94</v>
      </c>
      <c r="CE10" s="13">
        <v>4</v>
      </c>
      <c r="CF10" s="13">
        <v>8</v>
      </c>
      <c r="CG10" s="13">
        <v>12</v>
      </c>
      <c r="CH10" s="13" t="s">
        <v>94</v>
      </c>
      <c r="CI10" s="15">
        <v>4</v>
      </c>
      <c r="CJ10" s="15">
        <v>6</v>
      </c>
      <c r="CK10" s="15">
        <v>8</v>
      </c>
      <c r="CL10" s="15" t="s">
        <v>94</v>
      </c>
      <c r="CM10" s="13">
        <v>4</v>
      </c>
      <c r="CN10" s="13">
        <v>6</v>
      </c>
      <c r="CO10" s="13">
        <v>8</v>
      </c>
      <c r="CP10" s="13" t="s">
        <v>91</v>
      </c>
      <c r="CQ10" s="15">
        <v>4</v>
      </c>
      <c r="CR10" s="15">
        <v>6</v>
      </c>
      <c r="CS10" s="15">
        <v>8</v>
      </c>
      <c r="CT10" s="15" t="s">
        <v>121</v>
      </c>
      <c r="CU10" s="13">
        <v>4</v>
      </c>
      <c r="CV10" s="13">
        <v>8</v>
      </c>
      <c r="CW10" s="13">
        <v>12</v>
      </c>
      <c r="CX10" s="13" t="s">
        <v>94</v>
      </c>
      <c r="CY10" s="7"/>
    </row>
    <row r="11" spans="1:103" ht="15" customHeight="1" x14ac:dyDescent="0.15">
      <c r="A11" s="21"/>
      <c r="B11" s="19"/>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7" t="s">
        <v>2</v>
      </c>
      <c r="AW11" s="2" t="s">
        <v>26</v>
      </c>
      <c r="AX11" s="1" t="s">
        <v>96</v>
      </c>
      <c r="AY11" s="1" t="s">
        <v>10</v>
      </c>
      <c r="AZ11" s="1"/>
      <c r="BB11" s="1" t="s">
        <v>41</v>
      </c>
      <c r="BC11" s="1" t="s">
        <v>42</v>
      </c>
      <c r="BD11" s="1" t="s">
        <v>74</v>
      </c>
      <c r="BE11" s="1" t="s">
        <v>7</v>
      </c>
      <c r="BF11" s="1"/>
      <c r="BH11" s="2" t="s">
        <v>62</v>
      </c>
      <c r="BI11" s="2" t="s">
        <v>63</v>
      </c>
      <c r="BK11" s="1">
        <v>0.37</v>
      </c>
      <c r="BN11" s="5" t="s">
        <v>14</v>
      </c>
      <c r="BO11" s="12">
        <v>4</v>
      </c>
      <c r="BP11" s="12">
        <v>6</v>
      </c>
      <c r="BQ11" s="12">
        <v>8</v>
      </c>
      <c r="BR11" s="12" t="s">
        <v>91</v>
      </c>
      <c r="BS11" s="14">
        <v>4</v>
      </c>
      <c r="BT11" s="14">
        <v>6</v>
      </c>
      <c r="BU11" s="14">
        <v>8</v>
      </c>
      <c r="BV11" s="14" t="s">
        <v>91</v>
      </c>
      <c r="BW11" s="12">
        <v>4</v>
      </c>
      <c r="BX11" s="12">
        <v>8</v>
      </c>
      <c r="BY11" s="12">
        <v>12</v>
      </c>
      <c r="BZ11" s="12" t="s">
        <v>91</v>
      </c>
      <c r="CA11" s="14">
        <v>4</v>
      </c>
      <c r="CB11" s="14">
        <v>8</v>
      </c>
      <c r="CC11" s="14">
        <v>12</v>
      </c>
      <c r="CD11" s="14" t="s">
        <v>94</v>
      </c>
      <c r="CE11" s="12">
        <v>4</v>
      </c>
      <c r="CF11" s="12">
        <v>8</v>
      </c>
      <c r="CG11" s="12">
        <v>12</v>
      </c>
      <c r="CH11" s="12" t="s">
        <v>94</v>
      </c>
      <c r="CI11" s="14">
        <v>4</v>
      </c>
      <c r="CJ11" s="14">
        <v>6</v>
      </c>
      <c r="CK11" s="14">
        <v>8</v>
      </c>
      <c r="CL11" s="14" t="s">
        <v>94</v>
      </c>
      <c r="CM11" s="12">
        <v>4</v>
      </c>
      <c r="CN11" s="12">
        <v>6</v>
      </c>
      <c r="CO11" s="12">
        <v>8</v>
      </c>
      <c r="CP11" s="12" t="s">
        <v>91</v>
      </c>
      <c r="CQ11" s="14">
        <v>4</v>
      </c>
      <c r="CR11" s="14">
        <v>6</v>
      </c>
      <c r="CS11" s="14">
        <v>8</v>
      </c>
      <c r="CT11" s="14" t="s">
        <v>121</v>
      </c>
      <c r="CU11" s="12">
        <v>4</v>
      </c>
      <c r="CV11" s="12">
        <v>8</v>
      </c>
      <c r="CW11" s="12">
        <v>12</v>
      </c>
      <c r="CX11" s="12" t="s">
        <v>94</v>
      </c>
      <c r="CY11" s="7"/>
    </row>
    <row r="12" spans="1:103" ht="15" customHeight="1" x14ac:dyDescent="0.15">
      <c r="A12" s="21"/>
      <c r="B12" s="19"/>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7" t="s">
        <v>2</v>
      </c>
      <c r="AW12" s="2" t="s">
        <v>27</v>
      </c>
      <c r="AX12" s="1" t="s">
        <v>10</v>
      </c>
      <c r="AY12" s="1" t="s">
        <v>10</v>
      </c>
      <c r="AZ12" s="1"/>
      <c r="BB12" s="1" t="s">
        <v>43</v>
      </c>
      <c r="BC12" s="1" t="s">
        <v>44</v>
      </c>
      <c r="BD12" s="1" t="s">
        <v>75</v>
      </c>
      <c r="BE12" s="1" t="s">
        <v>8</v>
      </c>
      <c r="BF12" s="1"/>
      <c r="BH12" s="7" t="s">
        <v>2</v>
      </c>
      <c r="BI12" s="2" t="s">
        <v>64</v>
      </c>
      <c r="BK12" s="1">
        <v>0.55000000000000004</v>
      </c>
      <c r="BN12" s="2" t="s">
        <v>15</v>
      </c>
      <c r="BO12" s="13">
        <v>4</v>
      </c>
      <c r="BP12" s="13">
        <v>6</v>
      </c>
      <c r="BQ12" s="13">
        <v>8</v>
      </c>
      <c r="BR12" s="13" t="s">
        <v>91</v>
      </c>
      <c r="BS12" s="15">
        <v>4</v>
      </c>
      <c r="BT12" s="15">
        <v>6</v>
      </c>
      <c r="BU12" s="15">
        <v>8</v>
      </c>
      <c r="BV12" s="15" t="s">
        <v>91</v>
      </c>
      <c r="BW12" s="13">
        <v>4</v>
      </c>
      <c r="BX12" s="13">
        <v>8</v>
      </c>
      <c r="BY12" s="13">
        <v>12</v>
      </c>
      <c r="BZ12" s="13" t="s">
        <v>91</v>
      </c>
      <c r="CA12" s="15">
        <v>4</v>
      </c>
      <c r="CB12" s="15">
        <v>8</v>
      </c>
      <c r="CC12" s="15">
        <v>12</v>
      </c>
      <c r="CD12" s="15" t="s">
        <v>94</v>
      </c>
      <c r="CE12" s="13">
        <v>4</v>
      </c>
      <c r="CF12" s="13">
        <v>8</v>
      </c>
      <c r="CG12" s="13">
        <v>12</v>
      </c>
      <c r="CH12" s="13" t="s">
        <v>94</v>
      </c>
      <c r="CI12" s="15">
        <v>4</v>
      </c>
      <c r="CJ12" s="15">
        <v>6</v>
      </c>
      <c r="CK12" s="15">
        <v>8</v>
      </c>
      <c r="CL12" s="15" t="s">
        <v>94</v>
      </c>
      <c r="CM12" s="13">
        <v>4</v>
      </c>
      <c r="CN12" s="13">
        <v>6</v>
      </c>
      <c r="CO12" s="13">
        <v>8</v>
      </c>
      <c r="CP12" s="13" t="s">
        <v>91</v>
      </c>
      <c r="CQ12" s="15">
        <v>4</v>
      </c>
      <c r="CR12" s="15">
        <v>6</v>
      </c>
      <c r="CS12" s="15">
        <v>8</v>
      </c>
      <c r="CT12" s="15" t="s">
        <v>121</v>
      </c>
      <c r="CU12" s="13">
        <v>4</v>
      </c>
      <c r="CV12" s="13">
        <v>8</v>
      </c>
      <c r="CW12" s="13">
        <v>12</v>
      </c>
      <c r="CX12" s="13" t="s">
        <v>94</v>
      </c>
      <c r="CY12" s="7"/>
    </row>
    <row r="13" spans="1:103" ht="15" customHeight="1" x14ac:dyDescent="0.15">
      <c r="A13" s="21"/>
      <c r="B13" s="19"/>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7" t="s">
        <v>2</v>
      </c>
      <c r="AW13" s="2" t="s">
        <v>28</v>
      </c>
      <c r="AX13" s="1" t="s">
        <v>10</v>
      </c>
      <c r="AY13" s="1" t="s">
        <v>10</v>
      </c>
      <c r="AZ13" s="1"/>
      <c r="BB13" s="1" t="s">
        <v>45</v>
      </c>
      <c r="BC13" s="1" t="s">
        <v>46</v>
      </c>
      <c r="BD13" s="1" t="s">
        <v>76</v>
      </c>
      <c r="BE13" s="1" t="s">
        <v>9</v>
      </c>
      <c r="BF13" s="1"/>
      <c r="BI13" s="2" t="s">
        <v>65</v>
      </c>
      <c r="BK13" s="1">
        <v>0.75</v>
      </c>
      <c r="BN13" s="2" t="s">
        <v>16</v>
      </c>
      <c r="BO13" s="13">
        <v>4</v>
      </c>
      <c r="BP13" s="13">
        <v>6</v>
      </c>
      <c r="BQ13" s="13">
        <v>8</v>
      </c>
      <c r="BR13" s="13" t="s">
        <v>91</v>
      </c>
      <c r="BS13" s="15">
        <v>4</v>
      </c>
      <c r="BT13" s="15">
        <v>6</v>
      </c>
      <c r="BU13" s="15">
        <v>8</v>
      </c>
      <c r="BV13" s="15" t="s">
        <v>91</v>
      </c>
      <c r="BW13" s="13">
        <v>4</v>
      </c>
      <c r="BX13" s="13">
        <v>8</v>
      </c>
      <c r="BY13" s="13">
        <v>12</v>
      </c>
      <c r="BZ13" s="13" t="s">
        <v>91</v>
      </c>
      <c r="CA13" s="15">
        <v>4</v>
      </c>
      <c r="CB13" s="15">
        <v>8</v>
      </c>
      <c r="CC13" s="15">
        <v>12</v>
      </c>
      <c r="CD13" s="15" t="s">
        <v>94</v>
      </c>
      <c r="CE13" s="13">
        <v>4</v>
      </c>
      <c r="CF13" s="13">
        <v>8</v>
      </c>
      <c r="CG13" s="13">
        <v>12</v>
      </c>
      <c r="CH13" s="13" t="s">
        <v>94</v>
      </c>
      <c r="CI13" s="15">
        <v>4</v>
      </c>
      <c r="CJ13" s="15">
        <v>6</v>
      </c>
      <c r="CK13" s="15">
        <v>8</v>
      </c>
      <c r="CL13" s="15" t="s">
        <v>94</v>
      </c>
      <c r="CM13" s="13">
        <v>4</v>
      </c>
      <c r="CN13" s="13">
        <v>6</v>
      </c>
      <c r="CO13" s="13">
        <v>8</v>
      </c>
      <c r="CP13" s="13" t="s">
        <v>91</v>
      </c>
      <c r="CQ13" s="15">
        <v>4</v>
      </c>
      <c r="CR13" s="15">
        <v>6</v>
      </c>
      <c r="CS13" s="15">
        <v>8</v>
      </c>
      <c r="CT13" s="15" t="s">
        <v>121</v>
      </c>
      <c r="CU13" s="13">
        <v>4</v>
      </c>
      <c r="CV13" s="13">
        <v>8</v>
      </c>
      <c r="CW13" s="13">
        <v>12</v>
      </c>
      <c r="CX13" s="13" t="s">
        <v>94</v>
      </c>
      <c r="CY13" s="7"/>
    </row>
    <row r="14" spans="1:103" ht="15" customHeight="1" x14ac:dyDescent="0.15">
      <c r="A14" s="21"/>
      <c r="B14" s="19"/>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7" t="s">
        <v>2</v>
      </c>
      <c r="AW14" s="2" t="s">
        <v>29</v>
      </c>
      <c r="AX14" s="1" t="s">
        <v>10</v>
      </c>
      <c r="AY14" s="1" t="s">
        <v>10</v>
      </c>
      <c r="AZ14" s="1"/>
      <c r="BB14" s="1" t="s">
        <v>47</v>
      </c>
      <c r="BC14" s="1" t="s">
        <v>48</v>
      </c>
      <c r="BD14" s="1" t="s">
        <v>77</v>
      </c>
      <c r="BE14" s="1" t="s">
        <v>78</v>
      </c>
      <c r="BF14" s="1"/>
      <c r="BI14" s="2" t="s">
        <v>66</v>
      </c>
      <c r="BK14" s="1">
        <v>1.1000000000000001</v>
      </c>
      <c r="BN14" s="2" t="s">
        <v>17</v>
      </c>
      <c r="BO14" s="13">
        <v>4</v>
      </c>
      <c r="BP14" s="13">
        <v>6</v>
      </c>
      <c r="BQ14" s="13">
        <v>8</v>
      </c>
      <c r="BR14" s="13" t="s">
        <v>91</v>
      </c>
      <c r="BS14" s="15">
        <v>4</v>
      </c>
      <c r="BT14" s="15">
        <v>6</v>
      </c>
      <c r="BU14" s="15">
        <v>8</v>
      </c>
      <c r="BV14" s="15" t="s">
        <v>91</v>
      </c>
      <c r="BW14" s="13">
        <v>4</v>
      </c>
      <c r="BX14" s="13">
        <v>8</v>
      </c>
      <c r="BY14" s="13">
        <v>12</v>
      </c>
      <c r="BZ14" s="13" t="s">
        <v>91</v>
      </c>
      <c r="CA14" s="15">
        <v>4</v>
      </c>
      <c r="CB14" s="15">
        <v>8</v>
      </c>
      <c r="CC14" s="15">
        <v>12</v>
      </c>
      <c r="CD14" s="15" t="s">
        <v>94</v>
      </c>
      <c r="CE14" s="13">
        <v>4</v>
      </c>
      <c r="CF14" s="13">
        <v>8</v>
      </c>
      <c r="CG14" s="13">
        <v>12</v>
      </c>
      <c r="CH14" s="13" t="s">
        <v>94</v>
      </c>
      <c r="CI14" s="15">
        <v>4</v>
      </c>
      <c r="CJ14" s="15">
        <v>6</v>
      </c>
      <c r="CK14" s="15">
        <v>8</v>
      </c>
      <c r="CL14" s="15" t="s">
        <v>94</v>
      </c>
      <c r="CM14" s="13">
        <v>4</v>
      </c>
      <c r="CN14" s="13">
        <v>6</v>
      </c>
      <c r="CO14" s="13">
        <v>8</v>
      </c>
      <c r="CP14" s="13" t="s">
        <v>91</v>
      </c>
      <c r="CQ14" s="15">
        <v>4</v>
      </c>
      <c r="CR14" s="15">
        <v>6</v>
      </c>
      <c r="CS14" s="15">
        <v>8</v>
      </c>
      <c r="CT14" s="15" t="s">
        <v>121</v>
      </c>
      <c r="CU14" s="13">
        <v>4</v>
      </c>
      <c r="CV14" s="13">
        <v>8</v>
      </c>
      <c r="CW14" s="13">
        <v>12</v>
      </c>
      <c r="CX14" s="13" t="s">
        <v>94</v>
      </c>
      <c r="CY14" s="7"/>
    </row>
    <row r="15" spans="1:103" ht="15" customHeight="1" x14ac:dyDescent="0.15">
      <c r="A15" s="21"/>
      <c r="B15" s="19"/>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7" t="s">
        <v>2</v>
      </c>
      <c r="AW15" s="2" t="s">
        <v>30</v>
      </c>
      <c r="AX15" s="1" t="s">
        <v>10</v>
      </c>
      <c r="AY15" s="1" t="s">
        <v>10</v>
      </c>
      <c r="AZ15" s="1"/>
      <c r="BB15" s="1" t="s">
        <v>2</v>
      </c>
      <c r="BC15" s="1" t="s">
        <v>2</v>
      </c>
      <c r="BD15" s="1" t="s">
        <v>2</v>
      </c>
      <c r="BE15" s="1"/>
      <c r="BF15" s="1"/>
      <c r="BI15" s="2" t="s">
        <v>67</v>
      </c>
      <c r="BK15" s="1">
        <v>1.5</v>
      </c>
      <c r="BN15" s="5" t="s">
        <v>18</v>
      </c>
      <c r="BO15" s="12">
        <v>4</v>
      </c>
      <c r="BP15" s="12">
        <v>6</v>
      </c>
      <c r="BQ15" s="12">
        <v>8</v>
      </c>
      <c r="BR15" s="12" t="s">
        <v>91</v>
      </c>
      <c r="BS15" s="14">
        <v>4</v>
      </c>
      <c r="BT15" s="14">
        <v>6</v>
      </c>
      <c r="BU15" s="14">
        <v>8</v>
      </c>
      <c r="BV15" s="14" t="s">
        <v>91</v>
      </c>
      <c r="BW15" s="12">
        <v>4</v>
      </c>
      <c r="BX15" s="12">
        <v>8</v>
      </c>
      <c r="BY15" s="12">
        <v>12</v>
      </c>
      <c r="BZ15" s="12" t="s">
        <v>91</v>
      </c>
      <c r="CA15" s="14">
        <v>4</v>
      </c>
      <c r="CB15" s="14">
        <v>8</v>
      </c>
      <c r="CC15" s="14">
        <v>12</v>
      </c>
      <c r="CD15" s="14" t="s">
        <v>94</v>
      </c>
      <c r="CE15" s="12">
        <v>4</v>
      </c>
      <c r="CF15" s="12">
        <v>8</v>
      </c>
      <c r="CG15" s="12">
        <v>12</v>
      </c>
      <c r="CH15" s="12" t="s">
        <v>94</v>
      </c>
      <c r="CI15" s="14">
        <v>4</v>
      </c>
      <c r="CJ15" s="14">
        <v>6</v>
      </c>
      <c r="CK15" s="14">
        <v>8</v>
      </c>
      <c r="CL15" s="14" t="s">
        <v>94</v>
      </c>
      <c r="CM15" s="12">
        <v>4</v>
      </c>
      <c r="CN15" s="12">
        <v>6</v>
      </c>
      <c r="CO15" s="12">
        <v>8</v>
      </c>
      <c r="CP15" s="12" t="s">
        <v>91</v>
      </c>
      <c r="CQ15" s="14">
        <v>4</v>
      </c>
      <c r="CR15" s="14">
        <v>6</v>
      </c>
      <c r="CS15" s="14">
        <v>8</v>
      </c>
      <c r="CT15" s="14" t="s">
        <v>121</v>
      </c>
      <c r="CU15" s="12">
        <v>4</v>
      </c>
      <c r="CV15" s="12">
        <v>8</v>
      </c>
      <c r="CW15" s="12">
        <v>12</v>
      </c>
      <c r="CX15" s="12" t="s">
        <v>94</v>
      </c>
      <c r="CY15" s="7"/>
    </row>
    <row r="16" spans="1:103" ht="15" customHeight="1" x14ac:dyDescent="0.15">
      <c r="A16" s="21"/>
      <c r="B16" s="19"/>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7" t="s">
        <v>2</v>
      </c>
      <c r="AW16" s="2" t="s">
        <v>31</v>
      </c>
      <c r="AX16" s="1" t="s">
        <v>10</v>
      </c>
      <c r="AY16" s="1" t="s">
        <v>10</v>
      </c>
      <c r="AZ16" s="1"/>
      <c r="BB16" s="1" t="s">
        <v>49</v>
      </c>
      <c r="BC16" s="1" t="s">
        <v>2</v>
      </c>
      <c r="BD16" s="1" t="s">
        <v>2</v>
      </c>
      <c r="BE16" s="1"/>
      <c r="BF16" s="1"/>
      <c r="BI16" s="7" t="s">
        <v>2</v>
      </c>
      <c r="BK16" s="1">
        <v>2.2000000000000002</v>
      </c>
      <c r="BN16" s="5" t="s">
        <v>19</v>
      </c>
      <c r="BO16" s="12">
        <v>4</v>
      </c>
      <c r="BP16" s="12">
        <v>6</v>
      </c>
      <c r="BQ16" s="12">
        <v>8</v>
      </c>
      <c r="BR16" s="12" t="s">
        <v>91</v>
      </c>
      <c r="BS16" s="14">
        <v>4</v>
      </c>
      <c r="BT16" s="14">
        <v>6</v>
      </c>
      <c r="BU16" s="14">
        <v>8</v>
      </c>
      <c r="BV16" s="14" t="s">
        <v>91</v>
      </c>
      <c r="BW16" s="12">
        <v>4</v>
      </c>
      <c r="BX16" s="12">
        <v>8</v>
      </c>
      <c r="BY16" s="12">
        <v>12</v>
      </c>
      <c r="BZ16" s="12" t="s">
        <v>91</v>
      </c>
      <c r="CA16" s="14">
        <v>4</v>
      </c>
      <c r="CB16" s="14">
        <v>8</v>
      </c>
      <c r="CC16" s="14">
        <v>12</v>
      </c>
      <c r="CD16" s="14" t="s">
        <v>94</v>
      </c>
      <c r="CE16" s="12">
        <v>4</v>
      </c>
      <c r="CF16" s="12">
        <v>8</v>
      </c>
      <c r="CG16" s="12">
        <v>12</v>
      </c>
      <c r="CH16" s="12" t="s">
        <v>94</v>
      </c>
      <c r="CI16" s="14">
        <v>4</v>
      </c>
      <c r="CJ16" s="14">
        <v>6</v>
      </c>
      <c r="CK16" s="14">
        <v>8</v>
      </c>
      <c r="CL16" s="14" t="s">
        <v>94</v>
      </c>
      <c r="CM16" s="12">
        <v>4</v>
      </c>
      <c r="CN16" s="12">
        <v>6</v>
      </c>
      <c r="CO16" s="12">
        <v>8</v>
      </c>
      <c r="CP16" s="12" t="s">
        <v>91</v>
      </c>
      <c r="CQ16" s="14">
        <v>4</v>
      </c>
      <c r="CR16" s="14">
        <v>6</v>
      </c>
      <c r="CS16" s="14">
        <v>8</v>
      </c>
      <c r="CT16" s="14" t="s">
        <v>121</v>
      </c>
      <c r="CU16" s="12">
        <v>4</v>
      </c>
      <c r="CV16" s="12">
        <v>8</v>
      </c>
      <c r="CW16" s="12">
        <v>12</v>
      </c>
      <c r="CX16" s="12" t="s">
        <v>94</v>
      </c>
      <c r="CY16" s="7"/>
    </row>
    <row r="17" spans="1:103" ht="15" customHeight="1" x14ac:dyDescent="0.15">
      <c r="A17" s="21"/>
      <c r="B17" s="19"/>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7" t="s">
        <v>2</v>
      </c>
      <c r="AW17" s="2" t="s">
        <v>32</v>
      </c>
      <c r="AX17" s="1" t="s">
        <v>10</v>
      </c>
      <c r="AY17" s="1" t="s">
        <v>10</v>
      </c>
      <c r="AZ17" s="1"/>
      <c r="BB17" s="1" t="s">
        <v>50</v>
      </c>
      <c r="BC17" s="1" t="s">
        <v>2</v>
      </c>
      <c r="BD17" s="1" t="s">
        <v>2</v>
      </c>
      <c r="BE17" s="1"/>
      <c r="BF17" s="1"/>
      <c r="BK17" s="1">
        <v>3</v>
      </c>
      <c r="BN17" s="2" t="s">
        <v>20</v>
      </c>
      <c r="BO17" s="13">
        <v>4</v>
      </c>
      <c r="BP17" s="13">
        <v>8</v>
      </c>
      <c r="BQ17" s="13">
        <v>10</v>
      </c>
      <c r="BR17" s="13" t="s">
        <v>92</v>
      </c>
      <c r="BS17" s="15">
        <v>4</v>
      </c>
      <c r="BT17" s="15">
        <v>8</v>
      </c>
      <c r="BU17" s="15">
        <v>10</v>
      </c>
      <c r="BV17" s="15" t="s">
        <v>92</v>
      </c>
      <c r="BW17" s="13">
        <v>4</v>
      </c>
      <c r="BX17" s="13">
        <v>8</v>
      </c>
      <c r="BY17" s="13">
        <v>12</v>
      </c>
      <c r="BZ17" s="13" t="s">
        <v>92</v>
      </c>
      <c r="CA17" s="15">
        <v>4</v>
      </c>
      <c r="CB17" s="15">
        <v>8</v>
      </c>
      <c r="CC17" s="15">
        <v>12</v>
      </c>
      <c r="CD17" s="15" t="s">
        <v>92</v>
      </c>
      <c r="CE17" s="13">
        <v>4</v>
      </c>
      <c r="CF17" s="13">
        <v>8</v>
      </c>
      <c r="CG17" s="13">
        <v>12</v>
      </c>
      <c r="CH17" s="13" t="s">
        <v>92</v>
      </c>
      <c r="CI17" s="15">
        <v>4</v>
      </c>
      <c r="CJ17" s="15">
        <v>8</v>
      </c>
      <c r="CK17" s="15">
        <v>10</v>
      </c>
      <c r="CL17" s="15" t="s">
        <v>92</v>
      </c>
      <c r="CM17" s="13">
        <v>4</v>
      </c>
      <c r="CN17" s="13">
        <v>8</v>
      </c>
      <c r="CO17" s="13">
        <v>10</v>
      </c>
      <c r="CP17" s="13" t="s">
        <v>92</v>
      </c>
      <c r="CQ17" s="15">
        <v>4</v>
      </c>
      <c r="CR17" s="15">
        <v>8</v>
      </c>
      <c r="CS17" s="15">
        <v>10</v>
      </c>
      <c r="CT17" s="15" t="s">
        <v>121</v>
      </c>
      <c r="CU17" s="13">
        <v>4</v>
      </c>
      <c r="CV17" s="13">
        <v>8</v>
      </c>
      <c r="CW17" s="13">
        <v>12</v>
      </c>
      <c r="CX17" s="13" t="s">
        <v>92</v>
      </c>
      <c r="CY17" s="7"/>
    </row>
    <row r="18" spans="1:103" ht="15" customHeight="1" x14ac:dyDescent="0.15">
      <c r="A18" s="21"/>
      <c r="B18" s="19"/>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7" t="s">
        <v>2</v>
      </c>
      <c r="AW18" s="7" t="s">
        <v>2</v>
      </c>
      <c r="AX18" s="8" t="s">
        <v>2</v>
      </c>
      <c r="AY18" s="8" t="s">
        <v>2</v>
      </c>
      <c r="AZ18" s="1"/>
      <c r="BB18" s="1" t="s">
        <v>51</v>
      </c>
      <c r="BC18" s="1" t="s">
        <v>2</v>
      </c>
      <c r="BD18" s="1" t="s">
        <v>2</v>
      </c>
      <c r="BE18" s="1"/>
      <c r="BF18" s="1"/>
      <c r="BK18" s="1">
        <v>4</v>
      </c>
      <c r="BN18" s="5" t="s">
        <v>21</v>
      </c>
      <c r="BO18" s="12">
        <v>4</v>
      </c>
      <c r="BP18" s="12">
        <v>8</v>
      </c>
      <c r="BQ18" s="12">
        <v>10</v>
      </c>
      <c r="BR18" s="12" t="s">
        <v>92</v>
      </c>
      <c r="BS18" s="14">
        <v>4</v>
      </c>
      <c r="BT18" s="14">
        <v>8</v>
      </c>
      <c r="BU18" s="14">
        <v>10</v>
      </c>
      <c r="BV18" s="14" t="s">
        <v>92</v>
      </c>
      <c r="BW18" s="12">
        <v>4</v>
      </c>
      <c r="BX18" s="12">
        <v>8</v>
      </c>
      <c r="BY18" s="12">
        <v>12</v>
      </c>
      <c r="BZ18" s="12" t="s">
        <v>92</v>
      </c>
      <c r="CA18" s="14">
        <v>4</v>
      </c>
      <c r="CB18" s="14">
        <v>8</v>
      </c>
      <c r="CC18" s="14">
        <v>12</v>
      </c>
      <c r="CD18" s="14" t="s">
        <v>92</v>
      </c>
      <c r="CE18" s="12">
        <v>4</v>
      </c>
      <c r="CF18" s="12">
        <v>8</v>
      </c>
      <c r="CG18" s="12">
        <v>12</v>
      </c>
      <c r="CH18" s="12" t="s">
        <v>92</v>
      </c>
      <c r="CI18" s="14">
        <v>4</v>
      </c>
      <c r="CJ18" s="14">
        <v>8</v>
      </c>
      <c r="CK18" s="14">
        <v>10</v>
      </c>
      <c r="CL18" s="14" t="s">
        <v>92</v>
      </c>
      <c r="CM18" s="12">
        <v>4</v>
      </c>
      <c r="CN18" s="12">
        <v>8</v>
      </c>
      <c r="CO18" s="12">
        <v>10</v>
      </c>
      <c r="CP18" s="12" t="s">
        <v>92</v>
      </c>
      <c r="CQ18" s="14">
        <v>4</v>
      </c>
      <c r="CR18" s="14">
        <v>8</v>
      </c>
      <c r="CS18" s="14">
        <v>10</v>
      </c>
      <c r="CT18" s="14" t="s">
        <v>121</v>
      </c>
      <c r="CU18" s="12">
        <v>4</v>
      </c>
      <c r="CV18" s="12">
        <v>8</v>
      </c>
      <c r="CW18" s="12">
        <v>12</v>
      </c>
      <c r="CX18" s="12" t="s">
        <v>92</v>
      </c>
      <c r="CY18" s="7"/>
    </row>
    <row r="19" spans="1:103" ht="15" customHeight="1" x14ac:dyDescent="0.15">
      <c r="A19" s="21"/>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7" t="s">
        <v>2</v>
      </c>
      <c r="AZ19" s="1"/>
      <c r="BB19" s="1" t="s">
        <v>52</v>
      </c>
      <c r="BC19" s="1" t="s">
        <v>2</v>
      </c>
      <c r="BD19" s="1" t="s">
        <v>2</v>
      </c>
      <c r="BE19" s="1"/>
      <c r="BF19" s="1"/>
      <c r="BK19" s="1">
        <v>5.5</v>
      </c>
      <c r="BN19" s="2" t="s">
        <v>69</v>
      </c>
      <c r="BO19" s="13" t="s">
        <v>107</v>
      </c>
      <c r="BP19" s="13" t="s">
        <v>107</v>
      </c>
      <c r="BQ19" s="13" t="s">
        <v>107</v>
      </c>
      <c r="BR19" s="13" t="s">
        <v>108</v>
      </c>
      <c r="BS19" s="15" t="s">
        <v>110</v>
      </c>
      <c r="BT19" s="15" t="s">
        <v>107</v>
      </c>
      <c r="BU19" s="15" t="s">
        <v>107</v>
      </c>
      <c r="BV19" s="15" t="s">
        <v>108</v>
      </c>
      <c r="BW19" s="13" t="s">
        <v>110</v>
      </c>
      <c r="BX19" s="13" t="s">
        <v>107</v>
      </c>
      <c r="BY19" s="13" t="s">
        <v>107</v>
      </c>
      <c r="BZ19" s="13" t="s">
        <v>108</v>
      </c>
      <c r="CA19" s="15" t="s">
        <v>110</v>
      </c>
      <c r="CB19" s="15" t="s">
        <v>107</v>
      </c>
      <c r="CC19" s="15" t="s">
        <v>107</v>
      </c>
      <c r="CD19" s="15" t="s">
        <v>108</v>
      </c>
      <c r="CE19" s="13" t="s">
        <v>110</v>
      </c>
      <c r="CF19" s="13" t="s">
        <v>107</v>
      </c>
      <c r="CG19" s="13" t="s">
        <v>115</v>
      </c>
      <c r="CH19" s="13" t="s">
        <v>108</v>
      </c>
      <c r="CI19" s="15" t="s">
        <v>110</v>
      </c>
      <c r="CJ19" s="15" t="s">
        <v>107</v>
      </c>
      <c r="CK19" s="15" t="s">
        <v>107</v>
      </c>
      <c r="CL19" s="15" t="s">
        <v>108</v>
      </c>
      <c r="CM19" s="13" t="s">
        <v>107</v>
      </c>
      <c r="CN19" s="13" t="s">
        <v>107</v>
      </c>
      <c r="CO19" s="13" t="s">
        <v>115</v>
      </c>
      <c r="CP19" s="13" t="s">
        <v>108</v>
      </c>
      <c r="CQ19" s="15" t="s">
        <v>107</v>
      </c>
      <c r="CR19" s="15" t="s">
        <v>107</v>
      </c>
      <c r="CS19" s="15" t="s">
        <v>107</v>
      </c>
      <c r="CT19" s="15" t="s">
        <v>131</v>
      </c>
      <c r="CU19" s="13" t="s">
        <v>110</v>
      </c>
      <c r="CV19" s="13" t="s">
        <v>115</v>
      </c>
      <c r="CW19" s="13" t="s">
        <v>115</v>
      </c>
      <c r="CX19" s="13" t="s">
        <v>141</v>
      </c>
      <c r="CY19" s="7"/>
    </row>
    <row r="20" spans="1:103" ht="15" customHeight="1" x14ac:dyDescent="0.15">
      <c r="A20" s="21"/>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BB20" s="1" t="s">
        <v>53</v>
      </c>
      <c r="BC20" s="1" t="s">
        <v>2</v>
      </c>
      <c r="BD20" s="1" t="s">
        <v>2</v>
      </c>
      <c r="BE20" s="1"/>
      <c r="BF20" s="1"/>
      <c r="BK20" s="1">
        <v>7.5</v>
      </c>
      <c r="BN20" s="2" t="s">
        <v>122</v>
      </c>
      <c r="BO20" s="9" t="s">
        <v>123</v>
      </c>
      <c r="BP20" s="9"/>
      <c r="BQ20" s="9"/>
      <c r="BR20" s="9"/>
      <c r="BS20" s="11" t="s">
        <v>124</v>
      </c>
      <c r="BT20" s="11"/>
      <c r="BU20" s="11"/>
      <c r="BV20" s="11"/>
      <c r="BW20" s="9" t="s">
        <v>87</v>
      </c>
      <c r="BX20" s="9"/>
      <c r="BY20" s="9"/>
      <c r="BZ20" s="9"/>
      <c r="CA20" s="11" t="s">
        <v>125</v>
      </c>
      <c r="CB20" s="11"/>
      <c r="CC20" s="11"/>
      <c r="CD20" s="11"/>
      <c r="CE20" s="9" t="s">
        <v>126</v>
      </c>
      <c r="CF20" s="9"/>
      <c r="CG20" s="9"/>
      <c r="CH20" s="9"/>
      <c r="CI20" s="11" t="s">
        <v>127</v>
      </c>
      <c r="CJ20" s="11"/>
      <c r="CK20" s="11"/>
      <c r="CL20" s="11"/>
      <c r="CM20" s="9" t="s">
        <v>128</v>
      </c>
      <c r="CN20" s="9"/>
      <c r="CO20" s="9"/>
      <c r="CP20" s="9"/>
      <c r="CQ20" s="11" t="s">
        <v>129</v>
      </c>
      <c r="CR20" s="11"/>
      <c r="CS20" s="11"/>
      <c r="CT20" s="11"/>
      <c r="CU20" s="9" t="s">
        <v>139</v>
      </c>
      <c r="CV20" s="9"/>
      <c r="CW20" s="9"/>
      <c r="CX20" s="9"/>
      <c r="CY20" s="7"/>
    </row>
    <row r="21" spans="1:103" ht="15" customHeight="1" x14ac:dyDescent="0.15">
      <c r="A21" s="21"/>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BB21" s="1" t="s">
        <v>54</v>
      </c>
      <c r="BC21" s="1" t="s">
        <v>2</v>
      </c>
      <c r="BD21" s="1" t="s">
        <v>2</v>
      </c>
      <c r="BE21" s="1"/>
      <c r="BF21" s="1"/>
      <c r="BK21" s="1">
        <v>9.1999999999999993</v>
      </c>
      <c r="BN21" s="7" t="s">
        <v>2</v>
      </c>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row>
    <row r="22" spans="1:103" ht="15" customHeight="1" x14ac:dyDescent="0.15">
      <c r="A22" s="21"/>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BB22" s="1" t="s">
        <v>2</v>
      </c>
      <c r="BC22" s="1" t="s">
        <v>2</v>
      </c>
      <c r="BD22" s="1" t="s">
        <v>2</v>
      </c>
      <c r="BE22" s="1"/>
      <c r="BF22" s="1"/>
      <c r="BK22" s="1">
        <v>11</v>
      </c>
    </row>
    <row r="23" spans="1:103" ht="15" customHeight="1" x14ac:dyDescent="0.15">
      <c r="A23" s="21"/>
      <c r="B23" s="19"/>
      <c r="C23" s="23"/>
      <c r="D23" s="23"/>
      <c r="E23" s="23"/>
      <c r="F23" s="23"/>
      <c r="G23" s="23"/>
      <c r="H23" s="23"/>
      <c r="I23" s="23"/>
      <c r="J23" s="23"/>
      <c r="K23" s="23"/>
      <c r="L23" s="23"/>
      <c r="M23" s="23"/>
      <c r="N23" s="23"/>
      <c r="O23" s="23"/>
      <c r="P23" s="23"/>
      <c r="Q23" s="23"/>
      <c r="R23" s="23"/>
      <c r="S23" s="23"/>
      <c r="T23" s="19"/>
      <c r="U23" s="19"/>
      <c r="V23" s="19"/>
      <c r="W23" s="19"/>
      <c r="X23" s="19"/>
      <c r="Y23" s="19"/>
      <c r="Z23" s="19"/>
      <c r="AA23" s="19"/>
      <c r="AB23" s="19"/>
      <c r="AC23" s="19"/>
      <c r="AD23" s="19"/>
      <c r="AE23" s="19"/>
      <c r="AF23" s="19"/>
      <c r="AG23" s="19"/>
      <c r="AH23" s="19"/>
      <c r="AI23" s="19"/>
      <c r="AJ23" s="19"/>
      <c r="AK23" s="19"/>
      <c r="AL23" s="19"/>
      <c r="AM23" s="19"/>
      <c r="BB23" s="1" t="s">
        <v>81</v>
      </c>
      <c r="BC23" s="1" t="s">
        <v>2</v>
      </c>
      <c r="BD23" s="1" t="s">
        <v>2</v>
      </c>
      <c r="BE23" s="1"/>
      <c r="BF23" s="1"/>
      <c r="BK23" s="1">
        <v>15</v>
      </c>
    </row>
    <row r="24" spans="1:103" ht="15" customHeight="1" x14ac:dyDescent="0.15">
      <c r="A24" s="21"/>
      <c r="B24" s="19"/>
      <c r="C24" s="19"/>
      <c r="D24" s="22"/>
      <c r="E24" s="19"/>
      <c r="F24" s="22"/>
      <c r="G24" s="260"/>
      <c r="H24" s="260"/>
      <c r="I24" s="22"/>
      <c r="J24" s="260"/>
      <c r="K24" s="260"/>
      <c r="L24" s="22"/>
      <c r="M24" s="22"/>
      <c r="N24" s="22"/>
      <c r="O24" s="22"/>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BB24" s="1" t="s">
        <v>82</v>
      </c>
      <c r="BC24" s="1" t="s">
        <v>2</v>
      </c>
      <c r="BD24" s="1" t="s">
        <v>2</v>
      </c>
      <c r="BE24" s="1"/>
      <c r="BF24" s="1"/>
      <c r="BK24" s="1">
        <v>18.5</v>
      </c>
    </row>
    <row r="25" spans="1:103" ht="15" customHeight="1" x14ac:dyDescent="0.15">
      <c r="A25" s="21"/>
      <c r="B25" s="19"/>
      <c r="C25" s="22"/>
      <c r="D25" s="22"/>
      <c r="E25" s="22"/>
      <c r="F25" s="22"/>
      <c r="G25" s="22"/>
      <c r="H25" s="22"/>
      <c r="I25" s="22"/>
      <c r="J25" s="22"/>
      <c r="K25" s="22"/>
      <c r="L25" s="22"/>
      <c r="M25" s="22"/>
      <c r="N25" s="22"/>
      <c r="O25" s="22"/>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BB25" s="1" t="s">
        <v>83</v>
      </c>
      <c r="BC25" s="1" t="s">
        <v>2</v>
      </c>
      <c r="BD25" s="1" t="s">
        <v>2</v>
      </c>
      <c r="BE25" s="1"/>
      <c r="BF25" s="1"/>
      <c r="BK25" s="1">
        <v>22</v>
      </c>
    </row>
    <row r="26" spans="1:103" ht="15" customHeight="1" x14ac:dyDescent="0.15">
      <c r="A26" s="21"/>
      <c r="B26" s="19"/>
      <c r="C26" s="22"/>
      <c r="D26" s="22"/>
      <c r="E26" s="24"/>
      <c r="F26" s="22"/>
      <c r="G26" s="22"/>
      <c r="H26" s="22"/>
      <c r="I26" s="25"/>
      <c r="J26" s="22"/>
      <c r="K26" s="22"/>
      <c r="L26" s="22"/>
      <c r="M26" s="22"/>
      <c r="N26" s="22"/>
      <c r="O26" s="22"/>
      <c r="P26" s="19"/>
      <c r="Q26" s="19"/>
      <c r="R26" s="19"/>
      <c r="S26" s="19"/>
      <c r="T26" s="22"/>
      <c r="U26" s="19"/>
      <c r="V26" s="19"/>
      <c r="W26" s="19"/>
      <c r="X26" s="19"/>
      <c r="Y26" s="19"/>
      <c r="Z26" s="19"/>
      <c r="AA26" s="19"/>
      <c r="AB26" s="19"/>
      <c r="AC26" s="19"/>
      <c r="AD26" s="19"/>
      <c r="AE26" s="19"/>
      <c r="AF26" s="19"/>
      <c r="AG26" s="19"/>
      <c r="AH26" s="19"/>
      <c r="AI26" s="19"/>
      <c r="AJ26" s="19"/>
      <c r="AK26" s="19"/>
      <c r="AL26" s="19"/>
      <c r="AM26" s="19"/>
      <c r="BB26" s="1" t="s">
        <v>84</v>
      </c>
      <c r="BC26" s="1" t="s">
        <v>2</v>
      </c>
      <c r="BD26" s="1" t="s">
        <v>2</v>
      </c>
      <c r="BE26" s="1"/>
      <c r="BF26" s="1"/>
      <c r="BK26" s="1">
        <v>30</v>
      </c>
    </row>
    <row r="27" spans="1:103" ht="15" customHeight="1" x14ac:dyDescent="0.15">
      <c r="A27" s="21"/>
      <c r="B27" s="19"/>
      <c r="C27" s="22"/>
      <c r="D27" s="22"/>
      <c r="E27" s="24"/>
      <c r="F27" s="22"/>
      <c r="G27" s="22"/>
      <c r="H27" s="22"/>
      <c r="I27" s="25"/>
      <c r="J27" s="22"/>
      <c r="K27" s="22"/>
      <c r="L27" s="22"/>
      <c r="M27" s="22"/>
      <c r="N27" s="22"/>
      <c r="O27" s="22"/>
      <c r="P27" s="19"/>
      <c r="Q27" s="19"/>
      <c r="R27" s="19"/>
      <c r="S27" s="19"/>
      <c r="T27" s="22"/>
      <c r="U27" s="19"/>
      <c r="V27" s="19"/>
      <c r="W27" s="19"/>
      <c r="X27" s="19"/>
      <c r="Y27" s="19"/>
      <c r="Z27" s="19"/>
      <c r="AA27" s="19"/>
      <c r="AB27" s="19"/>
      <c r="AC27" s="19"/>
      <c r="AD27" s="19"/>
      <c r="AE27" s="19"/>
      <c r="AF27" s="19"/>
      <c r="AG27" s="19"/>
      <c r="AH27" s="19"/>
      <c r="AI27" s="19"/>
      <c r="AJ27" s="19"/>
      <c r="AK27" s="19"/>
      <c r="AL27" s="19"/>
      <c r="AM27" s="19"/>
      <c r="BB27" s="1" t="s">
        <v>85</v>
      </c>
      <c r="BC27" s="1" t="s">
        <v>2</v>
      </c>
      <c r="BD27" s="1" t="s">
        <v>2</v>
      </c>
      <c r="BE27" s="1"/>
      <c r="BF27" s="1"/>
      <c r="BK27" s="1">
        <v>37</v>
      </c>
    </row>
    <row r="28" spans="1:103" ht="15" customHeight="1" x14ac:dyDescent="0.15">
      <c r="A28" s="21"/>
      <c r="B28" s="19"/>
      <c r="C28" s="22"/>
      <c r="D28" s="22"/>
      <c r="E28" s="24"/>
      <c r="F28" s="22"/>
      <c r="G28" s="22"/>
      <c r="H28" s="22"/>
      <c r="I28" s="22"/>
      <c r="J28" s="22"/>
      <c r="K28" s="22"/>
      <c r="L28" s="22"/>
      <c r="M28" s="22"/>
      <c r="N28" s="22"/>
      <c r="O28" s="22"/>
      <c r="P28" s="19"/>
      <c r="Q28" s="19"/>
      <c r="R28" s="19"/>
      <c r="S28" s="19"/>
      <c r="T28" s="22"/>
      <c r="U28" s="19"/>
      <c r="V28" s="19"/>
      <c r="W28" s="19"/>
      <c r="X28" s="19"/>
      <c r="Y28" s="19"/>
      <c r="Z28" s="19"/>
      <c r="AA28" s="19"/>
      <c r="AB28" s="19"/>
      <c r="AC28" s="19"/>
      <c r="AD28" s="19"/>
      <c r="AE28" s="19"/>
      <c r="AF28" s="19"/>
      <c r="AG28" s="19"/>
      <c r="AH28" s="19"/>
      <c r="AI28" s="19"/>
      <c r="AJ28" s="19"/>
      <c r="AK28" s="19"/>
      <c r="AL28" s="19"/>
      <c r="AM28" s="19"/>
      <c r="BB28" s="1" t="s">
        <v>86</v>
      </c>
      <c r="BC28" s="1" t="s">
        <v>2</v>
      </c>
      <c r="BD28" s="1" t="s">
        <v>2</v>
      </c>
      <c r="BE28" s="1"/>
      <c r="BF28" s="1"/>
      <c r="BK28" s="1">
        <v>45</v>
      </c>
    </row>
    <row r="29" spans="1:103" ht="15" customHeight="1" x14ac:dyDescent="0.15">
      <c r="A29" s="21"/>
      <c r="B29" s="19"/>
      <c r="C29" s="22"/>
      <c r="D29" s="22"/>
      <c r="E29" s="24"/>
      <c r="F29" s="22"/>
      <c r="G29" s="22"/>
      <c r="H29" s="22"/>
      <c r="I29" s="22"/>
      <c r="J29" s="22"/>
      <c r="K29" s="22"/>
      <c r="L29" s="22"/>
      <c r="M29" s="22"/>
      <c r="N29" s="22"/>
      <c r="O29" s="22"/>
      <c r="P29" s="19"/>
      <c r="Q29" s="19"/>
      <c r="R29" s="19"/>
      <c r="S29" s="19"/>
      <c r="T29" s="22"/>
      <c r="U29" s="19"/>
      <c r="V29" s="19"/>
      <c r="W29" s="19"/>
      <c r="X29" s="19"/>
      <c r="Y29" s="19"/>
      <c r="Z29" s="19"/>
      <c r="AA29" s="19"/>
      <c r="AB29" s="19"/>
      <c r="AC29" s="19"/>
      <c r="AD29" s="19"/>
      <c r="AE29" s="19"/>
      <c r="AF29" s="19"/>
      <c r="AG29" s="19"/>
      <c r="AH29" s="19"/>
      <c r="AI29" s="19"/>
      <c r="AJ29" s="19"/>
      <c r="AK29" s="19"/>
      <c r="AL29" s="19"/>
      <c r="AM29" s="19"/>
      <c r="BB29" s="1" t="s">
        <v>2</v>
      </c>
      <c r="BC29" s="1" t="s">
        <v>2</v>
      </c>
      <c r="BD29" s="1" t="s">
        <v>2</v>
      </c>
      <c r="BE29" s="1"/>
      <c r="BF29" s="1"/>
      <c r="BK29" s="1">
        <v>55</v>
      </c>
    </row>
    <row r="30" spans="1:103" ht="15" customHeight="1" x14ac:dyDescent="0.15">
      <c r="A30" s="21"/>
      <c r="B30" s="19"/>
      <c r="C30" s="22"/>
      <c r="D30" s="22"/>
      <c r="E30" s="24"/>
      <c r="F30" s="22"/>
      <c r="G30" s="22"/>
      <c r="H30" s="22"/>
      <c r="I30" s="22"/>
      <c r="J30" s="22"/>
      <c r="K30" s="22"/>
      <c r="L30" s="22"/>
      <c r="M30" s="22"/>
      <c r="N30" s="22"/>
      <c r="O30" s="22"/>
      <c r="P30" s="19"/>
      <c r="Q30" s="19"/>
      <c r="R30" s="19"/>
      <c r="S30" s="19"/>
      <c r="T30" s="22"/>
      <c r="U30" s="19"/>
      <c r="V30" s="19"/>
      <c r="W30" s="19"/>
      <c r="X30" s="19"/>
      <c r="Y30" s="19"/>
      <c r="Z30" s="19"/>
      <c r="AA30" s="19"/>
      <c r="AB30" s="19"/>
      <c r="AC30" s="19"/>
      <c r="AD30" s="19"/>
      <c r="AE30" s="19"/>
      <c r="AF30" s="19"/>
      <c r="AG30" s="19"/>
      <c r="AH30" s="19"/>
      <c r="AI30" s="19"/>
      <c r="AJ30" s="19"/>
      <c r="AK30" s="19"/>
      <c r="AL30" s="19"/>
      <c r="AM30" s="19"/>
      <c r="BA30" s="10" t="s">
        <v>138</v>
      </c>
      <c r="BB30" s="1" t="s">
        <v>133</v>
      </c>
      <c r="BC30" s="1" t="s">
        <v>2</v>
      </c>
      <c r="BD30" s="1" t="s">
        <v>2</v>
      </c>
      <c r="BE30" s="1"/>
      <c r="BF30" s="1" t="s">
        <v>83</v>
      </c>
      <c r="BK30" s="1">
        <v>75</v>
      </c>
    </row>
    <row r="31" spans="1:103" ht="15" customHeight="1" x14ac:dyDescent="0.15">
      <c r="A31" s="21"/>
      <c r="B31" s="19"/>
      <c r="C31" s="22"/>
      <c r="D31" s="22"/>
      <c r="E31" s="24"/>
      <c r="F31" s="22"/>
      <c r="G31" s="22"/>
      <c r="H31" s="22"/>
      <c r="I31" s="22"/>
      <c r="J31" s="22"/>
      <c r="K31" s="22"/>
      <c r="L31" s="22"/>
      <c r="M31" s="22"/>
      <c r="N31" s="22"/>
      <c r="O31" s="22"/>
      <c r="P31" s="19"/>
      <c r="Q31" s="19"/>
      <c r="R31" s="19"/>
      <c r="S31" s="19"/>
      <c r="T31" s="22"/>
      <c r="U31" s="19"/>
      <c r="V31" s="19"/>
      <c r="W31" s="19"/>
      <c r="X31" s="19"/>
      <c r="Y31" s="19"/>
      <c r="Z31" s="19"/>
      <c r="AA31" s="19"/>
      <c r="AB31" s="19"/>
      <c r="AC31" s="19"/>
      <c r="AD31" s="19"/>
      <c r="AE31" s="19"/>
      <c r="AF31" s="19"/>
      <c r="AG31" s="19"/>
      <c r="AH31" s="19"/>
      <c r="AI31" s="19"/>
      <c r="AJ31" s="19"/>
      <c r="AK31" s="19"/>
      <c r="AL31" s="19"/>
      <c r="AM31" s="19"/>
      <c r="BB31" s="1" t="s">
        <v>134</v>
      </c>
      <c r="BC31" s="1" t="s">
        <v>2</v>
      </c>
      <c r="BD31" s="1" t="s">
        <v>2</v>
      </c>
      <c r="BE31" s="1"/>
      <c r="BF31" s="1" t="s">
        <v>84</v>
      </c>
      <c r="BK31" s="8" t="s">
        <v>2</v>
      </c>
    </row>
    <row r="32" spans="1:103" ht="15" customHeight="1" x14ac:dyDescent="0.15">
      <c r="A32" s="21"/>
      <c r="B32" s="19"/>
      <c r="C32" s="22"/>
      <c r="D32" s="22"/>
      <c r="E32" s="24"/>
      <c r="F32" s="22"/>
      <c r="G32" s="22"/>
      <c r="H32" s="22"/>
      <c r="I32" s="22"/>
      <c r="J32" s="22"/>
      <c r="K32" s="22"/>
      <c r="L32" s="22"/>
      <c r="M32" s="22"/>
      <c r="N32" s="22"/>
      <c r="O32" s="22"/>
      <c r="P32" s="19"/>
      <c r="Q32" s="19"/>
      <c r="R32" s="19"/>
      <c r="S32" s="19"/>
      <c r="T32" s="22"/>
      <c r="U32" s="19"/>
      <c r="V32" s="19"/>
      <c r="W32" s="19"/>
      <c r="X32" s="19"/>
      <c r="Y32" s="19"/>
      <c r="Z32" s="19"/>
      <c r="AA32" s="19"/>
      <c r="AB32" s="19"/>
      <c r="AC32" s="19"/>
      <c r="AD32" s="19"/>
      <c r="AE32" s="19"/>
      <c r="AF32" s="19"/>
      <c r="AG32" s="19"/>
      <c r="AH32" s="19"/>
      <c r="AI32" s="19"/>
      <c r="AJ32" s="19"/>
      <c r="AK32" s="19"/>
      <c r="AL32" s="19"/>
      <c r="AM32" s="19"/>
      <c r="BB32" s="1" t="s">
        <v>135</v>
      </c>
      <c r="BC32" s="1" t="s">
        <v>2</v>
      </c>
      <c r="BD32" s="1" t="s">
        <v>2</v>
      </c>
      <c r="BE32" s="1"/>
      <c r="BF32" s="1" t="s">
        <v>85</v>
      </c>
    </row>
    <row r="33" spans="1:58" ht="15" customHeight="1" x14ac:dyDescent="0.15">
      <c r="A33" s="21"/>
      <c r="B33" s="19"/>
      <c r="C33" s="22"/>
      <c r="D33" s="22"/>
      <c r="E33" s="24"/>
      <c r="F33" s="22"/>
      <c r="G33" s="22"/>
      <c r="H33" s="22"/>
      <c r="I33" s="22"/>
      <c r="J33" s="22"/>
      <c r="K33" s="22"/>
      <c r="L33" s="22"/>
      <c r="M33" s="22"/>
      <c r="N33" s="22"/>
      <c r="O33" s="22"/>
      <c r="P33" s="19"/>
      <c r="Q33" s="19"/>
      <c r="R33" s="19"/>
      <c r="S33" s="19"/>
      <c r="T33" s="22"/>
      <c r="U33" s="19"/>
      <c r="V33" s="19"/>
      <c r="W33" s="19"/>
      <c r="X33" s="19"/>
      <c r="Y33" s="19"/>
      <c r="Z33" s="19"/>
      <c r="AA33" s="19"/>
      <c r="AB33" s="19"/>
      <c r="AC33" s="19"/>
      <c r="AD33" s="19"/>
      <c r="AE33" s="19"/>
      <c r="AF33" s="19"/>
      <c r="AG33" s="19"/>
      <c r="AH33" s="19"/>
      <c r="AI33" s="19"/>
      <c r="AJ33" s="19"/>
      <c r="AK33" s="19"/>
      <c r="AL33" s="19"/>
      <c r="AM33" s="19"/>
      <c r="BB33" s="1" t="s">
        <v>136</v>
      </c>
      <c r="BC33" s="1" t="s">
        <v>2</v>
      </c>
      <c r="BD33" s="1" t="s">
        <v>2</v>
      </c>
      <c r="BE33" s="1"/>
      <c r="BF33" s="1" t="s">
        <v>86</v>
      </c>
    </row>
    <row r="34" spans="1:58" ht="15" customHeight="1" x14ac:dyDescent="0.15">
      <c r="A34" s="21"/>
      <c r="B34" s="19"/>
      <c r="C34" s="22"/>
      <c r="D34" s="22"/>
      <c r="E34" s="24"/>
      <c r="F34" s="22"/>
      <c r="G34" s="22"/>
      <c r="H34" s="22"/>
      <c r="I34" s="22"/>
      <c r="J34" s="22"/>
      <c r="K34" s="22"/>
      <c r="L34" s="22"/>
      <c r="M34" s="22"/>
      <c r="N34" s="22"/>
      <c r="O34" s="22"/>
      <c r="P34" s="19"/>
      <c r="Q34" s="19"/>
      <c r="R34" s="19"/>
      <c r="S34" s="19"/>
      <c r="T34" s="22"/>
      <c r="U34" s="19"/>
      <c r="V34" s="19"/>
      <c r="W34" s="19"/>
      <c r="X34" s="19"/>
      <c r="Y34" s="19"/>
      <c r="Z34" s="19"/>
      <c r="AA34" s="19"/>
      <c r="AB34" s="19"/>
      <c r="AC34" s="19"/>
      <c r="AD34" s="19"/>
      <c r="AE34" s="19"/>
      <c r="AF34" s="19"/>
      <c r="AG34" s="19"/>
      <c r="AH34" s="19"/>
      <c r="AI34" s="19"/>
      <c r="AJ34" s="19"/>
      <c r="AK34" s="19"/>
      <c r="AL34" s="19"/>
      <c r="AM34" s="19"/>
      <c r="BB34" s="1" t="s">
        <v>2</v>
      </c>
      <c r="BC34" s="1" t="s">
        <v>2</v>
      </c>
      <c r="BD34" s="1" t="s">
        <v>2</v>
      </c>
      <c r="BE34" s="1"/>
      <c r="BF34" s="1"/>
    </row>
    <row r="35" spans="1:58" ht="15" customHeight="1" x14ac:dyDescent="0.15">
      <c r="A35" s="21"/>
      <c r="B35" s="19"/>
      <c r="C35" s="22"/>
      <c r="D35" s="22"/>
      <c r="E35" s="24"/>
      <c r="F35" s="22"/>
      <c r="G35" s="22"/>
      <c r="H35" s="22"/>
      <c r="I35" s="25"/>
      <c r="J35" s="22"/>
      <c r="K35" s="22"/>
      <c r="L35" s="22"/>
      <c r="M35" s="22"/>
      <c r="N35" s="22"/>
      <c r="O35" s="22"/>
      <c r="P35" s="19"/>
      <c r="Q35" s="19"/>
      <c r="R35" s="19"/>
      <c r="S35" s="19"/>
      <c r="T35" s="22"/>
      <c r="U35" s="19"/>
      <c r="V35" s="19"/>
      <c r="W35" s="19"/>
      <c r="X35" s="19"/>
      <c r="Y35" s="19"/>
      <c r="Z35" s="19"/>
      <c r="AA35" s="19"/>
      <c r="AB35" s="19"/>
      <c r="AC35" s="19"/>
      <c r="AD35" s="19"/>
      <c r="AE35" s="19"/>
      <c r="AF35" s="19"/>
      <c r="AG35" s="19"/>
      <c r="AH35" s="19"/>
      <c r="AI35" s="19"/>
      <c r="AJ35" s="19"/>
      <c r="AK35" s="19"/>
      <c r="AL35" s="19"/>
      <c r="AM35" s="19"/>
      <c r="BB35" s="1" t="s">
        <v>142</v>
      </c>
      <c r="BC35" s="1" t="s">
        <v>2</v>
      </c>
      <c r="BD35" s="1" t="s">
        <v>2</v>
      </c>
      <c r="BE35" s="1"/>
      <c r="BF35" s="1" t="s">
        <v>83</v>
      </c>
    </row>
    <row r="36" spans="1:58" ht="15" customHeight="1" x14ac:dyDescent="0.15">
      <c r="A36" s="21"/>
      <c r="B36" s="19"/>
      <c r="C36" s="22"/>
      <c r="D36" s="22"/>
      <c r="E36" s="24"/>
      <c r="F36" s="22"/>
      <c r="G36" s="22"/>
      <c r="H36" s="22"/>
      <c r="I36" s="25"/>
      <c r="J36" s="22"/>
      <c r="K36" s="22"/>
      <c r="L36" s="22"/>
      <c r="M36" s="22"/>
      <c r="N36" s="22"/>
      <c r="O36" s="22"/>
      <c r="P36" s="19"/>
      <c r="Q36" s="19"/>
      <c r="R36" s="19"/>
      <c r="S36" s="19"/>
      <c r="T36" s="22"/>
      <c r="U36" s="19"/>
      <c r="V36" s="19"/>
      <c r="W36" s="19"/>
      <c r="X36" s="19"/>
      <c r="Y36" s="19"/>
      <c r="Z36" s="19"/>
      <c r="AA36" s="19"/>
      <c r="AB36" s="19"/>
      <c r="AC36" s="19"/>
      <c r="AD36" s="19"/>
      <c r="AE36" s="19"/>
      <c r="AF36" s="19"/>
      <c r="AG36" s="19"/>
      <c r="AH36" s="19"/>
      <c r="AI36" s="19"/>
      <c r="AJ36" s="19"/>
      <c r="AK36" s="19"/>
      <c r="AL36" s="19"/>
      <c r="AM36" s="19"/>
      <c r="BB36" s="1" t="s">
        <v>143</v>
      </c>
      <c r="BC36" s="1" t="s">
        <v>2</v>
      </c>
      <c r="BD36" s="1" t="s">
        <v>2</v>
      </c>
      <c r="BE36" s="1"/>
      <c r="BF36" s="1" t="s">
        <v>84</v>
      </c>
    </row>
    <row r="37" spans="1:58" ht="15" customHeight="1" x14ac:dyDescent="0.15">
      <c r="A37" s="21"/>
      <c r="B37" s="22"/>
      <c r="C37" s="22"/>
      <c r="D37" s="22"/>
      <c r="E37" s="22"/>
      <c r="F37" s="22"/>
      <c r="G37" s="22"/>
      <c r="H37" s="22"/>
      <c r="I37" s="22"/>
      <c r="J37" s="22"/>
      <c r="K37" s="22"/>
      <c r="L37" s="22"/>
      <c r="M37" s="22"/>
      <c r="N37" s="22"/>
      <c r="O37" s="22"/>
      <c r="P37" s="22"/>
      <c r="Q37" s="22"/>
      <c r="R37" s="22"/>
      <c r="S37" s="22"/>
      <c r="T37" s="22"/>
      <c r="U37" s="19"/>
      <c r="V37" s="19"/>
      <c r="W37" s="19"/>
      <c r="X37" s="19"/>
      <c r="Y37" s="19"/>
      <c r="Z37" s="19"/>
      <c r="AA37" s="19"/>
      <c r="AB37" s="19"/>
      <c r="AC37" s="19"/>
      <c r="AD37" s="19"/>
      <c r="AE37" s="19"/>
      <c r="AF37" s="19"/>
      <c r="AG37" s="19"/>
      <c r="AH37" s="19"/>
      <c r="AI37" s="19"/>
      <c r="AJ37" s="19"/>
      <c r="AK37" s="19"/>
      <c r="AL37" s="19"/>
      <c r="AM37" s="19"/>
      <c r="BB37" s="8" t="s">
        <v>2</v>
      </c>
      <c r="BC37" s="8" t="s">
        <v>2</v>
      </c>
      <c r="BD37" s="8" t="s">
        <v>2</v>
      </c>
      <c r="BE37" s="8" t="s">
        <v>2</v>
      </c>
      <c r="BF37" s="8" t="s">
        <v>2</v>
      </c>
    </row>
    <row r="38" spans="1:58" ht="15" customHeight="1" x14ac:dyDescent="0.15">
      <c r="A38" s="21"/>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row>
    <row r="39" spans="1:58" ht="15" customHeight="1" x14ac:dyDescent="0.15">
      <c r="A39" s="21"/>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row>
    <row r="40" spans="1:58" ht="15" customHeight="1" x14ac:dyDescent="0.15">
      <c r="A40" s="21"/>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row>
    <row r="41" spans="1:58" ht="15" customHeight="1" x14ac:dyDescent="0.15">
      <c r="A41" s="21"/>
      <c r="B41" s="19"/>
      <c r="C41" s="23"/>
      <c r="D41" s="23"/>
      <c r="E41" s="23"/>
      <c r="F41" s="23"/>
      <c r="G41" s="23"/>
      <c r="H41" s="23"/>
      <c r="I41" s="23"/>
      <c r="J41" s="23"/>
      <c r="K41" s="23"/>
      <c r="L41" s="23"/>
      <c r="M41" s="23"/>
      <c r="N41" s="23"/>
      <c r="O41" s="23"/>
      <c r="P41" s="23"/>
      <c r="Q41" s="23"/>
      <c r="R41" s="23"/>
      <c r="S41" s="23"/>
      <c r="T41" s="19"/>
      <c r="U41" s="19"/>
      <c r="V41" s="19"/>
      <c r="W41" s="19"/>
      <c r="X41" s="21"/>
      <c r="Y41" s="21"/>
      <c r="Z41" s="19"/>
      <c r="AA41" s="19"/>
      <c r="AB41" s="19"/>
      <c r="AC41" s="19"/>
      <c r="AD41" s="19"/>
      <c r="AE41" s="19"/>
      <c r="AF41" s="19"/>
      <c r="AG41" s="19"/>
      <c r="AH41" s="19"/>
      <c r="AI41" s="19"/>
      <c r="AJ41" s="19"/>
      <c r="AK41" s="19"/>
      <c r="AL41" s="19"/>
      <c r="AM41" s="19"/>
    </row>
    <row r="42" spans="1:58" ht="15" customHeight="1" x14ac:dyDescent="0.15">
      <c r="A42" s="21"/>
      <c r="B42" s="19"/>
      <c r="C42" s="19"/>
      <c r="D42" s="22"/>
      <c r="E42" s="19"/>
      <c r="F42" s="22"/>
      <c r="G42" s="260"/>
      <c r="H42" s="260"/>
      <c r="I42" s="19"/>
      <c r="J42" s="22"/>
      <c r="K42" s="22"/>
      <c r="L42" s="22"/>
      <c r="M42" s="19"/>
      <c r="N42" s="22"/>
      <c r="O42" s="22"/>
      <c r="P42" s="22"/>
      <c r="Q42" s="22"/>
      <c r="R42" s="22"/>
      <c r="S42" s="22"/>
      <c r="T42" s="19"/>
      <c r="U42" s="19"/>
      <c r="V42" s="19"/>
      <c r="W42" s="19"/>
      <c r="X42" s="23"/>
      <c r="Y42" s="23"/>
      <c r="Z42" s="23"/>
      <c r="AA42" s="23"/>
      <c r="AB42" s="23"/>
      <c r="AC42" s="19"/>
      <c r="AD42" s="19"/>
      <c r="AE42" s="19"/>
      <c r="AF42" s="19"/>
      <c r="AG42" s="19"/>
      <c r="AH42" s="19"/>
      <c r="AI42" s="19"/>
      <c r="AJ42" s="19"/>
      <c r="AK42" s="19"/>
      <c r="AL42" s="19"/>
      <c r="AM42" s="19"/>
    </row>
    <row r="43" spans="1:58" ht="15" customHeight="1" x14ac:dyDescent="0.15">
      <c r="A43" s="21"/>
      <c r="B43" s="19"/>
      <c r="C43" s="22"/>
      <c r="D43" s="22"/>
      <c r="E43" s="22"/>
      <c r="F43" s="22"/>
      <c r="G43" s="22"/>
      <c r="H43" s="22"/>
      <c r="I43" s="19"/>
      <c r="J43" s="22"/>
      <c r="K43" s="22"/>
      <c r="L43" s="22"/>
      <c r="M43" s="22"/>
      <c r="N43" s="22"/>
      <c r="O43" s="22"/>
      <c r="P43" s="22"/>
      <c r="Q43" s="22"/>
      <c r="R43" s="22"/>
      <c r="S43" s="22"/>
      <c r="T43" s="19"/>
      <c r="U43" s="19"/>
      <c r="V43" s="19"/>
      <c r="W43" s="19"/>
      <c r="X43" s="22"/>
      <c r="Y43" s="22"/>
      <c r="Z43" s="22"/>
      <c r="AA43" s="22"/>
      <c r="AB43" s="22"/>
      <c r="AC43" s="22"/>
      <c r="AD43" s="19"/>
      <c r="AE43" s="19"/>
      <c r="AF43" s="19"/>
      <c r="AG43" s="19"/>
      <c r="AH43" s="19"/>
      <c r="AI43" s="19"/>
      <c r="AJ43" s="19"/>
      <c r="AK43" s="19"/>
      <c r="AL43" s="19"/>
      <c r="AM43" s="19"/>
    </row>
    <row r="44" spans="1:58" ht="15" customHeight="1" x14ac:dyDescent="0.15">
      <c r="A44" s="21"/>
      <c r="B44" s="19"/>
      <c r="C44" s="22"/>
      <c r="D44" s="22"/>
      <c r="E44" s="24"/>
      <c r="F44" s="22"/>
      <c r="G44" s="22"/>
      <c r="H44" s="22"/>
      <c r="I44" s="19"/>
      <c r="J44" s="22"/>
      <c r="K44" s="22"/>
      <c r="L44" s="22"/>
      <c r="M44" s="22"/>
      <c r="N44" s="22"/>
      <c r="O44" s="25"/>
      <c r="P44" s="22"/>
      <c r="Q44" s="22"/>
      <c r="R44" s="22"/>
      <c r="S44" s="22"/>
      <c r="T44" s="22"/>
      <c r="U44" s="19"/>
      <c r="V44" s="19"/>
      <c r="W44" s="19"/>
      <c r="X44" s="26"/>
      <c r="Y44" s="22"/>
      <c r="Z44" s="22"/>
      <c r="AA44" s="22"/>
      <c r="AB44" s="22"/>
      <c r="AC44" s="19"/>
      <c r="AD44" s="19"/>
      <c r="AE44" s="19"/>
      <c r="AF44" s="19"/>
      <c r="AG44" s="19"/>
      <c r="AH44" s="19"/>
      <c r="AI44" s="19"/>
      <c r="AJ44" s="19"/>
      <c r="AK44" s="19"/>
      <c r="AL44" s="19"/>
      <c r="AM44" s="19"/>
    </row>
    <row r="45" spans="1:58" ht="15" customHeight="1" x14ac:dyDescent="0.15">
      <c r="A45" s="21"/>
      <c r="B45" s="19"/>
      <c r="C45" s="22"/>
      <c r="D45" s="22"/>
      <c r="E45" s="24"/>
      <c r="F45" s="22"/>
      <c r="G45" s="22"/>
      <c r="H45" s="22"/>
      <c r="I45" s="22"/>
      <c r="J45" s="22"/>
      <c r="K45" s="22"/>
      <c r="L45" s="22"/>
      <c r="M45" s="22"/>
      <c r="N45" s="22"/>
      <c r="O45" s="25"/>
      <c r="P45" s="22"/>
      <c r="Q45" s="22"/>
      <c r="R45" s="22"/>
      <c r="S45" s="22"/>
      <c r="T45" s="22"/>
      <c r="U45" s="19"/>
      <c r="V45" s="19"/>
      <c r="W45" s="19"/>
      <c r="X45" s="26"/>
      <c r="Y45" s="22"/>
      <c r="Z45" s="22"/>
      <c r="AA45" s="22"/>
      <c r="AB45" s="22"/>
      <c r="AC45" s="19"/>
      <c r="AD45" s="19"/>
      <c r="AE45" s="19"/>
      <c r="AF45" s="19"/>
      <c r="AG45" s="19"/>
      <c r="AH45" s="19"/>
      <c r="AI45" s="19"/>
      <c r="AJ45" s="19"/>
      <c r="AK45" s="19"/>
      <c r="AL45" s="19"/>
      <c r="AM45" s="19"/>
    </row>
    <row r="46" spans="1:58" ht="15" customHeight="1" x14ac:dyDescent="0.15">
      <c r="A46" s="21"/>
      <c r="B46" s="19"/>
      <c r="C46" s="22"/>
      <c r="D46" s="22"/>
      <c r="E46" s="24"/>
      <c r="F46" s="22"/>
      <c r="G46" s="22"/>
      <c r="H46" s="22"/>
      <c r="I46" s="22"/>
      <c r="J46" s="22"/>
      <c r="K46" s="22"/>
      <c r="L46" s="22"/>
      <c r="M46" s="22"/>
      <c r="N46" s="22"/>
      <c r="O46" s="25"/>
      <c r="P46" s="22"/>
      <c r="Q46" s="22"/>
      <c r="R46" s="22"/>
      <c r="S46" s="22"/>
      <c r="T46" s="22"/>
      <c r="U46" s="19"/>
      <c r="V46" s="19"/>
      <c r="W46" s="19"/>
      <c r="X46" s="26"/>
      <c r="Y46" s="22"/>
      <c r="Z46" s="22"/>
      <c r="AA46" s="22"/>
      <c r="AB46" s="22"/>
      <c r="AC46" s="19"/>
      <c r="AD46" s="19"/>
      <c r="AE46" s="19"/>
      <c r="AF46" s="19"/>
      <c r="AG46" s="19"/>
      <c r="AH46" s="19"/>
      <c r="AI46" s="19"/>
      <c r="AJ46" s="19"/>
      <c r="AK46" s="19"/>
      <c r="AL46" s="19"/>
      <c r="AM46" s="19"/>
    </row>
    <row r="47" spans="1:58" ht="15" customHeight="1" x14ac:dyDescent="0.15">
      <c r="A47" s="21"/>
      <c r="B47" s="19"/>
      <c r="C47" s="22"/>
      <c r="D47" s="22"/>
      <c r="E47" s="24"/>
      <c r="F47" s="22"/>
      <c r="G47" s="22"/>
      <c r="H47" s="22"/>
      <c r="I47" s="22"/>
      <c r="J47" s="22"/>
      <c r="K47" s="22"/>
      <c r="L47" s="22"/>
      <c r="M47" s="22"/>
      <c r="N47" s="22"/>
      <c r="O47" s="25"/>
      <c r="P47" s="22"/>
      <c r="Q47" s="22"/>
      <c r="R47" s="22"/>
      <c r="S47" s="22"/>
      <c r="T47" s="22"/>
      <c r="U47" s="19"/>
      <c r="V47" s="19"/>
      <c r="W47" s="19"/>
      <c r="X47" s="26"/>
      <c r="Y47" s="22"/>
      <c r="Z47" s="22"/>
      <c r="AA47" s="22"/>
      <c r="AB47" s="22"/>
      <c r="AC47" s="19"/>
      <c r="AD47" s="19"/>
      <c r="AE47" s="19"/>
      <c r="AF47" s="19"/>
      <c r="AG47" s="19"/>
      <c r="AH47" s="19"/>
      <c r="AI47" s="19"/>
      <c r="AJ47" s="19"/>
      <c r="AK47" s="19"/>
      <c r="AL47" s="19"/>
      <c r="AM47" s="19"/>
    </row>
    <row r="48" spans="1:58" ht="15" customHeight="1" x14ac:dyDescent="0.15">
      <c r="A48" s="21"/>
      <c r="B48" s="19"/>
      <c r="C48" s="22"/>
      <c r="D48" s="22"/>
      <c r="E48" s="24"/>
      <c r="F48" s="22"/>
      <c r="G48" s="22"/>
      <c r="H48" s="22"/>
      <c r="I48" s="22"/>
      <c r="J48" s="22"/>
      <c r="K48" s="22"/>
      <c r="L48" s="22"/>
      <c r="M48" s="22"/>
      <c r="N48" s="22"/>
      <c r="O48" s="25"/>
      <c r="P48" s="22"/>
      <c r="Q48" s="22"/>
      <c r="R48" s="22"/>
      <c r="S48" s="22"/>
      <c r="T48" s="22"/>
      <c r="U48" s="19"/>
      <c r="V48" s="19"/>
      <c r="W48" s="19"/>
      <c r="X48" s="20"/>
      <c r="Y48" s="19"/>
      <c r="Z48" s="19"/>
      <c r="AA48" s="19"/>
      <c r="AB48" s="19"/>
      <c r="AC48" s="19"/>
      <c r="AD48" s="19"/>
      <c r="AE48" s="19"/>
      <c r="AF48" s="19"/>
      <c r="AG48" s="19"/>
      <c r="AH48" s="19"/>
      <c r="AI48" s="19"/>
      <c r="AJ48" s="19"/>
      <c r="AK48" s="19"/>
      <c r="AL48" s="19"/>
      <c r="AM48" s="19"/>
    </row>
    <row r="49" spans="1:39" ht="15" customHeight="1" x14ac:dyDescent="0.15">
      <c r="A49" s="21"/>
      <c r="B49" s="19"/>
      <c r="C49" s="22"/>
      <c r="D49" s="22"/>
      <c r="E49" s="24"/>
      <c r="F49" s="22"/>
      <c r="G49" s="22"/>
      <c r="H49" s="22"/>
      <c r="I49" s="22"/>
      <c r="J49" s="22"/>
      <c r="K49" s="22"/>
      <c r="L49" s="22"/>
      <c r="M49" s="22"/>
      <c r="N49" s="22"/>
      <c r="O49" s="25"/>
      <c r="P49" s="22"/>
      <c r="Q49" s="22"/>
      <c r="R49" s="22"/>
      <c r="S49" s="22"/>
      <c r="T49" s="22"/>
      <c r="U49" s="19"/>
      <c r="V49" s="19"/>
      <c r="W49" s="19"/>
      <c r="X49" s="19"/>
      <c r="Y49" s="19"/>
      <c r="Z49" s="19"/>
      <c r="AA49" s="19"/>
      <c r="AB49" s="19"/>
      <c r="AC49" s="19"/>
      <c r="AD49" s="19"/>
      <c r="AE49" s="19"/>
      <c r="AF49" s="19"/>
      <c r="AG49" s="19"/>
      <c r="AH49" s="19"/>
      <c r="AI49" s="19"/>
      <c r="AJ49" s="19"/>
      <c r="AK49" s="19"/>
      <c r="AL49" s="19"/>
      <c r="AM49" s="19"/>
    </row>
    <row r="50" spans="1:39" ht="15" customHeight="1" x14ac:dyDescent="0.15">
      <c r="A50" s="21"/>
      <c r="B50" s="19"/>
      <c r="C50" s="22"/>
      <c r="D50" s="22"/>
      <c r="E50" s="24"/>
      <c r="F50" s="22"/>
      <c r="G50" s="22"/>
      <c r="H50" s="22"/>
      <c r="I50" s="22"/>
      <c r="J50" s="22"/>
      <c r="K50" s="22"/>
      <c r="L50" s="22"/>
      <c r="M50" s="22"/>
      <c r="N50" s="22"/>
      <c r="O50" s="25"/>
      <c r="P50" s="22"/>
      <c r="Q50" s="22"/>
      <c r="R50" s="22"/>
      <c r="S50" s="22"/>
      <c r="T50" s="22"/>
      <c r="U50" s="19"/>
      <c r="V50" s="19"/>
      <c r="W50" s="19"/>
      <c r="X50" s="19"/>
      <c r="Y50" s="19"/>
      <c r="Z50" s="19"/>
      <c r="AA50" s="19"/>
      <c r="AB50" s="19"/>
      <c r="AC50" s="19"/>
      <c r="AD50" s="19"/>
      <c r="AE50" s="19"/>
      <c r="AF50" s="19"/>
      <c r="AG50" s="19"/>
      <c r="AH50" s="19"/>
      <c r="AI50" s="19"/>
      <c r="AJ50" s="19"/>
      <c r="AK50" s="19"/>
      <c r="AL50" s="19"/>
      <c r="AM50" s="19"/>
    </row>
    <row r="51" spans="1:39" ht="15" customHeight="1" x14ac:dyDescent="0.15">
      <c r="A51" s="21"/>
      <c r="B51" s="19"/>
      <c r="C51" s="22"/>
      <c r="D51" s="22"/>
      <c r="E51" s="24"/>
      <c r="F51" s="22"/>
      <c r="G51" s="22"/>
      <c r="H51" s="22"/>
      <c r="I51" s="22"/>
      <c r="J51" s="22"/>
      <c r="K51" s="22"/>
      <c r="L51" s="22"/>
      <c r="M51" s="22"/>
      <c r="N51" s="22"/>
      <c r="O51" s="25"/>
      <c r="P51" s="22"/>
      <c r="Q51" s="22"/>
      <c r="R51" s="22"/>
      <c r="S51" s="22"/>
      <c r="T51" s="22"/>
      <c r="U51" s="19"/>
      <c r="V51" s="19"/>
      <c r="W51" s="19"/>
      <c r="X51" s="19"/>
      <c r="Y51" s="19"/>
      <c r="Z51" s="19"/>
      <c r="AA51" s="19"/>
      <c r="AB51" s="19"/>
      <c r="AC51" s="19"/>
      <c r="AD51" s="19"/>
      <c r="AE51" s="19"/>
      <c r="AF51" s="19"/>
      <c r="AG51" s="19"/>
      <c r="AH51" s="19"/>
      <c r="AI51" s="19"/>
      <c r="AJ51" s="19"/>
      <c r="AK51" s="19"/>
      <c r="AL51" s="19"/>
      <c r="AM51" s="19"/>
    </row>
    <row r="52" spans="1:39" ht="15" customHeight="1" x14ac:dyDescent="0.15">
      <c r="A52" s="21"/>
      <c r="B52" s="19"/>
      <c r="C52" s="22"/>
      <c r="D52" s="22"/>
      <c r="E52" s="24"/>
      <c r="F52" s="22"/>
      <c r="G52" s="22"/>
      <c r="H52" s="22"/>
      <c r="I52" s="22"/>
      <c r="J52" s="22"/>
      <c r="K52" s="22"/>
      <c r="L52" s="22"/>
      <c r="M52" s="22"/>
      <c r="N52" s="22"/>
      <c r="O52" s="25"/>
      <c r="P52" s="22"/>
      <c r="Q52" s="22"/>
      <c r="R52" s="22"/>
      <c r="S52" s="22"/>
      <c r="T52" s="22"/>
      <c r="U52" s="19"/>
      <c r="V52" s="19"/>
      <c r="W52" s="19"/>
      <c r="X52" s="19"/>
      <c r="Y52" s="19"/>
      <c r="Z52" s="19"/>
      <c r="AA52" s="19"/>
      <c r="AB52" s="19"/>
      <c r="AC52" s="19"/>
      <c r="AD52" s="19"/>
      <c r="AE52" s="19"/>
      <c r="AF52" s="19"/>
      <c r="AG52" s="19"/>
      <c r="AH52" s="19"/>
      <c r="AI52" s="19"/>
      <c r="AJ52" s="19"/>
      <c r="AK52" s="19"/>
      <c r="AL52" s="19"/>
      <c r="AM52" s="19"/>
    </row>
    <row r="53" spans="1:39" ht="15" customHeight="1" x14ac:dyDescent="0.15">
      <c r="A53" s="21"/>
      <c r="B53" s="19"/>
      <c r="C53" s="22"/>
      <c r="D53" s="22"/>
      <c r="E53" s="24"/>
      <c r="F53" s="22"/>
      <c r="G53" s="22"/>
      <c r="H53" s="22"/>
      <c r="I53" s="22"/>
      <c r="J53" s="22"/>
      <c r="K53" s="22"/>
      <c r="L53" s="22"/>
      <c r="M53" s="22"/>
      <c r="N53" s="22"/>
      <c r="O53" s="25"/>
      <c r="P53" s="22"/>
      <c r="Q53" s="22"/>
      <c r="R53" s="22"/>
      <c r="S53" s="22"/>
      <c r="T53" s="22"/>
      <c r="U53" s="19"/>
      <c r="V53" s="19"/>
      <c r="W53" s="19"/>
      <c r="X53" s="19"/>
      <c r="Y53" s="19"/>
      <c r="Z53" s="19"/>
      <c r="AA53" s="19"/>
      <c r="AB53" s="19"/>
      <c r="AC53" s="19"/>
      <c r="AD53" s="19"/>
      <c r="AE53" s="19"/>
      <c r="AF53" s="19"/>
      <c r="AG53" s="19"/>
      <c r="AH53" s="19"/>
      <c r="AI53" s="19"/>
      <c r="AJ53" s="19"/>
      <c r="AK53" s="19"/>
      <c r="AL53" s="19"/>
      <c r="AM53" s="19"/>
    </row>
    <row r="54" spans="1:39" ht="15" customHeight="1" x14ac:dyDescent="0.15">
      <c r="A54" s="21"/>
      <c r="B54" s="19"/>
      <c r="C54" s="22"/>
      <c r="D54" s="22"/>
      <c r="E54" s="24"/>
      <c r="F54" s="22"/>
      <c r="G54" s="22"/>
      <c r="H54" s="22"/>
      <c r="I54" s="22"/>
      <c r="J54" s="22"/>
      <c r="K54" s="22"/>
      <c r="L54" s="22"/>
      <c r="M54" s="22"/>
      <c r="N54" s="22"/>
      <c r="O54" s="25"/>
      <c r="P54" s="22"/>
      <c r="Q54" s="22"/>
      <c r="R54" s="22"/>
      <c r="S54" s="22"/>
      <c r="T54" s="22"/>
      <c r="U54" s="19"/>
      <c r="V54" s="19"/>
      <c r="W54" s="19"/>
      <c r="X54" s="19"/>
      <c r="Y54" s="19"/>
      <c r="Z54" s="19"/>
      <c r="AA54" s="19"/>
      <c r="AB54" s="19"/>
      <c r="AC54" s="19"/>
      <c r="AD54" s="19"/>
      <c r="AE54" s="19"/>
      <c r="AF54" s="19"/>
      <c r="AG54" s="19"/>
      <c r="AH54" s="19"/>
      <c r="AI54" s="19"/>
      <c r="AJ54" s="19"/>
      <c r="AK54" s="19"/>
      <c r="AL54" s="19"/>
      <c r="AM54" s="19"/>
    </row>
    <row r="55" spans="1:39" ht="15" customHeight="1" x14ac:dyDescent="0.15">
      <c r="A55" s="21"/>
      <c r="B55" s="22"/>
      <c r="C55" s="22"/>
      <c r="D55" s="22"/>
      <c r="E55" s="22"/>
      <c r="F55" s="22"/>
      <c r="G55" s="22"/>
      <c r="H55" s="22"/>
      <c r="I55" s="22"/>
      <c r="J55" s="22"/>
      <c r="K55" s="22"/>
      <c r="L55" s="22"/>
      <c r="M55" s="22"/>
      <c r="N55" s="22"/>
      <c r="O55" s="22"/>
      <c r="P55" s="22"/>
      <c r="Q55" s="22"/>
      <c r="R55" s="22"/>
      <c r="S55" s="22"/>
      <c r="T55" s="22"/>
      <c r="U55" s="19"/>
      <c r="V55" s="19"/>
      <c r="W55" s="19"/>
      <c r="X55" s="19"/>
      <c r="Y55" s="19"/>
      <c r="Z55" s="19"/>
      <c r="AA55" s="19"/>
      <c r="AB55" s="19"/>
      <c r="AC55" s="19"/>
      <c r="AD55" s="19"/>
      <c r="AE55" s="19"/>
      <c r="AF55" s="19"/>
      <c r="AG55" s="19"/>
      <c r="AH55" s="19"/>
      <c r="AI55" s="19"/>
      <c r="AJ55" s="19"/>
      <c r="AK55" s="19"/>
      <c r="AL55" s="19"/>
      <c r="AM55" s="19"/>
    </row>
    <row r="56" spans="1:39" ht="15" customHeight="1" x14ac:dyDescent="0.15">
      <c r="A56" s="21"/>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row>
    <row r="57" spans="1:39" ht="15" customHeight="1" x14ac:dyDescent="0.15">
      <c r="A57" s="21"/>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row>
    <row r="58" spans="1:39" ht="15" customHeight="1" x14ac:dyDescent="0.15">
      <c r="A58" s="21"/>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row>
    <row r="59" spans="1:39" ht="15" customHeight="1" x14ac:dyDescent="0.15">
      <c r="A59" s="21"/>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row>
    <row r="60" spans="1:39" ht="15" customHeight="1" x14ac:dyDescent="0.15">
      <c r="A60" s="21"/>
      <c r="B60" s="19"/>
      <c r="C60" s="19"/>
      <c r="D60" s="19"/>
      <c r="E60" s="21"/>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row>
    <row r="61" spans="1:39" ht="15" customHeight="1" x14ac:dyDescent="0.15">
      <c r="A61" s="21"/>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row>
    <row r="62" spans="1:39" ht="15" customHeight="1" x14ac:dyDescent="0.15">
      <c r="A62" s="21"/>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row>
    <row r="63" spans="1:39" ht="15" customHeight="1" x14ac:dyDescent="0.15">
      <c r="A63" s="21"/>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row>
    <row r="64" spans="1:39" ht="15" customHeight="1" x14ac:dyDescent="0.15">
      <c r="A64" s="21"/>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row>
    <row r="65" spans="1:39" ht="15" customHeight="1" x14ac:dyDescent="0.15">
      <c r="A65" s="21"/>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row>
    <row r="66" spans="1:39" ht="15" customHeight="1" x14ac:dyDescent="0.15">
      <c r="A66" s="21"/>
      <c r="B66" s="19"/>
      <c r="C66" s="19"/>
      <c r="D66" s="19"/>
      <c r="E66" s="19"/>
      <c r="F66" s="19"/>
      <c r="G66" s="19"/>
      <c r="H66" s="19"/>
      <c r="I66" s="21"/>
      <c r="J66" s="19"/>
      <c r="K66" s="19"/>
      <c r="L66" s="19"/>
      <c r="M66" s="21"/>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row>
    <row r="67" spans="1:39" ht="15" customHeight="1" x14ac:dyDescent="0.15">
      <c r="A67" s="21"/>
      <c r="B67" s="19"/>
      <c r="C67" s="19"/>
      <c r="D67" s="19"/>
      <c r="E67" s="19"/>
      <c r="F67" s="21"/>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row>
    <row r="68" spans="1:39" ht="15" customHeight="1" x14ac:dyDescent="0.15">
      <c r="A68" s="21"/>
      <c r="B68" s="22"/>
      <c r="C68" s="22"/>
      <c r="D68" s="22"/>
      <c r="E68" s="19"/>
      <c r="F68" s="22"/>
      <c r="G68" s="22"/>
      <c r="H68" s="19"/>
      <c r="I68" s="22"/>
      <c r="J68" s="22"/>
      <c r="K68" s="22"/>
      <c r="L68" s="19"/>
      <c r="M68" s="22"/>
      <c r="N68" s="22"/>
      <c r="O68" s="22"/>
      <c r="P68" s="19"/>
      <c r="Q68" s="21"/>
      <c r="R68" s="19"/>
      <c r="S68" s="19"/>
      <c r="T68" s="19"/>
      <c r="U68" s="19"/>
      <c r="V68" s="21"/>
      <c r="W68" s="19"/>
      <c r="X68" s="19"/>
      <c r="Y68" s="19"/>
      <c r="Z68" s="19"/>
      <c r="AA68" s="19"/>
      <c r="AB68" s="21"/>
      <c r="AC68" s="19"/>
      <c r="AD68" s="19"/>
      <c r="AE68" s="19"/>
      <c r="AF68" s="19"/>
      <c r="AG68" s="19"/>
      <c r="AH68" s="19"/>
      <c r="AI68" s="19"/>
      <c r="AJ68" s="19"/>
      <c r="AK68" s="19"/>
      <c r="AL68" s="19"/>
      <c r="AM68" s="19"/>
    </row>
    <row r="69" spans="1:39" ht="15" customHeight="1" x14ac:dyDescent="0.15">
      <c r="A69" s="21"/>
      <c r="B69" s="19"/>
      <c r="C69" s="22"/>
      <c r="D69" s="22"/>
      <c r="E69" s="19"/>
      <c r="F69" s="22"/>
      <c r="G69" s="22"/>
      <c r="H69" s="19"/>
      <c r="I69" s="22"/>
      <c r="J69" s="27"/>
      <c r="K69" s="27"/>
      <c r="L69" s="19"/>
      <c r="M69" s="22"/>
      <c r="N69" s="27"/>
      <c r="O69" s="22"/>
      <c r="P69" s="19"/>
      <c r="Q69" s="22"/>
      <c r="R69" s="22"/>
      <c r="S69" s="22"/>
      <c r="T69" s="19"/>
      <c r="U69" s="19"/>
      <c r="V69" s="19"/>
      <c r="W69" s="19"/>
      <c r="X69" s="19"/>
      <c r="Y69" s="19"/>
      <c r="Z69" s="19"/>
      <c r="AA69" s="19"/>
      <c r="AB69" s="19"/>
      <c r="AC69" s="19"/>
      <c r="AD69" s="19"/>
      <c r="AE69" s="19"/>
      <c r="AF69" s="19"/>
      <c r="AG69" s="19"/>
      <c r="AH69" s="19"/>
      <c r="AI69" s="19"/>
      <c r="AJ69" s="19"/>
      <c r="AK69" s="19"/>
      <c r="AL69" s="19"/>
      <c r="AM69" s="19"/>
    </row>
    <row r="70" spans="1:39" ht="15" customHeight="1" x14ac:dyDescent="0.15">
      <c r="A70" s="21"/>
      <c r="B70" s="19"/>
      <c r="C70" s="22"/>
      <c r="D70" s="22"/>
      <c r="E70" s="19"/>
      <c r="F70" s="22"/>
      <c r="G70" s="22"/>
      <c r="H70" s="19"/>
      <c r="I70" s="22"/>
      <c r="J70" s="27"/>
      <c r="K70" s="27"/>
      <c r="L70" s="19"/>
      <c r="M70" s="22"/>
      <c r="N70" s="27"/>
      <c r="O70" s="22"/>
      <c r="P70" s="19"/>
      <c r="Q70" s="22"/>
      <c r="R70" s="22"/>
      <c r="S70" s="22"/>
      <c r="T70" s="19"/>
      <c r="U70" s="19"/>
      <c r="V70" s="19"/>
      <c r="W70" s="19"/>
      <c r="X70" s="260"/>
      <c r="Y70" s="260"/>
      <c r="Z70" s="19"/>
      <c r="AA70" s="19"/>
      <c r="AB70" s="19"/>
      <c r="AC70" s="19"/>
      <c r="AD70" s="19"/>
      <c r="AE70" s="19"/>
      <c r="AF70" s="19"/>
      <c r="AG70" s="19"/>
      <c r="AH70" s="19"/>
      <c r="AI70" s="19"/>
      <c r="AJ70" s="19"/>
      <c r="AK70" s="19"/>
      <c r="AL70" s="19"/>
      <c r="AM70" s="19"/>
    </row>
    <row r="71" spans="1:39" ht="15" customHeight="1" x14ac:dyDescent="0.15">
      <c r="A71" s="21"/>
      <c r="B71" s="19"/>
      <c r="C71" s="22"/>
      <c r="D71" s="22"/>
      <c r="E71" s="19"/>
      <c r="F71" s="22"/>
      <c r="G71" s="22"/>
      <c r="H71" s="19"/>
      <c r="I71" s="22"/>
      <c r="J71" s="27"/>
      <c r="K71" s="27"/>
      <c r="L71" s="19"/>
      <c r="M71" s="22"/>
      <c r="N71" s="22"/>
      <c r="O71" s="22"/>
      <c r="P71" s="19"/>
      <c r="Q71" s="22"/>
      <c r="R71" s="22"/>
      <c r="S71" s="22"/>
      <c r="T71" s="19"/>
      <c r="U71" s="19"/>
      <c r="V71" s="19"/>
      <c r="W71" s="19"/>
      <c r="X71" s="22"/>
      <c r="Y71" s="22"/>
      <c r="Z71" s="22"/>
      <c r="AA71" s="19"/>
      <c r="AB71" s="19"/>
      <c r="AC71" s="22"/>
      <c r="AD71" s="19"/>
      <c r="AE71" s="19"/>
      <c r="AF71" s="19"/>
      <c r="AG71" s="19"/>
      <c r="AH71" s="19"/>
      <c r="AI71" s="19"/>
      <c r="AJ71" s="19"/>
      <c r="AK71" s="19"/>
      <c r="AL71" s="19"/>
      <c r="AM71" s="19"/>
    </row>
    <row r="72" spans="1:39" ht="15" customHeight="1" x14ac:dyDescent="0.15">
      <c r="A72" s="21"/>
      <c r="B72" s="19"/>
      <c r="C72" s="22"/>
      <c r="D72" s="22"/>
      <c r="E72" s="19"/>
      <c r="F72" s="22"/>
      <c r="G72" s="22"/>
      <c r="H72" s="19"/>
      <c r="I72" s="22"/>
      <c r="J72" s="27"/>
      <c r="K72" s="27"/>
      <c r="L72" s="19"/>
      <c r="M72" s="19"/>
      <c r="N72" s="19"/>
      <c r="O72" s="19"/>
      <c r="P72" s="19"/>
      <c r="Q72" s="22"/>
      <c r="R72" s="22"/>
      <c r="S72" s="22"/>
      <c r="T72" s="19"/>
      <c r="U72" s="19"/>
      <c r="V72" s="261"/>
      <c r="W72" s="19"/>
      <c r="X72" s="22"/>
      <c r="Y72" s="22"/>
      <c r="Z72" s="22"/>
      <c r="AA72" s="19"/>
      <c r="AB72" s="19"/>
      <c r="AC72" s="22"/>
      <c r="AD72" s="19"/>
      <c r="AE72" s="19"/>
      <c r="AF72" s="19"/>
      <c r="AG72" s="19"/>
      <c r="AH72" s="19"/>
      <c r="AI72" s="19"/>
      <c r="AJ72" s="19"/>
      <c r="AK72" s="19"/>
      <c r="AL72" s="19"/>
      <c r="AM72" s="19"/>
    </row>
    <row r="73" spans="1:39" ht="15" customHeight="1" x14ac:dyDescent="0.15">
      <c r="A73" s="21"/>
      <c r="B73" s="19"/>
      <c r="C73" s="22"/>
      <c r="D73" s="22"/>
      <c r="E73" s="19"/>
      <c r="F73" s="22"/>
      <c r="G73" s="22"/>
      <c r="H73" s="19"/>
      <c r="I73" s="22"/>
      <c r="J73" s="22"/>
      <c r="K73" s="22"/>
      <c r="L73" s="19"/>
      <c r="M73" s="19"/>
      <c r="N73" s="19"/>
      <c r="O73" s="19"/>
      <c r="P73" s="19"/>
      <c r="Q73" s="22"/>
      <c r="R73" s="22"/>
      <c r="S73" s="22"/>
      <c r="T73" s="19"/>
      <c r="U73" s="19"/>
      <c r="V73" s="261"/>
      <c r="W73" s="19"/>
      <c r="X73" s="22"/>
      <c r="Y73" s="22"/>
      <c r="Z73" s="22"/>
      <c r="AA73" s="19"/>
      <c r="AB73" s="19"/>
      <c r="AC73" s="22"/>
      <c r="AD73" s="19"/>
      <c r="AE73" s="19"/>
      <c r="AF73" s="19"/>
      <c r="AG73" s="19"/>
      <c r="AH73" s="19"/>
      <c r="AI73" s="19"/>
      <c r="AJ73" s="19"/>
      <c r="AK73" s="19"/>
      <c r="AL73" s="19"/>
      <c r="AM73" s="19"/>
    </row>
    <row r="74" spans="1:39" ht="15" customHeight="1" x14ac:dyDescent="0.15">
      <c r="A74" s="21"/>
      <c r="B74" s="19"/>
      <c r="C74" s="22"/>
      <c r="D74" s="22"/>
      <c r="E74" s="19"/>
      <c r="F74" s="22"/>
      <c r="G74" s="22"/>
      <c r="H74" s="19"/>
      <c r="I74" s="19"/>
      <c r="J74" s="19"/>
      <c r="K74" s="19"/>
      <c r="L74" s="19"/>
      <c r="M74" s="19"/>
      <c r="N74" s="19"/>
      <c r="O74" s="19"/>
      <c r="P74" s="19"/>
      <c r="Q74" s="22"/>
      <c r="R74" s="22"/>
      <c r="S74" s="22"/>
      <c r="T74" s="19"/>
      <c r="U74" s="19"/>
      <c r="V74" s="261"/>
      <c r="W74" s="20"/>
      <c r="X74" s="22"/>
      <c r="Y74" s="22"/>
      <c r="Z74" s="22"/>
      <c r="AA74" s="19"/>
      <c r="AB74" s="19"/>
      <c r="AC74" s="22"/>
      <c r="AD74" s="19"/>
      <c r="AE74" s="19"/>
      <c r="AF74" s="19"/>
      <c r="AG74" s="19"/>
      <c r="AH74" s="19"/>
      <c r="AI74" s="19"/>
      <c r="AJ74" s="19"/>
      <c r="AK74" s="19"/>
      <c r="AL74" s="19"/>
      <c r="AM74" s="19"/>
    </row>
    <row r="75" spans="1:39" ht="15" customHeight="1" x14ac:dyDescent="0.15">
      <c r="A75" s="21"/>
      <c r="B75" s="19"/>
      <c r="C75" s="22"/>
      <c r="D75" s="22"/>
      <c r="E75" s="19"/>
      <c r="F75" s="22"/>
      <c r="G75" s="22"/>
      <c r="H75" s="19"/>
      <c r="I75" s="19"/>
      <c r="J75" s="19"/>
      <c r="K75" s="19"/>
      <c r="L75" s="19"/>
      <c r="M75" s="19"/>
      <c r="N75" s="19"/>
      <c r="O75" s="19"/>
      <c r="P75" s="19"/>
      <c r="Q75" s="22"/>
      <c r="R75" s="22"/>
      <c r="S75" s="22"/>
      <c r="T75" s="19"/>
      <c r="U75" s="19"/>
      <c r="V75" s="261"/>
      <c r="W75" s="20"/>
      <c r="X75" s="22"/>
      <c r="Y75" s="22"/>
      <c r="Z75" s="22"/>
      <c r="AA75" s="19"/>
      <c r="AB75" s="19"/>
      <c r="AC75" s="22"/>
      <c r="AD75" s="19"/>
      <c r="AE75" s="19"/>
      <c r="AF75" s="19"/>
      <c r="AG75" s="19"/>
      <c r="AH75" s="19"/>
      <c r="AI75" s="19"/>
      <c r="AJ75" s="19"/>
      <c r="AK75" s="19"/>
      <c r="AL75" s="19"/>
      <c r="AM75" s="19"/>
    </row>
    <row r="76" spans="1:39" ht="15" customHeight="1" x14ac:dyDescent="0.15">
      <c r="A76" s="21"/>
      <c r="B76" s="19"/>
      <c r="C76" s="22"/>
      <c r="D76" s="22"/>
      <c r="E76" s="19"/>
      <c r="F76" s="22"/>
      <c r="G76" s="22"/>
      <c r="H76" s="19"/>
      <c r="I76" s="19"/>
      <c r="J76" s="19"/>
      <c r="K76" s="19"/>
      <c r="L76" s="19"/>
      <c r="M76" s="19"/>
      <c r="N76" s="19"/>
      <c r="O76" s="19"/>
      <c r="P76" s="19"/>
      <c r="Q76" s="22"/>
      <c r="R76" s="22"/>
      <c r="S76" s="22"/>
      <c r="T76" s="19"/>
      <c r="U76" s="19"/>
      <c r="V76" s="19"/>
      <c r="W76" s="19"/>
      <c r="X76" s="19"/>
      <c r="Y76" s="19"/>
      <c r="Z76" s="19"/>
      <c r="AA76" s="19"/>
      <c r="AB76" s="19"/>
      <c r="AC76" s="22"/>
      <c r="AD76" s="19"/>
      <c r="AE76" s="19"/>
      <c r="AF76" s="19"/>
      <c r="AG76" s="19"/>
      <c r="AH76" s="19"/>
      <c r="AI76" s="19"/>
      <c r="AJ76" s="19"/>
      <c r="AK76" s="19"/>
      <c r="AL76" s="19"/>
      <c r="AM76" s="19"/>
    </row>
    <row r="77" spans="1:39" ht="15" customHeight="1" x14ac:dyDescent="0.15">
      <c r="A77" s="21"/>
      <c r="B77" s="19"/>
      <c r="C77" s="22"/>
      <c r="D77" s="22"/>
      <c r="E77" s="19"/>
      <c r="F77" s="22"/>
      <c r="G77" s="22"/>
      <c r="H77" s="19"/>
      <c r="I77" s="19"/>
      <c r="J77" s="19"/>
      <c r="K77" s="19"/>
      <c r="L77" s="19"/>
      <c r="M77" s="19"/>
      <c r="N77" s="19"/>
      <c r="O77" s="19"/>
      <c r="P77" s="19"/>
      <c r="Q77" s="22"/>
      <c r="R77" s="22"/>
      <c r="S77" s="22"/>
      <c r="T77" s="19"/>
      <c r="U77" s="19"/>
      <c r="V77" s="19"/>
      <c r="W77" s="19"/>
      <c r="X77" s="19"/>
      <c r="Y77" s="19"/>
      <c r="Z77" s="19"/>
      <c r="AA77" s="19"/>
      <c r="AB77" s="19"/>
      <c r="AC77" s="19"/>
      <c r="AD77" s="19"/>
      <c r="AE77" s="19"/>
      <c r="AF77" s="19"/>
      <c r="AG77" s="19"/>
      <c r="AH77" s="19"/>
      <c r="AI77" s="19"/>
      <c r="AJ77" s="19"/>
      <c r="AK77" s="19"/>
      <c r="AL77" s="19"/>
      <c r="AM77" s="19"/>
    </row>
    <row r="78" spans="1:39" ht="15" customHeight="1" x14ac:dyDescent="0.15">
      <c r="A78" s="21"/>
      <c r="B78" s="19"/>
      <c r="C78" s="22"/>
      <c r="D78" s="22"/>
      <c r="E78" s="19"/>
      <c r="F78" s="22"/>
      <c r="G78" s="22"/>
      <c r="H78" s="19"/>
      <c r="I78" s="19"/>
      <c r="J78" s="19"/>
      <c r="K78" s="19"/>
      <c r="L78" s="19"/>
      <c r="M78" s="19"/>
      <c r="N78" s="19"/>
      <c r="O78" s="19"/>
      <c r="P78" s="19"/>
      <c r="Q78" s="22"/>
      <c r="R78" s="22"/>
      <c r="S78" s="22"/>
      <c r="T78" s="19"/>
      <c r="U78" s="19"/>
      <c r="V78" s="19"/>
      <c r="W78" s="19"/>
      <c r="X78" s="19"/>
      <c r="Y78" s="19"/>
      <c r="Z78" s="19"/>
      <c r="AA78" s="19"/>
      <c r="AB78" s="19"/>
      <c r="AC78" s="19"/>
      <c r="AD78" s="19"/>
      <c r="AE78" s="19"/>
      <c r="AF78" s="19"/>
      <c r="AG78" s="19"/>
      <c r="AH78" s="19"/>
      <c r="AI78" s="19"/>
      <c r="AJ78" s="19"/>
      <c r="AK78" s="19"/>
      <c r="AL78" s="19"/>
      <c r="AM78" s="19"/>
    </row>
    <row r="79" spans="1:39" ht="15" customHeight="1" x14ac:dyDescent="0.15">
      <c r="A79" s="21"/>
      <c r="B79" s="19"/>
      <c r="C79" s="22"/>
      <c r="D79" s="22"/>
      <c r="E79" s="19"/>
      <c r="F79" s="22"/>
      <c r="G79" s="22"/>
      <c r="H79" s="19"/>
      <c r="I79" s="19"/>
      <c r="J79" s="19"/>
      <c r="K79" s="19"/>
      <c r="L79" s="19"/>
      <c r="M79" s="19"/>
      <c r="N79" s="19"/>
      <c r="O79" s="19"/>
      <c r="P79" s="19"/>
      <c r="Q79" s="22"/>
      <c r="R79" s="22"/>
      <c r="S79" s="22"/>
      <c r="T79" s="19"/>
      <c r="U79" s="19"/>
      <c r="V79" s="19"/>
      <c r="W79" s="19"/>
      <c r="X79" s="19"/>
      <c r="Y79" s="19"/>
      <c r="Z79" s="19"/>
      <c r="AA79" s="19"/>
      <c r="AB79" s="19"/>
      <c r="AC79" s="22"/>
      <c r="AD79" s="22"/>
      <c r="AE79" s="19"/>
      <c r="AF79" s="19"/>
      <c r="AG79" s="19"/>
      <c r="AH79" s="19"/>
      <c r="AI79" s="19"/>
      <c r="AJ79" s="19"/>
      <c r="AK79" s="19"/>
      <c r="AL79" s="19"/>
      <c r="AM79" s="19"/>
    </row>
    <row r="80" spans="1:39" ht="15" customHeight="1" x14ac:dyDescent="0.15">
      <c r="A80" s="21"/>
      <c r="B80" s="19"/>
      <c r="C80" s="22"/>
      <c r="D80" s="22"/>
      <c r="E80" s="19"/>
      <c r="F80" s="22"/>
      <c r="G80" s="22"/>
      <c r="H80" s="19"/>
      <c r="I80" s="19"/>
      <c r="J80" s="19"/>
      <c r="K80" s="19"/>
      <c r="L80" s="19"/>
      <c r="M80" s="19"/>
      <c r="N80" s="19"/>
      <c r="O80" s="19"/>
      <c r="P80" s="19"/>
      <c r="Q80" s="22"/>
      <c r="R80" s="22"/>
      <c r="S80" s="22"/>
      <c r="T80" s="19"/>
      <c r="U80" s="19"/>
      <c r="V80" s="21"/>
      <c r="W80" s="23"/>
      <c r="X80" s="23"/>
      <c r="Y80" s="23"/>
      <c r="Z80" s="23"/>
      <c r="AA80" s="23"/>
      <c r="AB80" s="23"/>
      <c r="AC80" s="23"/>
      <c r="AD80" s="23"/>
      <c r="AE80" s="19"/>
      <c r="AF80" s="19"/>
      <c r="AG80" s="19"/>
      <c r="AH80" s="19"/>
      <c r="AI80" s="19"/>
      <c r="AJ80" s="19"/>
      <c r="AK80" s="19"/>
      <c r="AL80" s="19"/>
      <c r="AM80" s="19"/>
    </row>
    <row r="81" spans="1:39" ht="15" customHeight="1" x14ac:dyDescent="0.15">
      <c r="A81" s="21"/>
      <c r="B81" s="19"/>
      <c r="C81" s="22"/>
      <c r="D81" s="22"/>
      <c r="E81" s="19"/>
      <c r="F81" s="22"/>
      <c r="G81" s="19"/>
      <c r="H81" s="19"/>
      <c r="I81" s="19"/>
      <c r="J81" s="19"/>
      <c r="K81" s="19"/>
      <c r="L81" s="19"/>
      <c r="M81" s="19"/>
      <c r="N81" s="19"/>
      <c r="O81" s="19"/>
      <c r="P81" s="19"/>
      <c r="Q81" s="22"/>
      <c r="R81" s="22"/>
      <c r="S81" s="22"/>
      <c r="T81" s="19"/>
      <c r="U81" s="19"/>
      <c r="V81" s="19"/>
      <c r="W81" s="260"/>
      <c r="X81" s="260"/>
      <c r="Y81" s="260"/>
      <c r="Z81" s="260"/>
      <c r="AA81" s="260"/>
      <c r="AB81" s="260"/>
      <c r="AC81" s="260"/>
      <c r="AD81" s="260"/>
      <c r="AE81" s="19"/>
      <c r="AF81" s="19"/>
      <c r="AG81" s="19"/>
      <c r="AH81" s="19"/>
      <c r="AI81" s="19"/>
      <c r="AJ81" s="19"/>
      <c r="AK81" s="19"/>
      <c r="AL81" s="19"/>
      <c r="AM81" s="19"/>
    </row>
    <row r="82" spans="1:39" ht="15" customHeight="1" x14ac:dyDescent="0.15">
      <c r="A82" s="21"/>
      <c r="B82" s="19"/>
      <c r="C82" s="22"/>
      <c r="D82" s="22"/>
      <c r="E82" s="19"/>
      <c r="F82" s="22"/>
      <c r="G82" s="19"/>
      <c r="H82" s="19"/>
      <c r="I82" s="19"/>
      <c r="J82" s="19"/>
      <c r="K82" s="19"/>
      <c r="L82" s="19"/>
      <c r="M82" s="19"/>
      <c r="N82" s="19"/>
      <c r="O82" s="19"/>
      <c r="P82" s="19"/>
      <c r="Q82" s="22"/>
      <c r="R82" s="22"/>
      <c r="S82" s="22"/>
      <c r="T82" s="19"/>
      <c r="U82" s="19"/>
      <c r="V82" s="19"/>
      <c r="W82" s="22"/>
      <c r="X82" s="22"/>
      <c r="Y82" s="22"/>
      <c r="Z82" s="22"/>
      <c r="AA82" s="22"/>
      <c r="AB82" s="22"/>
      <c r="AC82" s="22"/>
      <c r="AD82" s="22"/>
      <c r="AE82" s="19"/>
      <c r="AF82" s="19"/>
      <c r="AG82" s="19"/>
      <c r="AH82" s="19"/>
      <c r="AI82" s="19"/>
      <c r="AJ82" s="19"/>
      <c r="AK82" s="19"/>
      <c r="AL82" s="19"/>
      <c r="AM82" s="19"/>
    </row>
    <row r="83" spans="1:39" ht="15" customHeight="1" x14ac:dyDescent="0.15">
      <c r="A83" s="21"/>
      <c r="B83" s="19"/>
      <c r="C83" s="22"/>
      <c r="D83" s="22"/>
      <c r="E83" s="19"/>
      <c r="F83" s="22"/>
      <c r="G83" s="19"/>
      <c r="H83" s="19"/>
      <c r="I83" s="19"/>
      <c r="J83" s="19"/>
      <c r="K83" s="19"/>
      <c r="L83" s="19"/>
      <c r="M83" s="19"/>
      <c r="N83" s="19"/>
      <c r="O83" s="19"/>
      <c r="P83" s="19"/>
      <c r="Q83" s="22"/>
      <c r="R83" s="22"/>
      <c r="S83" s="22"/>
      <c r="T83" s="19"/>
      <c r="U83" s="19"/>
      <c r="V83" s="19"/>
      <c r="W83" s="22"/>
      <c r="X83" s="22"/>
      <c r="Y83" s="22"/>
      <c r="Z83" s="22"/>
      <c r="AA83" s="22"/>
      <c r="AB83" s="22"/>
      <c r="AC83" s="22"/>
      <c r="AD83" s="22"/>
      <c r="AE83" s="19"/>
      <c r="AF83" s="19"/>
      <c r="AG83" s="19"/>
      <c r="AH83" s="19"/>
      <c r="AI83" s="19"/>
      <c r="AJ83" s="19"/>
      <c r="AK83" s="19"/>
      <c r="AL83" s="19"/>
      <c r="AM83" s="19"/>
    </row>
    <row r="84" spans="1:39" ht="15" customHeight="1" x14ac:dyDescent="0.15">
      <c r="A84" s="21"/>
      <c r="B84" s="19"/>
      <c r="C84" s="22"/>
      <c r="D84" s="22"/>
      <c r="E84" s="19"/>
      <c r="F84" s="19"/>
      <c r="G84" s="19"/>
      <c r="H84" s="19"/>
      <c r="I84" s="19"/>
      <c r="J84" s="19"/>
      <c r="K84" s="19"/>
      <c r="L84" s="19"/>
      <c r="M84" s="19"/>
      <c r="N84" s="19"/>
      <c r="O84" s="19"/>
      <c r="P84" s="19"/>
      <c r="Q84" s="22"/>
      <c r="R84" s="22"/>
      <c r="S84" s="22"/>
      <c r="T84" s="19"/>
      <c r="U84" s="19"/>
      <c r="V84" s="19"/>
      <c r="W84" s="22"/>
      <c r="X84" s="22"/>
      <c r="Y84" s="22"/>
      <c r="Z84" s="22"/>
      <c r="AA84" s="22"/>
      <c r="AB84" s="22"/>
      <c r="AC84" s="22"/>
      <c r="AD84" s="22"/>
      <c r="AE84" s="19"/>
      <c r="AF84" s="19"/>
      <c r="AG84" s="19"/>
      <c r="AH84" s="19"/>
      <c r="AI84" s="19"/>
      <c r="AJ84" s="19"/>
      <c r="AK84" s="19"/>
      <c r="AL84" s="19"/>
      <c r="AM84" s="19"/>
    </row>
    <row r="85" spans="1:39" ht="15" customHeight="1" x14ac:dyDescent="0.15">
      <c r="A85" s="21"/>
      <c r="B85" s="19"/>
      <c r="C85" s="19"/>
      <c r="D85" s="19"/>
      <c r="E85" s="19"/>
      <c r="F85" s="19"/>
      <c r="G85" s="19"/>
      <c r="H85" s="19"/>
      <c r="I85" s="19"/>
      <c r="J85" s="19"/>
      <c r="K85" s="19"/>
      <c r="L85" s="19"/>
      <c r="M85" s="19"/>
      <c r="N85" s="19"/>
      <c r="O85" s="19"/>
      <c r="P85" s="19"/>
      <c r="Q85" s="22"/>
      <c r="R85" s="22"/>
      <c r="S85" s="22"/>
      <c r="T85" s="19"/>
      <c r="U85" s="19"/>
      <c r="V85" s="19"/>
      <c r="W85" s="22"/>
      <c r="X85" s="22"/>
      <c r="Y85" s="22"/>
      <c r="Z85" s="22"/>
      <c r="AA85" s="22"/>
      <c r="AB85" s="22"/>
      <c r="AC85" s="22"/>
      <c r="AD85" s="22"/>
      <c r="AE85" s="19"/>
      <c r="AF85" s="19"/>
      <c r="AG85" s="19"/>
      <c r="AH85" s="19"/>
      <c r="AI85" s="19"/>
      <c r="AJ85" s="19"/>
      <c r="AK85" s="19"/>
      <c r="AL85" s="19"/>
      <c r="AM85" s="19"/>
    </row>
    <row r="86" spans="1:39" ht="15" customHeight="1" x14ac:dyDescent="0.15">
      <c r="A86" s="21"/>
      <c r="B86" s="19"/>
      <c r="C86" s="19"/>
      <c r="D86" s="19"/>
      <c r="E86" s="19"/>
      <c r="F86" s="19"/>
      <c r="G86" s="19"/>
      <c r="H86" s="19"/>
      <c r="I86" s="19"/>
      <c r="J86" s="19"/>
      <c r="K86" s="19"/>
      <c r="L86" s="19"/>
      <c r="M86" s="19"/>
      <c r="N86" s="19"/>
      <c r="O86" s="19"/>
      <c r="P86" s="19"/>
      <c r="Q86" s="22"/>
      <c r="R86" s="22"/>
      <c r="S86" s="22"/>
      <c r="T86" s="19"/>
      <c r="U86" s="19"/>
      <c r="V86" s="22"/>
      <c r="W86" s="22"/>
      <c r="X86" s="22"/>
      <c r="Y86" s="22"/>
      <c r="Z86" s="22"/>
      <c r="AA86" s="22"/>
      <c r="AB86" s="22"/>
      <c r="AC86" s="22"/>
      <c r="AD86" s="22"/>
      <c r="AE86" s="19"/>
      <c r="AF86" s="19"/>
      <c r="AG86" s="19"/>
      <c r="AH86" s="19"/>
      <c r="AI86" s="19"/>
      <c r="AJ86" s="19"/>
      <c r="AK86" s="19"/>
      <c r="AL86" s="19"/>
      <c r="AM86" s="19"/>
    </row>
    <row r="87" spans="1:39" ht="15" customHeight="1" x14ac:dyDescent="0.15">
      <c r="A87" s="21"/>
      <c r="B87" s="19"/>
      <c r="C87" s="19"/>
      <c r="D87" s="19"/>
      <c r="E87" s="19"/>
      <c r="F87" s="19"/>
      <c r="G87" s="19"/>
      <c r="H87" s="19"/>
      <c r="I87" s="19"/>
      <c r="J87" s="19"/>
      <c r="K87" s="19"/>
      <c r="L87" s="19"/>
      <c r="M87" s="19"/>
      <c r="N87" s="19"/>
      <c r="O87" s="19"/>
      <c r="P87" s="19"/>
      <c r="Q87" s="22"/>
      <c r="R87" s="22"/>
      <c r="S87" s="22"/>
      <c r="T87" s="19"/>
      <c r="U87" s="19"/>
      <c r="V87" s="19"/>
      <c r="W87" s="19"/>
      <c r="X87" s="19"/>
      <c r="Y87" s="19"/>
      <c r="Z87" s="19"/>
      <c r="AA87" s="19"/>
      <c r="AB87" s="19"/>
      <c r="AC87" s="19"/>
      <c r="AD87" s="19"/>
      <c r="AE87" s="19"/>
      <c r="AF87" s="19"/>
      <c r="AG87" s="19"/>
      <c r="AH87" s="19"/>
      <c r="AI87" s="19"/>
      <c r="AJ87" s="19"/>
      <c r="AK87" s="19"/>
      <c r="AL87" s="19"/>
      <c r="AM87" s="19"/>
    </row>
    <row r="88" spans="1:39" ht="15" customHeight="1" x14ac:dyDescent="0.15">
      <c r="A88" s="21"/>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row>
    <row r="89" spans="1:39" ht="15" customHeight="1" x14ac:dyDescent="0.15">
      <c r="A89" s="21"/>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row>
    <row r="90" spans="1:39" ht="15" customHeight="1" x14ac:dyDescent="0.15">
      <c r="A90" s="21"/>
      <c r="B90" s="19"/>
      <c r="C90" s="23"/>
      <c r="D90" s="23"/>
      <c r="E90" s="23"/>
      <c r="F90" s="23"/>
      <c r="G90" s="23"/>
      <c r="H90" s="23"/>
      <c r="I90" s="23"/>
      <c r="J90" s="23"/>
      <c r="K90" s="23"/>
      <c r="L90" s="23"/>
      <c r="M90" s="23"/>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row>
    <row r="91" spans="1:39" ht="15" customHeight="1" x14ac:dyDescent="0.15">
      <c r="A91" s="21"/>
      <c r="B91" s="19"/>
      <c r="C91" s="19"/>
      <c r="D91" s="260"/>
      <c r="E91" s="260"/>
      <c r="F91" s="260"/>
      <c r="G91" s="260"/>
      <c r="H91" s="260"/>
      <c r="I91" s="260"/>
      <c r="J91" s="22"/>
      <c r="K91" s="22"/>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row>
    <row r="92" spans="1:39" ht="15" customHeight="1" x14ac:dyDescent="0.15">
      <c r="A92" s="21"/>
      <c r="B92" s="22"/>
      <c r="C92" s="22"/>
      <c r="D92" s="22"/>
      <c r="E92" s="22"/>
      <c r="F92" s="22"/>
      <c r="G92" s="22"/>
      <c r="H92" s="22"/>
      <c r="I92" s="22"/>
      <c r="J92" s="22"/>
      <c r="K92" s="22"/>
      <c r="L92" s="22"/>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row>
    <row r="93" spans="1:39" ht="15" customHeight="1" x14ac:dyDescent="0.15">
      <c r="A93" s="21"/>
      <c r="B93" s="22"/>
      <c r="C93" s="22"/>
      <c r="D93" s="22"/>
      <c r="E93" s="22"/>
      <c r="F93" s="22"/>
      <c r="G93" s="22"/>
      <c r="H93" s="22"/>
      <c r="I93" s="22"/>
      <c r="J93" s="22"/>
      <c r="K93" s="22"/>
      <c r="L93" s="22"/>
      <c r="M93" s="22"/>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row>
    <row r="94" spans="1:39" ht="15" customHeight="1" x14ac:dyDescent="0.15">
      <c r="A94" s="21"/>
      <c r="B94" s="22"/>
      <c r="C94" s="22"/>
      <c r="D94" s="22"/>
      <c r="E94" s="22"/>
      <c r="F94" s="22"/>
      <c r="G94" s="22"/>
      <c r="H94" s="22"/>
      <c r="I94" s="22"/>
      <c r="J94" s="22"/>
      <c r="K94" s="22"/>
      <c r="L94" s="22"/>
      <c r="M94" s="22"/>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row>
    <row r="95" spans="1:39" ht="15" customHeight="1" x14ac:dyDescent="0.15">
      <c r="A95" s="21"/>
      <c r="B95" s="22"/>
      <c r="C95" s="22"/>
      <c r="D95" s="22"/>
      <c r="E95" s="22"/>
      <c r="F95" s="22"/>
      <c r="G95" s="22"/>
      <c r="H95" s="22"/>
      <c r="I95" s="22"/>
      <c r="J95" s="22"/>
      <c r="K95" s="22"/>
      <c r="L95" s="22"/>
      <c r="M95" s="22"/>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row>
    <row r="96" spans="1:39" ht="15" customHeight="1" x14ac:dyDescent="0.15">
      <c r="A96" s="21"/>
      <c r="B96" s="22"/>
      <c r="C96" s="22"/>
      <c r="D96" s="22"/>
      <c r="E96" s="22"/>
      <c r="F96" s="22"/>
      <c r="G96" s="22"/>
      <c r="H96" s="22"/>
      <c r="I96" s="22"/>
      <c r="J96" s="22"/>
      <c r="K96" s="22"/>
      <c r="L96" s="22"/>
      <c r="M96" s="22"/>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row>
    <row r="97" spans="1:39" ht="15" customHeight="1" x14ac:dyDescent="0.15">
      <c r="A97" s="21"/>
      <c r="B97" s="22"/>
      <c r="C97" s="22"/>
      <c r="D97" s="22"/>
      <c r="E97" s="22"/>
      <c r="F97" s="22"/>
      <c r="G97" s="22"/>
      <c r="H97" s="22"/>
      <c r="I97" s="22"/>
      <c r="J97" s="22"/>
      <c r="K97" s="22"/>
      <c r="L97" s="22"/>
      <c r="M97" s="22"/>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row>
    <row r="98" spans="1:39" ht="15" customHeight="1" x14ac:dyDescent="0.15">
      <c r="A98" s="21"/>
      <c r="B98" s="22"/>
      <c r="C98" s="22"/>
      <c r="D98" s="22"/>
      <c r="E98" s="22"/>
      <c r="F98" s="22"/>
      <c r="G98" s="22"/>
      <c r="H98" s="22"/>
      <c r="I98" s="22"/>
      <c r="J98" s="22"/>
      <c r="K98" s="22"/>
      <c r="L98" s="22"/>
      <c r="M98" s="22"/>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row>
    <row r="99" spans="1:39" ht="15" customHeight="1" x14ac:dyDescent="0.15">
      <c r="A99" s="21"/>
      <c r="B99" s="22"/>
      <c r="C99" s="22"/>
      <c r="D99" s="22"/>
      <c r="E99" s="22"/>
      <c r="F99" s="22"/>
      <c r="G99" s="22"/>
      <c r="H99" s="22"/>
      <c r="I99" s="22"/>
      <c r="J99" s="22"/>
      <c r="K99" s="22"/>
      <c r="L99" s="22"/>
      <c r="M99" s="22"/>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row>
    <row r="100" spans="1:39" ht="15" customHeight="1" x14ac:dyDescent="0.15">
      <c r="A100" s="21"/>
      <c r="B100" s="22"/>
      <c r="C100" s="22"/>
      <c r="D100" s="22"/>
      <c r="E100" s="22"/>
      <c r="F100" s="22"/>
      <c r="G100" s="22"/>
      <c r="H100" s="22"/>
      <c r="I100" s="22"/>
      <c r="J100" s="22"/>
      <c r="K100" s="22"/>
      <c r="L100" s="22"/>
      <c r="M100" s="22"/>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row>
    <row r="101" spans="1:39" ht="15" customHeight="1" x14ac:dyDescent="0.15">
      <c r="A101" s="21"/>
      <c r="B101" s="19"/>
      <c r="C101" s="19"/>
      <c r="D101" s="19"/>
      <c r="E101" s="19"/>
      <c r="F101" s="19"/>
      <c r="G101" s="19"/>
      <c r="H101" s="22"/>
      <c r="I101" s="22"/>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row>
    <row r="102" spans="1:39" ht="15" customHeight="1" x14ac:dyDescent="0.15">
      <c r="A102" s="21"/>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row>
    <row r="103" spans="1:39" ht="15" customHeight="1" x14ac:dyDescent="0.15">
      <c r="A103" s="21"/>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row>
    <row r="104" spans="1:39" ht="15" customHeight="1" x14ac:dyDescent="0.15">
      <c r="A104" s="21"/>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row>
    <row r="105" spans="1:39" ht="15" customHeight="1" x14ac:dyDescent="0.15">
      <c r="A105" s="21"/>
      <c r="B105" s="19"/>
      <c r="C105" s="23"/>
      <c r="D105" s="23"/>
      <c r="E105" s="23"/>
      <c r="F105" s="23"/>
      <c r="G105" s="23"/>
      <c r="H105" s="23"/>
      <c r="I105" s="23"/>
      <c r="J105" s="23"/>
      <c r="K105" s="23"/>
      <c r="L105" s="23"/>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row>
    <row r="106" spans="1:39" ht="15" customHeight="1" x14ac:dyDescent="0.15">
      <c r="A106" s="21"/>
      <c r="B106" s="19"/>
      <c r="C106" s="19"/>
      <c r="D106" s="260"/>
      <c r="E106" s="260"/>
      <c r="F106" s="260"/>
      <c r="G106" s="260"/>
      <c r="H106" s="260"/>
      <c r="I106" s="260"/>
      <c r="J106" s="22"/>
      <c r="K106" s="22"/>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row>
    <row r="107" spans="1:39" ht="15" customHeight="1" x14ac:dyDescent="0.15">
      <c r="A107" s="21"/>
      <c r="B107" s="22"/>
      <c r="C107" s="22"/>
      <c r="D107" s="22"/>
      <c r="E107" s="22"/>
      <c r="F107" s="22"/>
      <c r="G107" s="22"/>
      <c r="H107" s="22"/>
      <c r="I107" s="22"/>
      <c r="J107" s="22"/>
      <c r="K107" s="22"/>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row>
    <row r="108" spans="1:39" ht="15" customHeight="1" x14ac:dyDescent="0.15">
      <c r="A108" s="21"/>
      <c r="B108" s="22"/>
      <c r="C108" s="22"/>
      <c r="D108" s="22"/>
      <c r="E108" s="22"/>
      <c r="F108" s="22"/>
      <c r="G108" s="22"/>
      <c r="H108" s="22"/>
      <c r="I108" s="22"/>
      <c r="J108" s="22"/>
      <c r="K108" s="22"/>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row>
    <row r="109" spans="1:39" ht="15" customHeight="1" x14ac:dyDescent="0.15">
      <c r="A109" s="21"/>
      <c r="B109" s="22"/>
      <c r="C109" s="22"/>
      <c r="D109" s="22"/>
      <c r="E109" s="22"/>
      <c r="F109" s="22"/>
      <c r="G109" s="22"/>
      <c r="H109" s="22"/>
      <c r="I109" s="22"/>
      <c r="J109" s="22"/>
      <c r="K109" s="22"/>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row>
    <row r="110" spans="1:39" ht="15" customHeight="1" x14ac:dyDescent="0.15">
      <c r="A110" s="21"/>
      <c r="B110" s="22"/>
      <c r="C110" s="22"/>
      <c r="D110" s="22"/>
      <c r="E110" s="22"/>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row>
    <row r="111" spans="1:39" ht="15" customHeight="1" x14ac:dyDescent="0.15">
      <c r="A111" s="21"/>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row>
    <row r="112" spans="1:39" ht="15" customHeight="1" x14ac:dyDescent="0.15">
      <c r="A112" s="21"/>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row>
    <row r="113" spans="1:39" ht="15" customHeight="1" x14ac:dyDescent="0.15">
      <c r="A113" s="21"/>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row>
    <row r="114" spans="1:39" ht="15" customHeight="1" x14ac:dyDescent="0.15">
      <c r="A114" s="21"/>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row>
    <row r="115" spans="1:39" ht="15" customHeight="1" x14ac:dyDescent="0.15">
      <c r="A115" s="21"/>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row>
    <row r="116" spans="1:39" ht="15" customHeight="1" x14ac:dyDescent="0.15">
      <c r="A116" s="21"/>
      <c r="B116" s="19"/>
      <c r="C116" s="23"/>
      <c r="D116" s="23"/>
      <c r="E116" s="19"/>
      <c r="F116" s="19"/>
      <c r="G116" s="21"/>
      <c r="H116" s="19"/>
      <c r="I116" s="19"/>
      <c r="J116" s="21"/>
      <c r="K116" s="19"/>
      <c r="L116" s="21"/>
      <c r="M116" s="19"/>
      <c r="N116" s="21"/>
      <c r="O116" s="19"/>
      <c r="P116" s="21"/>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row>
    <row r="117" spans="1:39" ht="15" customHeight="1" x14ac:dyDescent="0.15">
      <c r="A117" s="21"/>
      <c r="B117" s="22"/>
      <c r="C117" s="22"/>
      <c r="D117" s="22"/>
      <c r="E117" s="19"/>
      <c r="F117" s="19"/>
      <c r="G117" s="22"/>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row>
    <row r="118" spans="1:39" ht="15" customHeight="1" x14ac:dyDescent="0.15">
      <c r="A118" s="21"/>
      <c r="B118" s="22"/>
      <c r="C118" s="22"/>
      <c r="D118" s="22"/>
      <c r="E118" s="22"/>
      <c r="F118" s="19"/>
      <c r="G118" s="22"/>
      <c r="H118" s="19"/>
      <c r="I118" s="19"/>
      <c r="J118" s="19"/>
      <c r="K118" s="19"/>
      <c r="L118" s="19"/>
      <c r="M118" s="19"/>
      <c r="N118" s="19"/>
      <c r="O118" s="19"/>
      <c r="P118" s="22"/>
      <c r="Q118" s="22"/>
      <c r="R118" s="19"/>
      <c r="S118" s="19"/>
      <c r="T118" s="19"/>
      <c r="U118" s="19"/>
      <c r="V118" s="19"/>
      <c r="W118" s="19"/>
      <c r="X118" s="19"/>
      <c r="Y118" s="19"/>
      <c r="Z118" s="19"/>
      <c r="AA118" s="19"/>
      <c r="AB118" s="19"/>
      <c r="AC118" s="19"/>
      <c r="AD118" s="19"/>
      <c r="AE118" s="19"/>
      <c r="AF118" s="19"/>
      <c r="AG118" s="19"/>
      <c r="AH118" s="19"/>
      <c r="AI118" s="19"/>
      <c r="AJ118" s="19"/>
      <c r="AK118" s="19"/>
      <c r="AL118" s="19"/>
      <c r="AM118" s="19"/>
    </row>
    <row r="119" spans="1:39" ht="15" customHeight="1" x14ac:dyDescent="0.15">
      <c r="A119" s="21"/>
      <c r="B119" s="22"/>
      <c r="C119" s="22"/>
      <c r="D119" s="22"/>
      <c r="E119" s="22"/>
      <c r="F119" s="19"/>
      <c r="G119" s="22"/>
      <c r="H119" s="19"/>
      <c r="I119" s="19"/>
      <c r="J119" s="19"/>
      <c r="K119" s="19"/>
      <c r="L119" s="19"/>
      <c r="M119" s="19"/>
      <c r="N119" s="19"/>
      <c r="O119" s="19"/>
      <c r="P119" s="22"/>
      <c r="Q119" s="22"/>
      <c r="R119" s="19"/>
      <c r="S119" s="19"/>
      <c r="T119" s="19"/>
      <c r="U119" s="19"/>
      <c r="V119" s="19"/>
      <c r="W119" s="19"/>
      <c r="X119" s="19"/>
      <c r="Y119" s="19"/>
      <c r="Z119" s="19"/>
      <c r="AA119" s="19"/>
      <c r="AB119" s="19"/>
      <c r="AC119" s="19"/>
      <c r="AD119" s="19"/>
      <c r="AE119" s="19"/>
      <c r="AF119" s="19"/>
      <c r="AG119" s="19"/>
      <c r="AH119" s="19"/>
      <c r="AI119" s="19"/>
      <c r="AJ119" s="19"/>
      <c r="AK119" s="19"/>
      <c r="AL119" s="19"/>
      <c r="AM119" s="19"/>
    </row>
    <row r="120" spans="1:39" ht="15" customHeight="1" x14ac:dyDescent="0.15">
      <c r="A120" s="21"/>
      <c r="B120" s="22"/>
      <c r="C120" s="22"/>
      <c r="D120" s="22"/>
      <c r="E120" s="22"/>
      <c r="F120" s="19"/>
      <c r="G120" s="22"/>
      <c r="H120" s="19"/>
      <c r="I120" s="19"/>
      <c r="J120" s="19"/>
      <c r="K120" s="19"/>
      <c r="L120" s="19"/>
      <c r="M120" s="19"/>
      <c r="N120" s="19"/>
      <c r="O120" s="19"/>
      <c r="P120" s="22"/>
      <c r="Q120" s="22"/>
      <c r="R120" s="19"/>
      <c r="S120" s="19"/>
      <c r="T120" s="19"/>
      <c r="U120" s="19"/>
      <c r="V120" s="19"/>
      <c r="W120" s="19"/>
      <c r="X120" s="19"/>
      <c r="Y120" s="19"/>
      <c r="Z120" s="19"/>
      <c r="AA120" s="19"/>
      <c r="AB120" s="19"/>
      <c r="AC120" s="19"/>
      <c r="AD120" s="19"/>
      <c r="AE120" s="19"/>
      <c r="AF120" s="19"/>
      <c r="AG120" s="19"/>
      <c r="AH120" s="19"/>
      <c r="AI120" s="19"/>
      <c r="AJ120" s="19"/>
      <c r="AK120" s="19"/>
      <c r="AL120" s="19"/>
      <c r="AM120" s="19"/>
    </row>
    <row r="121" spans="1:39" ht="15" customHeight="1" x14ac:dyDescent="0.15">
      <c r="A121" s="21"/>
      <c r="B121" s="22"/>
      <c r="C121" s="22"/>
      <c r="D121" s="22"/>
      <c r="E121" s="22"/>
      <c r="F121" s="19"/>
      <c r="G121" s="22"/>
      <c r="H121" s="19"/>
      <c r="I121" s="19"/>
      <c r="J121" s="19"/>
      <c r="K121" s="19"/>
      <c r="L121" s="19"/>
      <c r="M121" s="19"/>
      <c r="N121" s="19"/>
      <c r="O121" s="19"/>
      <c r="P121" s="22"/>
      <c r="Q121" s="22"/>
      <c r="R121" s="19"/>
      <c r="S121" s="19"/>
      <c r="T121" s="19"/>
      <c r="U121" s="19"/>
      <c r="V121" s="19"/>
      <c r="W121" s="19"/>
      <c r="X121" s="19"/>
      <c r="Y121" s="19"/>
      <c r="Z121" s="19"/>
      <c r="AA121" s="19"/>
      <c r="AB121" s="19"/>
      <c r="AC121" s="19"/>
      <c r="AD121" s="19"/>
      <c r="AE121" s="19"/>
      <c r="AF121" s="19"/>
      <c r="AG121" s="19"/>
      <c r="AH121" s="19"/>
      <c r="AI121" s="19"/>
      <c r="AJ121" s="19"/>
      <c r="AK121" s="19"/>
      <c r="AL121" s="19"/>
      <c r="AM121" s="19"/>
    </row>
    <row r="122" spans="1:39" ht="15" customHeight="1" x14ac:dyDescent="0.15">
      <c r="A122" s="21"/>
      <c r="B122" s="22"/>
      <c r="C122" s="22"/>
      <c r="D122" s="22"/>
      <c r="E122" s="22"/>
      <c r="F122" s="19"/>
      <c r="G122" s="22"/>
      <c r="H122" s="19"/>
      <c r="I122" s="19"/>
      <c r="J122" s="19"/>
      <c r="K122" s="19"/>
      <c r="L122" s="19"/>
      <c r="M122" s="19"/>
      <c r="N122" s="19"/>
      <c r="O122" s="19"/>
      <c r="P122" s="22"/>
      <c r="Q122" s="22"/>
      <c r="R122" s="19"/>
      <c r="S122" s="19"/>
      <c r="T122" s="19"/>
      <c r="U122" s="19"/>
      <c r="V122" s="19"/>
      <c r="W122" s="19"/>
      <c r="X122" s="19"/>
      <c r="Y122" s="19"/>
      <c r="Z122" s="19"/>
      <c r="AA122" s="19"/>
      <c r="AB122" s="19"/>
      <c r="AC122" s="19"/>
      <c r="AD122" s="19"/>
      <c r="AE122" s="19"/>
      <c r="AF122" s="19"/>
      <c r="AG122" s="19"/>
      <c r="AH122" s="19"/>
      <c r="AI122" s="19"/>
      <c r="AJ122" s="19"/>
      <c r="AK122" s="19"/>
      <c r="AL122" s="19"/>
      <c r="AM122" s="19"/>
    </row>
    <row r="123" spans="1:39" ht="15" customHeight="1" x14ac:dyDescent="0.15">
      <c r="A123" s="21"/>
      <c r="B123" s="22"/>
      <c r="C123" s="22"/>
      <c r="D123" s="22"/>
      <c r="E123" s="22"/>
      <c r="F123" s="19"/>
      <c r="G123" s="22"/>
      <c r="H123" s="19"/>
      <c r="I123" s="19"/>
      <c r="J123" s="19"/>
      <c r="K123" s="19"/>
      <c r="L123" s="19"/>
      <c r="M123" s="19"/>
      <c r="N123" s="19"/>
      <c r="O123" s="19"/>
      <c r="P123" s="22"/>
      <c r="Q123" s="22"/>
      <c r="R123" s="19"/>
      <c r="S123" s="19"/>
      <c r="T123" s="19"/>
      <c r="U123" s="19"/>
      <c r="V123" s="19"/>
      <c r="W123" s="19"/>
      <c r="X123" s="19"/>
      <c r="Y123" s="19"/>
      <c r="Z123" s="19"/>
      <c r="AA123" s="19"/>
      <c r="AB123" s="19"/>
      <c r="AC123" s="19"/>
      <c r="AD123" s="19"/>
      <c r="AE123" s="19"/>
      <c r="AF123" s="19"/>
      <c r="AG123" s="19"/>
      <c r="AH123" s="19"/>
      <c r="AI123" s="19"/>
      <c r="AJ123" s="19"/>
      <c r="AK123" s="19"/>
      <c r="AL123" s="19"/>
      <c r="AM123" s="19"/>
    </row>
    <row r="124" spans="1:39" ht="15" customHeight="1" x14ac:dyDescent="0.15">
      <c r="A124" s="21"/>
      <c r="B124" s="22"/>
      <c r="C124" s="22"/>
      <c r="D124" s="22"/>
      <c r="E124" s="22"/>
      <c r="F124" s="19"/>
      <c r="G124" s="22"/>
      <c r="H124" s="19"/>
      <c r="I124" s="19"/>
      <c r="J124" s="19"/>
      <c r="K124" s="19"/>
      <c r="L124" s="19"/>
      <c r="M124" s="19"/>
      <c r="N124" s="19"/>
      <c r="O124" s="19"/>
      <c r="P124" s="22"/>
      <c r="Q124" s="22"/>
      <c r="R124" s="19"/>
      <c r="S124" s="19"/>
      <c r="T124" s="19"/>
      <c r="U124" s="19"/>
      <c r="V124" s="19"/>
      <c r="W124" s="19"/>
      <c r="X124" s="19"/>
      <c r="Y124" s="19"/>
      <c r="Z124" s="19"/>
      <c r="AA124" s="19"/>
      <c r="AB124" s="19"/>
      <c r="AC124" s="19"/>
      <c r="AD124" s="19"/>
      <c r="AE124" s="19"/>
      <c r="AF124" s="19"/>
      <c r="AG124" s="19"/>
      <c r="AH124" s="19"/>
      <c r="AI124" s="19"/>
      <c r="AJ124" s="19"/>
      <c r="AK124" s="19"/>
      <c r="AL124" s="19"/>
      <c r="AM124" s="19"/>
    </row>
    <row r="125" spans="1:39" ht="15" customHeight="1" x14ac:dyDescent="0.15">
      <c r="A125" s="21"/>
      <c r="B125" s="22"/>
      <c r="C125" s="22"/>
      <c r="D125" s="22"/>
      <c r="E125" s="22"/>
      <c r="F125" s="19"/>
      <c r="G125" s="22"/>
      <c r="H125" s="19"/>
      <c r="I125" s="19"/>
      <c r="J125" s="19"/>
      <c r="K125" s="19"/>
      <c r="L125" s="19"/>
      <c r="M125" s="19"/>
      <c r="N125" s="19"/>
      <c r="O125" s="19"/>
      <c r="P125" s="22"/>
      <c r="Q125" s="22"/>
      <c r="R125" s="19"/>
      <c r="S125" s="19"/>
      <c r="T125" s="19"/>
      <c r="U125" s="19"/>
      <c r="V125" s="19"/>
      <c r="W125" s="19"/>
      <c r="X125" s="19"/>
      <c r="Y125" s="19"/>
      <c r="Z125" s="19"/>
      <c r="AA125" s="19"/>
      <c r="AB125" s="19"/>
      <c r="AC125" s="19"/>
      <c r="AD125" s="19"/>
      <c r="AE125" s="19"/>
      <c r="AF125" s="19"/>
      <c r="AG125" s="19"/>
      <c r="AH125" s="19"/>
      <c r="AI125" s="19"/>
      <c r="AJ125" s="19"/>
      <c r="AK125" s="19"/>
      <c r="AL125" s="19"/>
      <c r="AM125" s="19"/>
    </row>
    <row r="126" spans="1:39" ht="15" customHeight="1" x14ac:dyDescent="0.15">
      <c r="A126" s="21"/>
      <c r="B126" s="22"/>
      <c r="C126" s="22"/>
      <c r="D126" s="22"/>
      <c r="E126" s="22"/>
      <c r="F126" s="19"/>
      <c r="G126" s="22"/>
      <c r="H126" s="19"/>
      <c r="I126" s="19"/>
      <c r="J126" s="19"/>
      <c r="K126" s="19"/>
      <c r="L126" s="19"/>
      <c r="M126" s="19"/>
      <c r="N126" s="19"/>
      <c r="O126" s="19"/>
      <c r="P126" s="22"/>
      <c r="Q126" s="22"/>
      <c r="R126" s="19"/>
      <c r="S126" s="19"/>
      <c r="T126" s="19"/>
      <c r="U126" s="19"/>
      <c r="V126" s="19"/>
      <c r="W126" s="19"/>
      <c r="X126" s="19"/>
      <c r="Y126" s="19"/>
      <c r="Z126" s="19"/>
      <c r="AA126" s="19"/>
      <c r="AB126" s="19"/>
      <c r="AC126" s="19"/>
      <c r="AD126" s="19"/>
      <c r="AE126" s="19"/>
      <c r="AF126" s="19"/>
      <c r="AG126" s="19"/>
      <c r="AH126" s="19"/>
      <c r="AI126" s="19"/>
      <c r="AJ126" s="19"/>
      <c r="AK126" s="19"/>
      <c r="AL126" s="19"/>
      <c r="AM126" s="19"/>
    </row>
    <row r="127" spans="1:39" ht="15" customHeight="1" x14ac:dyDescent="0.15">
      <c r="A127" s="21"/>
      <c r="B127" s="22"/>
      <c r="C127" s="22"/>
      <c r="D127" s="22"/>
      <c r="E127" s="22"/>
      <c r="F127" s="19"/>
      <c r="G127" s="22"/>
      <c r="H127" s="19"/>
      <c r="I127" s="19"/>
      <c r="J127" s="19"/>
      <c r="K127" s="19"/>
      <c r="L127" s="19"/>
      <c r="M127" s="19"/>
      <c r="N127" s="19"/>
      <c r="O127" s="19"/>
      <c r="P127" s="22"/>
      <c r="Q127" s="22"/>
      <c r="R127" s="19"/>
      <c r="S127" s="19"/>
      <c r="T127" s="19"/>
      <c r="U127" s="19"/>
      <c r="V127" s="19"/>
      <c r="W127" s="19"/>
      <c r="X127" s="19"/>
      <c r="Y127" s="19"/>
      <c r="Z127" s="19"/>
      <c r="AA127" s="19"/>
      <c r="AB127" s="19"/>
      <c r="AC127" s="19"/>
      <c r="AD127" s="19"/>
      <c r="AE127" s="19"/>
      <c r="AF127" s="19"/>
      <c r="AG127" s="19"/>
      <c r="AH127" s="19"/>
      <c r="AI127" s="19"/>
      <c r="AJ127" s="19"/>
      <c r="AK127" s="19"/>
      <c r="AL127" s="19"/>
      <c r="AM127" s="19"/>
    </row>
    <row r="128" spans="1:39" ht="15" customHeight="1" x14ac:dyDescent="0.15">
      <c r="A128" s="21"/>
      <c r="B128" s="22"/>
      <c r="C128" s="22"/>
      <c r="D128" s="22"/>
      <c r="E128" s="22"/>
      <c r="F128" s="19"/>
      <c r="G128" s="22"/>
      <c r="H128" s="19"/>
      <c r="I128" s="19"/>
      <c r="J128" s="19"/>
      <c r="K128" s="19"/>
      <c r="L128" s="19"/>
      <c r="M128" s="19"/>
      <c r="N128" s="19"/>
      <c r="O128" s="19"/>
      <c r="P128" s="22"/>
      <c r="Q128" s="22"/>
      <c r="R128" s="19"/>
      <c r="S128" s="19"/>
      <c r="T128" s="19"/>
      <c r="U128" s="19"/>
      <c r="V128" s="19"/>
      <c r="W128" s="19"/>
      <c r="X128" s="19"/>
      <c r="Y128" s="19"/>
      <c r="Z128" s="19"/>
      <c r="AA128" s="19"/>
      <c r="AB128" s="19"/>
      <c r="AC128" s="19"/>
      <c r="AD128" s="19"/>
      <c r="AE128" s="19"/>
      <c r="AF128" s="19"/>
      <c r="AG128" s="19"/>
      <c r="AH128" s="19"/>
      <c r="AI128" s="19"/>
      <c r="AJ128" s="19"/>
      <c r="AK128" s="19"/>
      <c r="AL128" s="19"/>
      <c r="AM128" s="19"/>
    </row>
    <row r="129" spans="1:39" ht="15" customHeight="1" x14ac:dyDescent="0.15">
      <c r="A129" s="21"/>
      <c r="B129" s="22"/>
      <c r="C129" s="22"/>
      <c r="D129" s="22"/>
      <c r="E129" s="22"/>
      <c r="F129" s="19"/>
      <c r="G129" s="22"/>
      <c r="H129" s="19"/>
      <c r="I129" s="19"/>
      <c r="J129" s="22"/>
      <c r="K129" s="19"/>
      <c r="L129" s="22"/>
      <c r="M129" s="19"/>
      <c r="N129" s="19"/>
      <c r="O129" s="19"/>
      <c r="P129" s="22"/>
      <c r="Q129" s="22"/>
      <c r="R129" s="19"/>
      <c r="S129" s="19"/>
      <c r="T129" s="19"/>
      <c r="U129" s="19"/>
      <c r="V129" s="19"/>
      <c r="W129" s="19"/>
      <c r="X129" s="19"/>
      <c r="Y129" s="19"/>
      <c r="Z129" s="19"/>
      <c r="AA129" s="19"/>
      <c r="AB129" s="19"/>
      <c r="AC129" s="19"/>
      <c r="AD129" s="19"/>
      <c r="AE129" s="19"/>
      <c r="AF129" s="19"/>
      <c r="AG129" s="19"/>
      <c r="AH129" s="19"/>
      <c r="AI129" s="19"/>
      <c r="AJ129" s="19"/>
      <c r="AK129" s="19"/>
      <c r="AL129" s="19"/>
      <c r="AM129" s="19"/>
    </row>
    <row r="130" spans="1:39" ht="15" customHeight="1" x14ac:dyDescent="0.15">
      <c r="A130" s="21"/>
      <c r="B130" s="22"/>
      <c r="C130" s="22"/>
      <c r="D130" s="22"/>
      <c r="E130" s="22"/>
      <c r="F130" s="19"/>
      <c r="G130" s="22"/>
      <c r="H130" s="19"/>
      <c r="I130" s="19"/>
      <c r="J130" s="19"/>
      <c r="K130" s="19"/>
      <c r="L130" s="19"/>
      <c r="M130" s="19"/>
      <c r="N130" s="19"/>
      <c r="O130" s="19"/>
      <c r="P130" s="22"/>
      <c r="Q130" s="22"/>
      <c r="R130" s="19"/>
      <c r="S130" s="19"/>
      <c r="T130" s="19"/>
      <c r="U130" s="19"/>
      <c r="V130" s="19"/>
      <c r="W130" s="19"/>
      <c r="X130" s="19"/>
      <c r="Y130" s="19"/>
      <c r="Z130" s="19"/>
      <c r="AA130" s="19"/>
      <c r="AB130" s="19"/>
      <c r="AC130" s="19"/>
      <c r="AD130" s="19"/>
      <c r="AE130" s="19"/>
      <c r="AF130" s="19"/>
      <c r="AG130" s="19"/>
      <c r="AH130" s="19"/>
      <c r="AI130" s="19"/>
      <c r="AJ130" s="19"/>
      <c r="AK130" s="19"/>
      <c r="AL130" s="19"/>
      <c r="AM130" s="19"/>
    </row>
    <row r="131" spans="1:39" ht="15" customHeight="1" x14ac:dyDescent="0.15">
      <c r="A131" s="21"/>
      <c r="B131" s="22"/>
      <c r="C131" s="22"/>
      <c r="D131" s="22"/>
      <c r="E131" s="22"/>
      <c r="F131" s="19"/>
      <c r="G131" s="22"/>
      <c r="H131" s="19"/>
      <c r="I131" s="19"/>
      <c r="J131" s="19"/>
      <c r="K131" s="19"/>
      <c r="L131" s="19"/>
      <c r="M131" s="19"/>
      <c r="N131" s="19"/>
      <c r="O131" s="19"/>
      <c r="P131" s="22"/>
      <c r="Q131" s="22"/>
      <c r="R131" s="19"/>
      <c r="S131" s="19"/>
      <c r="T131" s="19"/>
      <c r="U131" s="19"/>
      <c r="V131" s="19"/>
      <c r="W131" s="19"/>
      <c r="X131" s="19"/>
      <c r="Y131" s="19"/>
      <c r="Z131" s="19"/>
      <c r="AA131" s="19"/>
      <c r="AB131" s="19"/>
      <c r="AC131" s="19"/>
      <c r="AD131" s="19"/>
      <c r="AE131" s="19"/>
      <c r="AF131" s="19"/>
      <c r="AG131" s="19"/>
      <c r="AH131" s="19"/>
      <c r="AI131" s="19"/>
      <c r="AJ131" s="19"/>
      <c r="AK131" s="19"/>
      <c r="AL131" s="19"/>
      <c r="AM131" s="19"/>
    </row>
    <row r="132" spans="1:39" ht="15" customHeight="1" x14ac:dyDescent="0.15">
      <c r="A132" s="21"/>
      <c r="B132" s="22"/>
      <c r="C132" s="22"/>
      <c r="D132" s="22"/>
      <c r="E132" s="22"/>
      <c r="F132" s="19"/>
      <c r="G132" s="22"/>
      <c r="H132" s="19"/>
      <c r="I132" s="19"/>
      <c r="J132" s="19"/>
      <c r="K132" s="19"/>
      <c r="L132" s="19"/>
      <c r="M132" s="19"/>
      <c r="N132" s="19"/>
      <c r="O132" s="19"/>
      <c r="P132" s="22"/>
      <c r="Q132" s="22"/>
      <c r="R132" s="19"/>
      <c r="S132" s="19"/>
      <c r="T132" s="19"/>
      <c r="U132" s="19"/>
      <c r="V132" s="19"/>
      <c r="W132" s="19"/>
      <c r="X132" s="19"/>
      <c r="Y132" s="19"/>
      <c r="Z132" s="19"/>
      <c r="AA132" s="19"/>
      <c r="AB132" s="19"/>
      <c r="AC132" s="19"/>
      <c r="AD132" s="19"/>
      <c r="AE132" s="19"/>
      <c r="AF132" s="19"/>
      <c r="AG132" s="19"/>
      <c r="AH132" s="19"/>
      <c r="AI132" s="19"/>
      <c r="AJ132" s="19"/>
      <c r="AK132" s="19"/>
      <c r="AL132" s="19"/>
      <c r="AM132" s="19"/>
    </row>
    <row r="133" spans="1:39" ht="15" customHeight="1" x14ac:dyDescent="0.15">
      <c r="A133" s="21"/>
      <c r="B133" s="22"/>
      <c r="C133" s="22"/>
      <c r="D133" s="22"/>
      <c r="E133" s="22"/>
      <c r="F133" s="19"/>
      <c r="G133" s="22"/>
      <c r="H133" s="19"/>
      <c r="I133" s="19"/>
      <c r="J133" s="19"/>
      <c r="K133" s="19"/>
      <c r="L133" s="19"/>
      <c r="M133" s="19"/>
      <c r="N133" s="19"/>
      <c r="O133" s="19"/>
      <c r="P133" s="22"/>
      <c r="Q133" s="22"/>
      <c r="R133" s="19"/>
      <c r="S133" s="19"/>
      <c r="T133" s="19"/>
      <c r="U133" s="19"/>
      <c r="V133" s="19"/>
      <c r="W133" s="19"/>
      <c r="X133" s="19"/>
      <c r="Y133" s="19"/>
      <c r="Z133" s="19"/>
      <c r="AA133" s="19"/>
      <c r="AB133" s="19"/>
      <c r="AC133" s="19"/>
      <c r="AD133" s="19"/>
      <c r="AE133" s="19"/>
      <c r="AF133" s="19"/>
      <c r="AG133" s="19"/>
      <c r="AH133" s="19"/>
      <c r="AI133" s="19"/>
      <c r="AJ133" s="19"/>
      <c r="AK133" s="19"/>
      <c r="AL133" s="19"/>
      <c r="AM133" s="19"/>
    </row>
    <row r="134" spans="1:39" ht="15" customHeight="1" x14ac:dyDescent="0.15">
      <c r="A134" s="21"/>
      <c r="B134" s="22"/>
      <c r="C134" s="22"/>
      <c r="D134" s="22"/>
      <c r="E134" s="22"/>
      <c r="F134" s="19"/>
      <c r="G134" s="22"/>
      <c r="H134" s="19"/>
      <c r="I134" s="19"/>
      <c r="J134" s="19"/>
      <c r="K134" s="19"/>
      <c r="L134" s="19"/>
      <c r="M134" s="19"/>
      <c r="N134" s="19"/>
      <c r="O134" s="19"/>
      <c r="P134" s="22"/>
      <c r="Q134" s="22"/>
      <c r="R134" s="19"/>
      <c r="S134" s="19"/>
      <c r="T134" s="19"/>
      <c r="U134" s="19"/>
      <c r="V134" s="19"/>
      <c r="W134" s="19"/>
      <c r="X134" s="19"/>
      <c r="Y134" s="19"/>
      <c r="Z134" s="19"/>
      <c r="AA134" s="19"/>
      <c r="AB134" s="19"/>
      <c r="AC134" s="19"/>
      <c r="AD134" s="19"/>
      <c r="AE134" s="19"/>
      <c r="AF134" s="19"/>
      <c r="AG134" s="19"/>
      <c r="AH134" s="19"/>
      <c r="AI134" s="19"/>
      <c r="AJ134" s="19"/>
      <c r="AK134" s="19"/>
      <c r="AL134" s="19"/>
      <c r="AM134" s="19"/>
    </row>
    <row r="135" spans="1:39" ht="15" customHeight="1" x14ac:dyDescent="0.15">
      <c r="A135" s="21"/>
      <c r="B135" s="22"/>
      <c r="C135" s="22"/>
      <c r="D135" s="22"/>
      <c r="E135" s="22"/>
      <c r="F135" s="19"/>
      <c r="G135" s="19"/>
      <c r="H135" s="19"/>
      <c r="I135" s="19"/>
      <c r="J135" s="19"/>
      <c r="K135" s="19"/>
      <c r="L135" s="19"/>
      <c r="M135" s="19"/>
      <c r="N135" s="19"/>
      <c r="O135" s="19"/>
      <c r="P135" s="22"/>
      <c r="Q135" s="22"/>
      <c r="R135" s="19"/>
      <c r="S135" s="19"/>
      <c r="T135" s="19"/>
      <c r="U135" s="19"/>
      <c r="V135" s="19"/>
      <c r="W135" s="19"/>
      <c r="X135" s="19"/>
      <c r="Y135" s="19"/>
      <c r="Z135" s="19"/>
      <c r="AA135" s="19"/>
      <c r="AB135" s="19"/>
      <c r="AC135" s="19"/>
      <c r="AD135" s="19"/>
      <c r="AE135" s="19"/>
      <c r="AF135" s="19"/>
      <c r="AG135" s="19"/>
      <c r="AH135" s="19"/>
      <c r="AI135" s="19"/>
      <c r="AJ135" s="19"/>
      <c r="AK135" s="19"/>
      <c r="AL135" s="19"/>
      <c r="AM135" s="19"/>
    </row>
    <row r="136" spans="1:39" ht="15" customHeight="1" x14ac:dyDescent="0.15">
      <c r="A136" s="21"/>
      <c r="B136" s="22"/>
      <c r="C136" s="22"/>
      <c r="D136" s="22"/>
      <c r="E136" s="22"/>
      <c r="F136" s="19"/>
      <c r="G136" s="19"/>
      <c r="H136" s="19"/>
      <c r="I136" s="19"/>
      <c r="J136" s="19"/>
      <c r="K136" s="19"/>
      <c r="L136" s="19"/>
      <c r="M136" s="19"/>
      <c r="N136" s="19"/>
      <c r="O136" s="19"/>
      <c r="P136" s="22"/>
      <c r="Q136" s="22"/>
      <c r="R136" s="19"/>
      <c r="S136" s="19"/>
      <c r="T136" s="19"/>
      <c r="U136" s="19"/>
      <c r="V136" s="19"/>
      <c r="W136" s="19"/>
      <c r="X136" s="19"/>
      <c r="Y136" s="19"/>
      <c r="Z136" s="19"/>
      <c r="AA136" s="19"/>
      <c r="AB136" s="19"/>
      <c r="AC136" s="19"/>
      <c r="AD136" s="19"/>
      <c r="AE136" s="19"/>
      <c r="AF136" s="19"/>
      <c r="AG136" s="19"/>
      <c r="AH136" s="19"/>
      <c r="AI136" s="19"/>
      <c r="AJ136" s="19"/>
      <c r="AK136" s="19"/>
      <c r="AL136" s="19"/>
      <c r="AM136" s="19"/>
    </row>
    <row r="137" spans="1:39" ht="15" customHeight="1" x14ac:dyDescent="0.15">
      <c r="A137" s="21"/>
      <c r="B137" s="22"/>
      <c r="C137" s="22"/>
      <c r="D137" s="22"/>
      <c r="E137" s="22"/>
      <c r="F137" s="19"/>
      <c r="G137" s="19"/>
      <c r="H137" s="19"/>
      <c r="I137" s="19"/>
      <c r="J137" s="19"/>
      <c r="K137" s="19"/>
      <c r="L137" s="19"/>
      <c r="M137" s="19"/>
      <c r="N137" s="19"/>
      <c r="O137" s="19"/>
      <c r="P137" s="22"/>
      <c r="Q137" s="22"/>
      <c r="R137" s="19"/>
      <c r="S137" s="19"/>
      <c r="T137" s="19"/>
      <c r="U137" s="19"/>
      <c r="V137" s="19"/>
      <c r="W137" s="19"/>
      <c r="X137" s="19"/>
      <c r="Y137" s="19"/>
      <c r="Z137" s="19"/>
      <c r="AA137" s="19"/>
      <c r="AB137" s="19"/>
      <c r="AC137" s="19"/>
      <c r="AD137" s="19"/>
      <c r="AE137" s="19"/>
      <c r="AF137" s="19"/>
      <c r="AG137" s="19"/>
      <c r="AH137" s="19"/>
      <c r="AI137" s="19"/>
      <c r="AJ137" s="19"/>
      <c r="AK137" s="19"/>
      <c r="AL137" s="19"/>
      <c r="AM137" s="19"/>
    </row>
    <row r="138" spans="1:39" ht="15" customHeight="1" x14ac:dyDescent="0.15">
      <c r="A138" s="21"/>
      <c r="B138" s="22"/>
      <c r="C138" s="22"/>
      <c r="D138" s="22"/>
      <c r="E138" s="22"/>
      <c r="F138" s="19"/>
      <c r="G138" s="19"/>
      <c r="H138" s="19"/>
      <c r="I138" s="19"/>
      <c r="J138" s="19"/>
      <c r="K138" s="19"/>
      <c r="L138" s="19"/>
      <c r="M138" s="19"/>
      <c r="N138" s="19"/>
      <c r="O138" s="19"/>
      <c r="P138" s="22"/>
      <c r="Q138" s="22"/>
      <c r="R138" s="19"/>
      <c r="S138" s="19"/>
      <c r="T138" s="19"/>
      <c r="U138" s="19"/>
      <c r="V138" s="19"/>
      <c r="W138" s="19"/>
      <c r="X138" s="19"/>
      <c r="Y138" s="19"/>
      <c r="Z138" s="19"/>
      <c r="AA138" s="19"/>
      <c r="AB138" s="19"/>
      <c r="AC138" s="19"/>
      <c r="AD138" s="19"/>
      <c r="AE138" s="19"/>
      <c r="AF138" s="19"/>
      <c r="AG138" s="19"/>
      <c r="AH138" s="19"/>
      <c r="AI138" s="19"/>
      <c r="AJ138" s="19"/>
      <c r="AK138" s="19"/>
      <c r="AL138" s="19"/>
      <c r="AM138" s="19"/>
    </row>
    <row r="139" spans="1:39" ht="15" customHeight="1" x14ac:dyDescent="0.15">
      <c r="A139" s="21"/>
      <c r="B139" s="22"/>
      <c r="C139" s="22"/>
      <c r="D139" s="22"/>
      <c r="E139" s="22"/>
      <c r="F139" s="19"/>
      <c r="G139" s="19"/>
      <c r="H139" s="19"/>
      <c r="I139" s="19"/>
      <c r="J139" s="19"/>
      <c r="K139" s="19"/>
      <c r="L139" s="19"/>
      <c r="M139" s="19"/>
      <c r="N139" s="19"/>
      <c r="O139" s="19"/>
      <c r="P139" s="22"/>
      <c r="Q139" s="22"/>
      <c r="R139" s="19"/>
      <c r="S139" s="19"/>
      <c r="T139" s="19"/>
      <c r="U139" s="19"/>
      <c r="V139" s="19"/>
      <c r="W139" s="19"/>
      <c r="X139" s="19"/>
      <c r="Y139" s="19"/>
      <c r="Z139" s="19"/>
      <c r="AA139" s="19"/>
      <c r="AB139" s="19"/>
      <c r="AC139" s="19"/>
      <c r="AD139" s="19"/>
      <c r="AE139" s="19"/>
      <c r="AF139" s="19"/>
      <c r="AG139" s="19"/>
      <c r="AH139" s="19"/>
      <c r="AI139" s="19"/>
      <c r="AJ139" s="19"/>
      <c r="AK139" s="19"/>
      <c r="AL139" s="19"/>
      <c r="AM139" s="19"/>
    </row>
    <row r="140" spans="1:39" ht="15" customHeight="1" x14ac:dyDescent="0.15">
      <c r="A140" s="21"/>
      <c r="B140" s="22"/>
      <c r="C140" s="22"/>
      <c r="D140" s="22"/>
      <c r="E140" s="22"/>
      <c r="F140" s="19"/>
      <c r="G140" s="19"/>
      <c r="H140" s="19"/>
      <c r="I140" s="19"/>
      <c r="J140" s="19"/>
      <c r="K140" s="19"/>
      <c r="L140" s="19"/>
      <c r="M140" s="19"/>
      <c r="N140" s="19"/>
      <c r="O140" s="19"/>
      <c r="P140" s="22"/>
      <c r="Q140" s="22"/>
      <c r="R140" s="19"/>
      <c r="S140" s="19"/>
      <c r="T140" s="19"/>
      <c r="U140" s="19"/>
      <c r="V140" s="19"/>
      <c r="W140" s="19"/>
      <c r="X140" s="19"/>
      <c r="Y140" s="19"/>
      <c r="Z140" s="19"/>
      <c r="AA140" s="19"/>
      <c r="AB140" s="19"/>
      <c r="AC140" s="19"/>
      <c r="AD140" s="19"/>
      <c r="AE140" s="19"/>
      <c r="AF140" s="19"/>
      <c r="AG140" s="19"/>
      <c r="AH140" s="19"/>
      <c r="AI140" s="19"/>
      <c r="AJ140" s="19"/>
      <c r="AK140" s="19"/>
      <c r="AL140" s="19"/>
      <c r="AM140" s="19"/>
    </row>
    <row r="141" spans="1:39" ht="15" customHeight="1" x14ac:dyDescent="0.15">
      <c r="A141" s="21"/>
      <c r="B141" s="22"/>
      <c r="C141" s="22"/>
      <c r="D141" s="22"/>
      <c r="E141" s="22"/>
      <c r="F141" s="19"/>
      <c r="G141" s="19"/>
      <c r="H141" s="19"/>
      <c r="I141" s="19"/>
      <c r="J141" s="19"/>
      <c r="K141" s="19"/>
      <c r="L141" s="19"/>
      <c r="M141" s="19"/>
      <c r="N141" s="19"/>
      <c r="O141" s="19"/>
      <c r="P141" s="22"/>
      <c r="Q141" s="22"/>
      <c r="R141" s="19"/>
      <c r="S141" s="19"/>
      <c r="T141" s="19"/>
      <c r="U141" s="19"/>
      <c r="V141" s="19"/>
      <c r="W141" s="19"/>
      <c r="X141" s="19"/>
      <c r="Y141" s="19"/>
      <c r="Z141" s="19"/>
      <c r="AA141" s="19"/>
      <c r="AB141" s="19"/>
      <c r="AC141" s="19"/>
      <c r="AD141" s="19"/>
      <c r="AE141" s="19"/>
      <c r="AF141" s="19"/>
      <c r="AG141" s="19"/>
      <c r="AH141" s="19"/>
      <c r="AI141" s="19"/>
      <c r="AJ141" s="19"/>
      <c r="AK141" s="19"/>
      <c r="AL141" s="19"/>
      <c r="AM141" s="19"/>
    </row>
    <row r="142" spans="1:39" ht="15" customHeight="1" x14ac:dyDescent="0.15">
      <c r="A142" s="21"/>
      <c r="B142" s="22"/>
      <c r="C142" s="22"/>
      <c r="D142" s="22"/>
      <c r="E142" s="22"/>
      <c r="F142" s="19"/>
      <c r="G142" s="19"/>
      <c r="H142" s="19"/>
      <c r="I142" s="19"/>
      <c r="J142" s="19"/>
      <c r="K142" s="19"/>
      <c r="L142" s="19"/>
      <c r="M142" s="19"/>
      <c r="N142" s="19"/>
      <c r="O142" s="19"/>
      <c r="P142" s="22"/>
      <c r="Q142" s="22"/>
      <c r="R142" s="19"/>
      <c r="S142" s="19"/>
      <c r="T142" s="19"/>
      <c r="U142" s="19"/>
      <c r="V142" s="19"/>
      <c r="W142" s="19"/>
      <c r="X142" s="19"/>
      <c r="Y142" s="19"/>
      <c r="Z142" s="19"/>
      <c r="AA142" s="19"/>
      <c r="AB142" s="19"/>
      <c r="AC142" s="19"/>
      <c r="AD142" s="19"/>
      <c r="AE142" s="19"/>
      <c r="AF142" s="19"/>
      <c r="AG142" s="19"/>
      <c r="AH142" s="19"/>
      <c r="AI142" s="19"/>
      <c r="AJ142" s="19"/>
      <c r="AK142" s="19"/>
      <c r="AL142" s="19"/>
      <c r="AM142" s="19"/>
    </row>
    <row r="143" spans="1:39" ht="15" customHeight="1" x14ac:dyDescent="0.15">
      <c r="A143" s="21"/>
      <c r="B143" s="22"/>
      <c r="C143" s="22"/>
      <c r="D143" s="22"/>
      <c r="E143" s="22"/>
      <c r="F143" s="19"/>
      <c r="G143" s="19"/>
      <c r="H143" s="19"/>
      <c r="I143" s="19"/>
      <c r="J143" s="19"/>
      <c r="K143" s="19"/>
      <c r="L143" s="19"/>
      <c r="M143" s="19"/>
      <c r="N143" s="19"/>
      <c r="O143" s="19"/>
      <c r="P143" s="22"/>
      <c r="Q143" s="22"/>
      <c r="R143" s="19"/>
      <c r="S143" s="19"/>
      <c r="T143" s="19"/>
      <c r="U143" s="19"/>
      <c r="V143" s="19"/>
      <c r="W143" s="19"/>
      <c r="X143" s="19"/>
      <c r="Y143" s="19"/>
      <c r="Z143" s="19"/>
      <c r="AA143" s="19"/>
      <c r="AB143" s="19"/>
      <c r="AC143" s="19"/>
      <c r="AD143" s="19"/>
      <c r="AE143" s="19"/>
      <c r="AF143" s="19"/>
      <c r="AG143" s="19"/>
      <c r="AH143" s="19"/>
      <c r="AI143" s="19"/>
      <c r="AJ143" s="19"/>
      <c r="AK143" s="19"/>
      <c r="AL143" s="19"/>
      <c r="AM143" s="19"/>
    </row>
    <row r="144" spans="1:39" ht="15" customHeight="1" x14ac:dyDescent="0.15">
      <c r="A144" s="21"/>
      <c r="B144" s="22"/>
      <c r="C144" s="22"/>
      <c r="D144" s="22"/>
      <c r="E144" s="22"/>
      <c r="F144" s="19"/>
      <c r="G144" s="19"/>
      <c r="H144" s="19"/>
      <c r="I144" s="19"/>
      <c r="J144" s="19"/>
      <c r="K144" s="19"/>
      <c r="L144" s="19"/>
      <c r="M144" s="19"/>
      <c r="N144" s="19"/>
      <c r="O144" s="19"/>
      <c r="P144" s="22"/>
      <c r="Q144" s="22"/>
      <c r="R144" s="19"/>
      <c r="S144" s="19"/>
      <c r="T144" s="19"/>
      <c r="U144" s="19"/>
      <c r="V144" s="19"/>
      <c r="W144" s="19"/>
      <c r="X144" s="19"/>
      <c r="Y144" s="19"/>
      <c r="Z144" s="19"/>
      <c r="AA144" s="19"/>
      <c r="AB144" s="19"/>
      <c r="AC144" s="19"/>
      <c r="AD144" s="19"/>
      <c r="AE144" s="19"/>
      <c r="AF144" s="19"/>
      <c r="AG144" s="19"/>
      <c r="AH144" s="19"/>
      <c r="AI144" s="19"/>
      <c r="AJ144" s="19"/>
      <c r="AK144" s="19"/>
      <c r="AL144" s="19"/>
      <c r="AM144" s="19"/>
    </row>
    <row r="145" spans="1:39" ht="15" customHeight="1" x14ac:dyDescent="0.15">
      <c r="A145" s="21"/>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row>
    <row r="146" spans="1:39" ht="15" customHeight="1" x14ac:dyDescent="0.15">
      <c r="A146" s="21"/>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row>
    <row r="147" spans="1:39" ht="15" customHeight="1" x14ac:dyDescent="0.15">
      <c r="A147" s="21"/>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row>
    <row r="148" spans="1:39" ht="15" customHeight="1" x14ac:dyDescent="0.15">
      <c r="A148" s="21"/>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row>
    <row r="149" spans="1:39" ht="15" customHeight="1" x14ac:dyDescent="0.15">
      <c r="A149" s="21"/>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row>
    <row r="150" spans="1:39" ht="15" customHeight="1" x14ac:dyDescent="0.15">
      <c r="A150" s="21"/>
      <c r="B150" s="19"/>
      <c r="C150" s="19"/>
      <c r="D150" s="22"/>
      <c r="E150" s="22"/>
      <c r="F150" s="22"/>
      <c r="G150" s="19"/>
      <c r="H150" s="19"/>
      <c r="I150" s="19"/>
      <c r="J150" s="19"/>
      <c r="K150" s="19"/>
      <c r="L150" s="19"/>
      <c r="M150" s="19"/>
      <c r="N150" s="19"/>
      <c r="O150" s="19"/>
      <c r="P150" s="19"/>
      <c r="Q150" s="19"/>
      <c r="R150" s="19"/>
      <c r="S150" s="19"/>
      <c r="T150" s="19"/>
      <c r="U150" s="19"/>
      <c r="V150" s="19"/>
      <c r="W150" s="19"/>
      <c r="X150" s="19"/>
      <c r="Y150" s="19"/>
      <c r="Z150" s="21"/>
      <c r="AA150" s="19"/>
      <c r="AB150" s="19"/>
      <c r="AC150" s="19"/>
      <c r="AD150" s="19"/>
      <c r="AE150" s="19"/>
      <c r="AF150" s="19"/>
      <c r="AG150" s="19"/>
      <c r="AH150" s="19"/>
      <c r="AI150" s="19"/>
      <c r="AJ150" s="19"/>
      <c r="AK150" s="19"/>
      <c r="AL150" s="19"/>
      <c r="AM150" s="19"/>
    </row>
    <row r="151" spans="1:39" ht="15" customHeight="1" x14ac:dyDescent="0.15">
      <c r="A151" s="21"/>
      <c r="B151" s="19"/>
      <c r="C151" s="22"/>
      <c r="D151" s="22"/>
      <c r="E151" s="22"/>
      <c r="F151" s="22"/>
      <c r="G151" s="22"/>
      <c r="H151" s="22"/>
      <c r="I151" s="22"/>
      <c r="J151" s="22"/>
      <c r="K151" s="22"/>
      <c r="L151" s="22"/>
      <c r="M151" s="22"/>
      <c r="N151" s="22"/>
      <c r="O151" s="22"/>
      <c r="P151" s="22"/>
      <c r="Q151" s="22"/>
      <c r="R151" s="22"/>
      <c r="S151" s="22"/>
      <c r="T151" s="22"/>
      <c r="U151" s="22"/>
      <c r="V151" s="19"/>
      <c r="W151" s="19"/>
      <c r="X151" s="19"/>
      <c r="Y151" s="19"/>
      <c r="Z151" s="19"/>
      <c r="AA151" s="19"/>
      <c r="AB151" s="19"/>
      <c r="AC151" s="19"/>
      <c r="AD151" s="19"/>
      <c r="AE151" s="19"/>
      <c r="AF151" s="19"/>
      <c r="AG151" s="19"/>
      <c r="AH151" s="19"/>
      <c r="AI151" s="19"/>
      <c r="AJ151" s="19"/>
      <c r="AK151" s="19"/>
      <c r="AL151" s="19"/>
      <c r="AM151" s="19"/>
    </row>
    <row r="152" spans="1:39" ht="15" customHeight="1" x14ac:dyDescent="0.15">
      <c r="A152" s="28"/>
      <c r="B152" s="19"/>
      <c r="C152" s="22"/>
      <c r="D152" s="22"/>
      <c r="E152" s="19"/>
      <c r="F152" s="19"/>
      <c r="G152" s="22"/>
      <c r="H152" s="22"/>
      <c r="I152" s="29"/>
      <c r="J152" s="29"/>
      <c r="K152" s="29"/>
      <c r="L152" s="29"/>
      <c r="M152" s="29"/>
      <c r="N152" s="29"/>
      <c r="O152" s="29"/>
      <c r="P152" s="29"/>
      <c r="Q152" s="29"/>
      <c r="R152" s="29"/>
      <c r="S152" s="22"/>
      <c r="T152" s="22"/>
      <c r="U152" s="22"/>
      <c r="V152" s="19"/>
      <c r="W152" s="19"/>
      <c r="X152" s="19"/>
      <c r="Y152" s="19"/>
      <c r="Z152" s="19"/>
      <c r="AA152" s="19"/>
      <c r="AB152" s="19"/>
      <c r="AC152" s="19"/>
      <c r="AD152" s="19"/>
      <c r="AE152" s="19"/>
      <c r="AF152" s="19"/>
      <c r="AG152" s="19"/>
      <c r="AH152" s="19"/>
      <c r="AI152" s="19"/>
      <c r="AJ152" s="19"/>
      <c r="AK152" s="19"/>
      <c r="AL152" s="19"/>
      <c r="AM152" s="19"/>
    </row>
    <row r="153" spans="1:39" ht="15" customHeight="1" x14ac:dyDescent="0.15">
      <c r="A153" s="21"/>
      <c r="B153" s="19"/>
      <c r="C153" s="22"/>
      <c r="D153" s="22"/>
      <c r="E153" s="19"/>
      <c r="F153" s="19"/>
      <c r="G153" s="22"/>
      <c r="H153" s="22"/>
      <c r="I153" s="29"/>
      <c r="J153" s="29"/>
      <c r="K153" s="29"/>
      <c r="L153" s="29"/>
      <c r="M153" s="29"/>
      <c r="N153" s="29"/>
      <c r="O153" s="29"/>
      <c r="P153" s="29"/>
      <c r="Q153" s="29"/>
      <c r="R153" s="29"/>
      <c r="S153" s="22"/>
      <c r="T153" s="22"/>
      <c r="U153" s="22"/>
      <c r="V153" s="19"/>
      <c r="W153" s="19"/>
      <c r="X153" s="19"/>
      <c r="Y153" s="19"/>
      <c r="Z153" s="19"/>
      <c r="AA153" s="19"/>
      <c r="AB153" s="19"/>
      <c r="AC153" s="19"/>
      <c r="AD153" s="19"/>
      <c r="AE153" s="19"/>
      <c r="AF153" s="19"/>
      <c r="AG153" s="19"/>
      <c r="AH153" s="19"/>
      <c r="AI153" s="19"/>
      <c r="AJ153" s="19"/>
      <c r="AK153" s="19"/>
      <c r="AL153" s="19"/>
      <c r="AM153" s="19"/>
    </row>
    <row r="154" spans="1:39" ht="15" customHeight="1" x14ac:dyDescent="0.15">
      <c r="A154" s="21"/>
      <c r="B154" s="19"/>
      <c r="C154" s="22"/>
      <c r="D154" s="22"/>
      <c r="E154" s="19"/>
      <c r="F154" s="19"/>
      <c r="G154" s="22"/>
      <c r="H154" s="22"/>
      <c r="I154" s="29"/>
      <c r="J154" s="29"/>
      <c r="K154" s="29"/>
      <c r="L154" s="29"/>
      <c r="M154" s="29"/>
      <c r="N154" s="29"/>
      <c r="O154" s="29"/>
      <c r="P154" s="29"/>
      <c r="Q154" s="29"/>
      <c r="R154" s="29"/>
      <c r="S154" s="22"/>
      <c r="T154" s="22"/>
      <c r="U154" s="22"/>
      <c r="V154" s="19"/>
      <c r="W154" s="19"/>
      <c r="X154" s="19"/>
      <c r="Y154" s="19"/>
      <c r="Z154" s="19"/>
      <c r="AA154" s="19"/>
      <c r="AB154" s="19"/>
      <c r="AC154" s="19"/>
      <c r="AD154" s="19"/>
      <c r="AE154" s="19"/>
      <c r="AF154" s="19"/>
      <c r="AG154" s="19"/>
      <c r="AH154" s="19"/>
      <c r="AI154" s="19"/>
      <c r="AJ154" s="19"/>
      <c r="AK154" s="19"/>
      <c r="AL154" s="19"/>
      <c r="AM154" s="19"/>
    </row>
    <row r="155" spans="1:39" ht="15" customHeight="1" x14ac:dyDescent="0.15">
      <c r="A155" s="21"/>
      <c r="B155" s="19"/>
      <c r="C155" s="22"/>
      <c r="D155" s="22"/>
      <c r="E155" s="19"/>
      <c r="F155" s="19"/>
      <c r="G155" s="22"/>
      <c r="H155" s="22"/>
      <c r="I155" s="29"/>
      <c r="J155" s="29"/>
      <c r="K155" s="29"/>
      <c r="L155" s="29"/>
      <c r="M155" s="29"/>
      <c r="N155" s="29"/>
      <c r="O155" s="29"/>
      <c r="P155" s="29"/>
      <c r="Q155" s="29"/>
      <c r="R155" s="29"/>
      <c r="S155" s="22"/>
      <c r="T155" s="22"/>
      <c r="U155" s="22"/>
      <c r="V155" s="19"/>
      <c r="W155" s="19"/>
      <c r="X155" s="19"/>
      <c r="Y155" s="19"/>
      <c r="Z155" s="19"/>
      <c r="AA155" s="19"/>
      <c r="AB155" s="19"/>
      <c r="AC155" s="19"/>
      <c r="AD155" s="19"/>
      <c r="AE155" s="19"/>
      <c r="AF155" s="19"/>
      <c r="AG155" s="19"/>
      <c r="AH155" s="19"/>
      <c r="AI155" s="19"/>
      <c r="AJ155" s="19"/>
      <c r="AK155" s="19"/>
      <c r="AL155" s="19"/>
      <c r="AM155" s="19"/>
    </row>
    <row r="156" spans="1:39" ht="15" customHeight="1" x14ac:dyDescent="0.15">
      <c r="A156" s="21"/>
      <c r="B156" s="19"/>
      <c r="C156" s="22"/>
      <c r="D156" s="22"/>
      <c r="E156" s="19"/>
      <c r="F156" s="19"/>
      <c r="G156" s="22"/>
      <c r="H156" s="22"/>
      <c r="I156" s="29"/>
      <c r="J156" s="29"/>
      <c r="K156" s="29"/>
      <c r="L156" s="29"/>
      <c r="M156" s="29"/>
      <c r="N156" s="29"/>
      <c r="O156" s="29"/>
      <c r="P156" s="29"/>
      <c r="Q156" s="29"/>
      <c r="R156" s="29"/>
      <c r="S156" s="22"/>
      <c r="T156" s="22"/>
      <c r="U156" s="22"/>
      <c r="V156" s="19"/>
      <c r="W156" s="19"/>
      <c r="X156" s="19"/>
      <c r="Y156" s="19"/>
      <c r="Z156" s="19"/>
      <c r="AA156" s="19"/>
      <c r="AB156" s="19"/>
      <c r="AC156" s="19"/>
      <c r="AD156" s="19"/>
      <c r="AE156" s="19"/>
      <c r="AF156" s="19"/>
      <c r="AG156" s="19"/>
      <c r="AH156" s="19"/>
      <c r="AI156" s="19"/>
      <c r="AJ156" s="19"/>
      <c r="AK156" s="19"/>
      <c r="AL156" s="19"/>
      <c r="AM156" s="19"/>
    </row>
    <row r="157" spans="1:39" ht="15" customHeight="1" x14ac:dyDescent="0.15">
      <c r="A157" s="21"/>
      <c r="B157" s="19"/>
      <c r="C157" s="22"/>
      <c r="D157" s="22"/>
      <c r="E157" s="19"/>
      <c r="F157" s="19"/>
      <c r="G157" s="22"/>
      <c r="H157" s="22"/>
      <c r="I157" s="29"/>
      <c r="J157" s="29"/>
      <c r="K157" s="29"/>
      <c r="L157" s="29"/>
      <c r="M157" s="29"/>
      <c r="N157" s="29"/>
      <c r="O157" s="29"/>
      <c r="P157" s="29"/>
      <c r="Q157" s="29"/>
      <c r="R157" s="29"/>
      <c r="S157" s="22"/>
      <c r="T157" s="22"/>
      <c r="U157" s="22"/>
      <c r="V157" s="19"/>
      <c r="W157" s="19"/>
      <c r="X157" s="19"/>
      <c r="Y157" s="19"/>
      <c r="Z157" s="19"/>
      <c r="AA157" s="19"/>
      <c r="AB157" s="19"/>
      <c r="AC157" s="19"/>
      <c r="AD157" s="19"/>
      <c r="AE157" s="19"/>
      <c r="AF157" s="19"/>
      <c r="AG157" s="19"/>
      <c r="AH157" s="19"/>
      <c r="AI157" s="19"/>
      <c r="AJ157" s="19"/>
      <c r="AK157" s="19"/>
      <c r="AL157" s="19"/>
      <c r="AM157" s="19"/>
    </row>
    <row r="158" spans="1:39" ht="15" customHeight="1" x14ac:dyDescent="0.15">
      <c r="A158" s="21"/>
      <c r="B158" s="19"/>
      <c r="C158" s="22"/>
      <c r="D158" s="22"/>
      <c r="E158" s="19"/>
      <c r="F158" s="19"/>
      <c r="G158" s="22"/>
      <c r="H158" s="22"/>
      <c r="I158" s="29"/>
      <c r="J158" s="29"/>
      <c r="K158" s="29"/>
      <c r="L158" s="29"/>
      <c r="M158" s="29"/>
      <c r="N158" s="29"/>
      <c r="O158" s="29"/>
      <c r="P158" s="29"/>
      <c r="Q158" s="29"/>
      <c r="R158" s="29"/>
      <c r="S158" s="22"/>
      <c r="T158" s="22"/>
      <c r="U158" s="22"/>
      <c r="V158" s="19"/>
      <c r="W158" s="19"/>
      <c r="X158" s="19"/>
      <c r="Y158" s="19"/>
      <c r="Z158" s="19"/>
      <c r="AA158" s="19"/>
      <c r="AB158" s="19"/>
      <c r="AC158" s="19"/>
      <c r="AD158" s="19"/>
      <c r="AE158" s="19"/>
      <c r="AF158" s="19"/>
      <c r="AG158" s="19"/>
      <c r="AH158" s="19"/>
      <c r="AI158" s="19"/>
      <c r="AJ158" s="19"/>
      <c r="AK158" s="19"/>
      <c r="AL158" s="19"/>
      <c r="AM158" s="19"/>
    </row>
    <row r="159" spans="1:39" ht="15" customHeight="1" x14ac:dyDescent="0.15">
      <c r="A159" s="21"/>
      <c r="B159" s="19"/>
      <c r="C159" s="22"/>
      <c r="D159" s="22"/>
      <c r="E159" s="19"/>
      <c r="F159" s="19"/>
      <c r="G159" s="22"/>
      <c r="H159" s="22"/>
      <c r="I159" s="29"/>
      <c r="J159" s="29"/>
      <c r="K159" s="29"/>
      <c r="L159" s="29"/>
      <c r="M159" s="29"/>
      <c r="N159" s="29"/>
      <c r="O159" s="29"/>
      <c r="P159" s="29"/>
      <c r="Q159" s="29"/>
      <c r="R159" s="29"/>
      <c r="S159" s="22"/>
      <c r="T159" s="22"/>
      <c r="U159" s="22"/>
      <c r="V159" s="19"/>
      <c r="W159" s="19"/>
      <c r="X159" s="19"/>
      <c r="Y159" s="19"/>
      <c r="Z159" s="19"/>
      <c r="AA159" s="19"/>
      <c r="AB159" s="19"/>
      <c r="AC159" s="19"/>
      <c r="AD159" s="19"/>
      <c r="AE159" s="19"/>
      <c r="AF159" s="19"/>
      <c r="AG159" s="19"/>
      <c r="AH159" s="19"/>
      <c r="AI159" s="19"/>
      <c r="AJ159" s="19"/>
      <c r="AK159" s="19"/>
      <c r="AL159" s="19"/>
      <c r="AM159" s="19"/>
    </row>
    <row r="160" spans="1:39" ht="15" customHeight="1" x14ac:dyDescent="0.15">
      <c r="A160" s="21"/>
      <c r="B160" s="19"/>
      <c r="C160" s="22"/>
      <c r="D160" s="22"/>
      <c r="E160" s="19"/>
      <c r="F160" s="19"/>
      <c r="G160" s="22"/>
      <c r="H160" s="22"/>
      <c r="I160" s="29"/>
      <c r="J160" s="29"/>
      <c r="K160" s="29"/>
      <c r="L160" s="29"/>
      <c r="M160" s="29"/>
      <c r="N160" s="29"/>
      <c r="O160" s="29"/>
      <c r="P160" s="29"/>
      <c r="Q160" s="29"/>
      <c r="R160" s="29"/>
      <c r="S160" s="22"/>
      <c r="T160" s="22"/>
      <c r="U160" s="22"/>
      <c r="V160" s="19"/>
      <c r="W160" s="19"/>
      <c r="X160" s="19"/>
      <c r="Y160" s="19"/>
      <c r="Z160" s="19"/>
      <c r="AA160" s="19"/>
      <c r="AB160" s="19"/>
      <c r="AC160" s="19"/>
      <c r="AD160" s="19"/>
      <c r="AE160" s="19"/>
      <c r="AF160" s="19"/>
      <c r="AG160" s="19"/>
      <c r="AH160" s="19"/>
      <c r="AI160" s="19"/>
      <c r="AJ160" s="19"/>
      <c r="AK160" s="19"/>
      <c r="AL160" s="19"/>
      <c r="AM160" s="19"/>
    </row>
    <row r="161" spans="1:39" ht="15" customHeight="1" x14ac:dyDescent="0.15">
      <c r="A161" s="21"/>
      <c r="B161" s="19"/>
      <c r="C161" s="22"/>
      <c r="D161" s="22"/>
      <c r="E161" s="19"/>
      <c r="F161" s="19"/>
      <c r="G161" s="22"/>
      <c r="H161" s="22"/>
      <c r="I161" s="29"/>
      <c r="J161" s="29"/>
      <c r="K161" s="29"/>
      <c r="L161" s="29"/>
      <c r="M161" s="29"/>
      <c r="N161" s="29"/>
      <c r="O161" s="29"/>
      <c r="P161" s="29"/>
      <c r="Q161" s="29"/>
      <c r="R161" s="29"/>
      <c r="S161" s="22"/>
      <c r="T161" s="22"/>
      <c r="U161" s="22"/>
      <c r="V161" s="19"/>
      <c r="W161" s="19"/>
      <c r="X161" s="19"/>
      <c r="Y161" s="19"/>
      <c r="Z161" s="19"/>
      <c r="AA161" s="19"/>
      <c r="AB161" s="19"/>
      <c r="AC161" s="19"/>
      <c r="AD161" s="19"/>
      <c r="AE161" s="19"/>
      <c r="AF161" s="19"/>
      <c r="AG161" s="19"/>
      <c r="AH161" s="19"/>
      <c r="AI161" s="19"/>
      <c r="AJ161" s="19"/>
      <c r="AK161" s="19"/>
      <c r="AL161" s="19"/>
      <c r="AM161" s="19"/>
    </row>
    <row r="162" spans="1:39" ht="15" customHeight="1" x14ac:dyDescent="0.15">
      <c r="A162" s="21"/>
      <c r="B162" s="19"/>
      <c r="C162" s="22"/>
      <c r="D162" s="22"/>
      <c r="E162" s="19"/>
      <c r="F162" s="19"/>
      <c r="G162" s="22"/>
      <c r="H162" s="22"/>
      <c r="I162" s="29"/>
      <c r="J162" s="29"/>
      <c r="K162" s="29"/>
      <c r="L162" s="29"/>
      <c r="M162" s="29"/>
      <c r="N162" s="29"/>
      <c r="O162" s="29"/>
      <c r="P162" s="29"/>
      <c r="Q162" s="29"/>
      <c r="R162" s="29"/>
      <c r="S162" s="22"/>
      <c r="T162" s="22"/>
      <c r="U162" s="22"/>
      <c r="V162" s="19"/>
      <c r="W162" s="19"/>
      <c r="X162" s="19"/>
      <c r="Y162" s="19"/>
      <c r="Z162" s="19"/>
      <c r="AA162" s="19"/>
      <c r="AB162" s="19"/>
      <c r="AC162" s="19"/>
      <c r="AD162" s="19"/>
      <c r="AE162" s="19"/>
      <c r="AF162" s="19"/>
      <c r="AG162" s="19"/>
      <c r="AH162" s="19"/>
      <c r="AI162" s="19"/>
      <c r="AJ162" s="19"/>
      <c r="AK162" s="19"/>
      <c r="AL162" s="19"/>
      <c r="AM162" s="19"/>
    </row>
    <row r="163" spans="1:39" ht="15" customHeight="1" x14ac:dyDescent="0.15">
      <c r="A163" s="21"/>
      <c r="B163" s="23"/>
      <c r="C163" s="23"/>
      <c r="D163" s="23"/>
      <c r="E163" s="23"/>
      <c r="F163" s="23"/>
      <c r="G163" s="23"/>
      <c r="H163" s="23"/>
      <c r="I163" s="23"/>
      <c r="J163" s="23"/>
      <c r="K163" s="23"/>
      <c r="L163" s="23"/>
      <c r="M163" s="23"/>
      <c r="N163" s="23"/>
      <c r="O163" s="23"/>
      <c r="P163" s="23"/>
      <c r="Q163" s="23"/>
      <c r="R163" s="23"/>
      <c r="S163" s="23"/>
      <c r="T163" s="23"/>
      <c r="U163" s="23"/>
      <c r="V163" s="19"/>
      <c r="W163" s="19"/>
      <c r="X163" s="19"/>
      <c r="Y163" s="19"/>
      <c r="Z163" s="19"/>
      <c r="AA163" s="19"/>
      <c r="AB163" s="19"/>
      <c r="AC163" s="19"/>
      <c r="AD163" s="19"/>
      <c r="AE163" s="19"/>
      <c r="AF163" s="19"/>
      <c r="AG163" s="19"/>
      <c r="AH163" s="19"/>
      <c r="AI163" s="19"/>
      <c r="AJ163" s="19"/>
      <c r="AK163" s="19"/>
      <c r="AL163" s="19"/>
      <c r="AM163" s="19"/>
    </row>
    <row r="164" spans="1:39" ht="15" customHeight="1" x14ac:dyDescent="0.15">
      <c r="A164" s="21"/>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row>
    <row r="165" spans="1:39" ht="15" customHeight="1" x14ac:dyDescent="0.15">
      <c r="A165" s="21"/>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row>
    <row r="166" spans="1:39" ht="15" customHeight="1" x14ac:dyDescent="0.15">
      <c r="A166" s="21"/>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row>
    <row r="167" spans="1:39" ht="15" customHeight="1" x14ac:dyDescent="0.15">
      <c r="A167" s="21"/>
      <c r="B167" s="19"/>
      <c r="C167" s="19"/>
      <c r="D167" s="22"/>
      <c r="E167" s="22"/>
      <c r="F167" s="22"/>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row>
    <row r="168" spans="1:39" ht="15" customHeight="1" x14ac:dyDescent="0.15">
      <c r="A168" s="21"/>
      <c r="B168" s="19"/>
      <c r="C168" s="22"/>
      <c r="D168" s="22"/>
      <c r="E168" s="22"/>
      <c r="F168" s="22"/>
      <c r="G168" s="22"/>
      <c r="H168" s="22"/>
      <c r="I168" s="22"/>
      <c r="J168" s="22"/>
      <c r="K168" s="22"/>
      <c r="L168" s="22"/>
      <c r="M168" s="22"/>
      <c r="N168" s="22"/>
      <c r="O168" s="22"/>
      <c r="P168" s="22"/>
      <c r="Q168" s="22"/>
      <c r="R168" s="22"/>
      <c r="S168" s="22"/>
      <c r="T168" s="22"/>
      <c r="U168" s="22"/>
      <c r="V168" s="19"/>
      <c r="W168" s="19"/>
      <c r="X168" s="19"/>
      <c r="Y168" s="19"/>
      <c r="Z168" s="19"/>
      <c r="AA168" s="19"/>
      <c r="AB168" s="19"/>
      <c r="AC168" s="19"/>
      <c r="AD168" s="19"/>
      <c r="AE168" s="19"/>
      <c r="AF168" s="19"/>
      <c r="AG168" s="19"/>
      <c r="AH168" s="19"/>
      <c r="AI168" s="19"/>
      <c r="AJ168" s="19"/>
      <c r="AK168" s="19"/>
      <c r="AL168" s="19"/>
      <c r="AM168" s="19"/>
    </row>
    <row r="169" spans="1:39" ht="15" customHeight="1" x14ac:dyDescent="0.15">
      <c r="A169" s="28"/>
      <c r="B169" s="19"/>
      <c r="C169" s="22"/>
      <c r="D169" s="22"/>
      <c r="E169" s="19"/>
      <c r="F169" s="19"/>
      <c r="G169" s="22"/>
      <c r="H169" s="22"/>
      <c r="I169" s="22"/>
      <c r="J169" s="22"/>
      <c r="K169" s="29"/>
      <c r="L169" s="22"/>
      <c r="M169" s="22"/>
      <c r="N169" s="22"/>
      <c r="O169" s="22"/>
      <c r="P169" s="22"/>
      <c r="Q169" s="22"/>
      <c r="R169" s="22"/>
      <c r="S169" s="22"/>
      <c r="T169" s="22"/>
      <c r="U169" s="22"/>
      <c r="V169" s="19"/>
      <c r="W169" s="19"/>
      <c r="X169" s="19"/>
      <c r="Y169" s="19"/>
      <c r="Z169" s="19"/>
      <c r="AA169" s="19"/>
      <c r="AB169" s="19"/>
      <c r="AC169" s="19"/>
      <c r="AD169" s="19"/>
      <c r="AE169" s="19"/>
      <c r="AF169" s="19"/>
      <c r="AG169" s="19"/>
      <c r="AH169" s="19"/>
      <c r="AI169" s="19"/>
      <c r="AJ169" s="19"/>
      <c r="AK169" s="19"/>
      <c r="AL169" s="19"/>
      <c r="AM169" s="19"/>
    </row>
    <row r="170" spans="1:39" ht="15" customHeight="1" x14ac:dyDescent="0.15">
      <c r="A170" s="21"/>
      <c r="B170" s="19"/>
      <c r="C170" s="22"/>
      <c r="D170" s="22"/>
      <c r="E170" s="19"/>
      <c r="F170" s="19"/>
      <c r="G170" s="22"/>
      <c r="H170" s="22"/>
      <c r="I170" s="22"/>
      <c r="J170" s="22"/>
      <c r="K170" s="29"/>
      <c r="L170" s="22"/>
      <c r="M170" s="22"/>
      <c r="N170" s="22"/>
      <c r="O170" s="22"/>
      <c r="P170" s="22"/>
      <c r="Q170" s="22"/>
      <c r="R170" s="22"/>
      <c r="S170" s="22"/>
      <c r="T170" s="22"/>
      <c r="U170" s="22"/>
      <c r="V170" s="19"/>
      <c r="W170" s="19"/>
      <c r="X170" s="19"/>
      <c r="Y170" s="19"/>
      <c r="Z170" s="19"/>
      <c r="AA170" s="19"/>
      <c r="AB170" s="19"/>
      <c r="AC170" s="19"/>
      <c r="AD170" s="19"/>
      <c r="AE170" s="19"/>
      <c r="AF170" s="19"/>
      <c r="AG170" s="19"/>
      <c r="AH170" s="19"/>
      <c r="AI170" s="19"/>
      <c r="AJ170" s="19"/>
      <c r="AK170" s="19"/>
      <c r="AL170" s="19"/>
      <c r="AM170" s="19"/>
    </row>
    <row r="171" spans="1:39" ht="15" customHeight="1" x14ac:dyDescent="0.15">
      <c r="A171" s="21"/>
      <c r="B171" s="19"/>
      <c r="C171" s="22"/>
      <c r="D171" s="22"/>
      <c r="E171" s="19"/>
      <c r="F171" s="19"/>
      <c r="G171" s="22"/>
      <c r="H171" s="22"/>
      <c r="I171" s="22"/>
      <c r="J171" s="22"/>
      <c r="K171" s="29"/>
      <c r="L171" s="22"/>
      <c r="M171" s="22"/>
      <c r="N171" s="22"/>
      <c r="O171" s="22"/>
      <c r="P171" s="22"/>
      <c r="Q171" s="22"/>
      <c r="R171" s="22"/>
      <c r="S171" s="22"/>
      <c r="T171" s="22"/>
      <c r="U171" s="22"/>
      <c r="V171" s="19"/>
      <c r="W171" s="19"/>
      <c r="X171" s="19"/>
      <c r="Y171" s="19"/>
      <c r="Z171" s="19"/>
      <c r="AA171" s="19"/>
      <c r="AB171" s="19"/>
      <c r="AC171" s="19"/>
      <c r="AD171" s="19"/>
      <c r="AE171" s="19"/>
      <c r="AF171" s="19"/>
      <c r="AG171" s="19"/>
      <c r="AH171" s="19"/>
      <c r="AI171" s="19"/>
      <c r="AJ171" s="19"/>
      <c r="AK171" s="19"/>
      <c r="AL171" s="19"/>
      <c r="AM171" s="19"/>
    </row>
    <row r="172" spans="1:39" ht="15" customHeight="1" x14ac:dyDescent="0.15">
      <c r="A172" s="21"/>
      <c r="B172" s="19"/>
      <c r="C172" s="22"/>
      <c r="D172" s="22"/>
      <c r="E172" s="19"/>
      <c r="F172" s="19"/>
      <c r="G172" s="22"/>
      <c r="H172" s="22"/>
      <c r="I172" s="22"/>
      <c r="J172" s="22"/>
      <c r="K172" s="22"/>
      <c r="L172" s="22"/>
      <c r="M172" s="30"/>
      <c r="N172" s="30"/>
      <c r="O172" s="22"/>
      <c r="P172" s="22"/>
      <c r="Q172" s="22"/>
      <c r="R172" s="22"/>
      <c r="S172" s="22"/>
      <c r="T172" s="22"/>
      <c r="U172" s="22"/>
      <c r="V172" s="19"/>
      <c r="W172" s="19"/>
      <c r="X172" s="19"/>
      <c r="Y172" s="19"/>
      <c r="Z172" s="19"/>
      <c r="AA172" s="19"/>
      <c r="AB172" s="19"/>
      <c r="AC172" s="19"/>
      <c r="AD172" s="19"/>
      <c r="AE172" s="19"/>
      <c r="AF172" s="19"/>
      <c r="AG172" s="19"/>
      <c r="AH172" s="19"/>
      <c r="AI172" s="19"/>
      <c r="AJ172" s="19"/>
      <c r="AK172" s="19"/>
      <c r="AL172" s="19"/>
      <c r="AM172" s="19"/>
    </row>
    <row r="173" spans="1:39" ht="15" customHeight="1" x14ac:dyDescent="0.15">
      <c r="A173" s="21"/>
      <c r="B173" s="19"/>
      <c r="C173" s="22"/>
      <c r="D173" s="22"/>
      <c r="E173" s="19"/>
      <c r="F173" s="19"/>
      <c r="G173" s="22"/>
      <c r="H173" s="22"/>
      <c r="I173" s="22"/>
      <c r="J173" s="22"/>
      <c r="K173" s="22"/>
      <c r="L173" s="22"/>
      <c r="M173" s="30"/>
      <c r="N173" s="30"/>
      <c r="O173" s="22"/>
      <c r="P173" s="22"/>
      <c r="Q173" s="22"/>
      <c r="R173" s="22"/>
      <c r="S173" s="22"/>
      <c r="T173" s="22"/>
      <c r="U173" s="22"/>
      <c r="V173" s="19"/>
      <c r="W173" s="19"/>
      <c r="X173" s="19"/>
      <c r="Y173" s="19"/>
      <c r="Z173" s="19"/>
      <c r="AA173" s="19"/>
      <c r="AB173" s="19"/>
      <c r="AC173" s="19"/>
      <c r="AD173" s="19"/>
      <c r="AE173" s="19"/>
      <c r="AF173" s="19"/>
      <c r="AG173" s="19"/>
      <c r="AH173" s="19"/>
      <c r="AI173" s="19"/>
      <c r="AJ173" s="19"/>
      <c r="AK173" s="19"/>
      <c r="AL173" s="19"/>
      <c r="AM173" s="19"/>
    </row>
    <row r="174" spans="1:39" ht="15" customHeight="1" x14ac:dyDescent="0.15">
      <c r="A174" s="21"/>
      <c r="B174" s="19"/>
      <c r="C174" s="22"/>
      <c r="D174" s="22"/>
      <c r="E174" s="19"/>
      <c r="F174" s="19"/>
      <c r="G174" s="22"/>
      <c r="H174" s="22"/>
      <c r="I174" s="22"/>
      <c r="J174" s="22"/>
      <c r="K174" s="22"/>
      <c r="L174" s="22"/>
      <c r="M174" s="30"/>
      <c r="N174" s="30"/>
      <c r="O174" s="22"/>
      <c r="P174" s="22"/>
      <c r="Q174" s="22"/>
      <c r="R174" s="22"/>
      <c r="S174" s="22"/>
      <c r="T174" s="22"/>
      <c r="U174" s="22"/>
      <c r="V174" s="19"/>
      <c r="W174" s="19"/>
      <c r="X174" s="19"/>
      <c r="Y174" s="19"/>
      <c r="Z174" s="19"/>
      <c r="AA174" s="19"/>
      <c r="AB174" s="19"/>
      <c r="AC174" s="19"/>
      <c r="AD174" s="19"/>
      <c r="AE174" s="19"/>
      <c r="AF174" s="19"/>
      <c r="AG174" s="19"/>
      <c r="AH174" s="19"/>
      <c r="AI174" s="19"/>
      <c r="AJ174" s="19"/>
      <c r="AK174" s="19"/>
      <c r="AL174" s="19"/>
      <c r="AM174" s="19"/>
    </row>
    <row r="175" spans="1:39" ht="15" customHeight="1" x14ac:dyDescent="0.15">
      <c r="A175" s="21"/>
      <c r="B175" s="19"/>
      <c r="C175" s="22"/>
      <c r="D175" s="22"/>
      <c r="E175" s="19"/>
      <c r="F175" s="19"/>
      <c r="G175" s="22"/>
      <c r="H175" s="22"/>
      <c r="I175" s="22"/>
      <c r="J175" s="22"/>
      <c r="K175" s="22"/>
      <c r="L175" s="22"/>
      <c r="M175" s="30"/>
      <c r="N175" s="30"/>
      <c r="O175" s="22"/>
      <c r="P175" s="22"/>
      <c r="Q175" s="22"/>
      <c r="R175" s="22"/>
      <c r="S175" s="22"/>
      <c r="T175" s="22"/>
      <c r="U175" s="22"/>
      <c r="V175" s="19"/>
      <c r="W175" s="19"/>
      <c r="X175" s="19"/>
      <c r="Y175" s="19"/>
      <c r="Z175" s="19"/>
      <c r="AA175" s="19"/>
      <c r="AB175" s="19"/>
      <c r="AC175" s="19"/>
      <c r="AD175" s="19"/>
      <c r="AE175" s="19"/>
      <c r="AF175" s="19"/>
      <c r="AG175" s="19"/>
      <c r="AH175" s="19"/>
      <c r="AI175" s="19"/>
      <c r="AJ175" s="19"/>
      <c r="AK175" s="19"/>
      <c r="AL175" s="19"/>
      <c r="AM175" s="19"/>
    </row>
    <row r="176" spans="1:39" ht="15" customHeight="1" x14ac:dyDescent="0.15">
      <c r="A176" s="21"/>
      <c r="B176" s="19"/>
      <c r="C176" s="22"/>
      <c r="D176" s="22"/>
      <c r="E176" s="19"/>
      <c r="F176" s="19"/>
      <c r="G176" s="22"/>
      <c r="H176" s="22"/>
      <c r="I176" s="22"/>
      <c r="J176" s="22"/>
      <c r="K176" s="22"/>
      <c r="L176" s="22"/>
      <c r="M176" s="30"/>
      <c r="N176" s="30"/>
      <c r="O176" s="30"/>
      <c r="P176" s="29"/>
      <c r="Q176" s="22"/>
      <c r="R176" s="22"/>
      <c r="S176" s="22"/>
      <c r="T176" s="22"/>
      <c r="U176" s="22"/>
      <c r="V176" s="19"/>
      <c r="W176" s="19"/>
      <c r="X176" s="19"/>
      <c r="Y176" s="19"/>
      <c r="Z176" s="19"/>
      <c r="AA176" s="19"/>
      <c r="AB176" s="19"/>
      <c r="AC176" s="19"/>
      <c r="AD176" s="19"/>
      <c r="AE176" s="19"/>
      <c r="AF176" s="19"/>
      <c r="AG176" s="19"/>
      <c r="AH176" s="19"/>
      <c r="AI176" s="19"/>
      <c r="AJ176" s="19"/>
      <c r="AK176" s="19"/>
      <c r="AL176" s="19"/>
      <c r="AM176" s="19"/>
    </row>
    <row r="177" spans="1:39" ht="15" customHeight="1" x14ac:dyDescent="0.15">
      <c r="A177" s="21"/>
      <c r="B177" s="19"/>
      <c r="C177" s="22"/>
      <c r="D177" s="22"/>
      <c r="E177" s="19"/>
      <c r="F177" s="19"/>
      <c r="G177" s="22"/>
      <c r="H177" s="22"/>
      <c r="I177" s="22"/>
      <c r="J177" s="22"/>
      <c r="K177" s="22"/>
      <c r="L177" s="22"/>
      <c r="M177" s="30"/>
      <c r="N177" s="30"/>
      <c r="O177" s="29"/>
      <c r="P177" s="30"/>
      <c r="Q177" s="22"/>
      <c r="R177" s="22"/>
      <c r="S177" s="22"/>
      <c r="T177" s="22"/>
      <c r="U177" s="22"/>
      <c r="V177" s="19"/>
      <c r="W177" s="19"/>
      <c r="X177" s="19"/>
      <c r="Y177" s="19"/>
      <c r="Z177" s="19"/>
      <c r="AA177" s="19"/>
      <c r="AB177" s="19"/>
      <c r="AC177" s="19"/>
      <c r="AD177" s="19"/>
      <c r="AE177" s="19"/>
      <c r="AF177" s="19"/>
      <c r="AG177" s="19"/>
      <c r="AH177" s="19"/>
      <c r="AI177" s="19"/>
      <c r="AJ177" s="19"/>
      <c r="AK177" s="19"/>
      <c r="AL177" s="19"/>
      <c r="AM177" s="19"/>
    </row>
    <row r="178" spans="1:39" ht="15" customHeight="1" x14ac:dyDescent="0.15">
      <c r="A178" s="21"/>
      <c r="B178" s="19"/>
      <c r="C178" s="22"/>
      <c r="D178" s="22"/>
      <c r="E178" s="19"/>
      <c r="F178" s="19"/>
      <c r="G178" s="22"/>
      <c r="H178" s="22"/>
      <c r="I178" s="22"/>
      <c r="J178" s="22"/>
      <c r="K178" s="22"/>
      <c r="L178" s="22"/>
      <c r="M178" s="30"/>
      <c r="N178" s="30"/>
      <c r="O178" s="30"/>
      <c r="P178" s="30"/>
      <c r="Q178" s="30"/>
      <c r="R178" s="30"/>
      <c r="S178" s="22"/>
      <c r="T178" s="22"/>
      <c r="U178" s="22"/>
      <c r="V178" s="19"/>
      <c r="W178" s="19"/>
      <c r="X178" s="19"/>
      <c r="Y178" s="19"/>
      <c r="Z178" s="19"/>
      <c r="AA178" s="19"/>
      <c r="AB178" s="19"/>
      <c r="AC178" s="19"/>
      <c r="AD178" s="19"/>
      <c r="AE178" s="19"/>
      <c r="AF178" s="19"/>
      <c r="AG178" s="19"/>
      <c r="AH178" s="19"/>
      <c r="AI178" s="19"/>
      <c r="AJ178" s="19"/>
      <c r="AK178" s="19"/>
      <c r="AL178" s="19"/>
      <c r="AM178" s="19"/>
    </row>
    <row r="179" spans="1:39" ht="15" customHeight="1" x14ac:dyDescent="0.15">
      <c r="A179" s="21"/>
      <c r="B179" s="19"/>
      <c r="C179" s="22"/>
      <c r="D179" s="22"/>
      <c r="E179" s="19"/>
      <c r="F179" s="19"/>
      <c r="G179" s="22"/>
      <c r="H179" s="22"/>
      <c r="I179" s="22"/>
      <c r="J179" s="22"/>
      <c r="K179" s="22"/>
      <c r="L179" s="22"/>
      <c r="M179" s="30"/>
      <c r="N179" s="30"/>
      <c r="O179" s="30"/>
      <c r="P179" s="30"/>
      <c r="Q179" s="30"/>
      <c r="R179" s="30"/>
      <c r="S179" s="22"/>
      <c r="T179" s="22"/>
      <c r="U179" s="22"/>
      <c r="V179" s="19"/>
      <c r="W179" s="19"/>
      <c r="X179" s="19"/>
      <c r="Y179" s="19"/>
      <c r="Z179" s="19"/>
      <c r="AA179" s="19"/>
      <c r="AB179" s="19"/>
      <c r="AC179" s="19"/>
      <c r="AD179" s="19"/>
      <c r="AE179" s="19"/>
      <c r="AF179" s="19"/>
      <c r="AG179" s="19"/>
      <c r="AH179" s="19"/>
      <c r="AI179" s="19"/>
      <c r="AJ179" s="19"/>
      <c r="AK179" s="19"/>
      <c r="AL179" s="19"/>
      <c r="AM179" s="19"/>
    </row>
    <row r="180" spans="1:39" ht="15" customHeight="1" x14ac:dyDescent="0.15">
      <c r="A180" s="21"/>
      <c r="B180" s="23"/>
      <c r="C180" s="23"/>
      <c r="D180" s="23"/>
      <c r="E180" s="23"/>
      <c r="F180" s="23"/>
      <c r="G180" s="23"/>
      <c r="H180" s="23"/>
      <c r="I180" s="23"/>
      <c r="J180" s="23"/>
      <c r="K180" s="23"/>
      <c r="L180" s="23"/>
      <c r="M180" s="23"/>
      <c r="N180" s="23"/>
      <c r="O180" s="23"/>
      <c r="P180" s="23"/>
      <c r="Q180" s="23"/>
      <c r="R180" s="23"/>
      <c r="S180" s="23"/>
      <c r="T180" s="23"/>
      <c r="U180" s="23"/>
      <c r="V180" s="19"/>
      <c r="W180" s="19"/>
      <c r="X180" s="19"/>
      <c r="Y180" s="19"/>
      <c r="Z180" s="19"/>
      <c r="AA180" s="19"/>
      <c r="AB180" s="19"/>
      <c r="AC180" s="19"/>
      <c r="AD180" s="19"/>
      <c r="AE180" s="19"/>
      <c r="AF180" s="19"/>
      <c r="AG180" s="19"/>
      <c r="AH180" s="19"/>
      <c r="AI180" s="19"/>
      <c r="AJ180" s="19"/>
      <c r="AK180" s="19"/>
      <c r="AL180" s="19"/>
      <c r="AM180" s="19"/>
    </row>
    <row r="181" spans="1:39" ht="15" customHeight="1" x14ac:dyDescent="0.15">
      <c r="A181" s="21"/>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row>
    <row r="182" spans="1:39" ht="15" customHeight="1" x14ac:dyDescent="0.15">
      <c r="A182" s="21"/>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row>
    <row r="183" spans="1:39" ht="15" customHeight="1" x14ac:dyDescent="0.15">
      <c r="A183" s="21"/>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row>
    <row r="184" spans="1:39" ht="15" customHeight="1" x14ac:dyDescent="0.15">
      <c r="A184" s="21"/>
      <c r="B184" s="19"/>
      <c r="C184" s="19"/>
      <c r="D184" s="29"/>
      <c r="E184" s="22"/>
      <c r="F184" s="22"/>
      <c r="G184" s="19"/>
      <c r="H184" s="19"/>
      <c r="I184" s="19"/>
      <c r="J184" s="19"/>
      <c r="K184" s="19"/>
      <c r="L184" s="19"/>
      <c r="M184" s="19"/>
      <c r="N184" s="19"/>
      <c r="O184" s="19"/>
      <c r="P184" s="19"/>
      <c r="Q184" s="19"/>
      <c r="R184" s="19"/>
      <c r="S184" s="19"/>
      <c r="T184" s="19"/>
      <c r="U184" s="19"/>
      <c r="V184" s="19"/>
      <c r="W184" s="19"/>
      <c r="X184" s="19"/>
      <c r="Y184" s="19"/>
      <c r="Z184" s="21"/>
      <c r="AA184" s="19"/>
      <c r="AB184" s="19"/>
      <c r="AC184" s="19"/>
      <c r="AD184" s="19"/>
      <c r="AE184" s="19"/>
      <c r="AF184" s="19"/>
      <c r="AG184" s="19"/>
      <c r="AH184" s="19"/>
      <c r="AI184" s="19"/>
      <c r="AJ184" s="19"/>
      <c r="AK184" s="19"/>
      <c r="AL184" s="19"/>
      <c r="AM184" s="19"/>
    </row>
    <row r="185" spans="1:39" ht="15" customHeight="1" x14ac:dyDescent="0.15">
      <c r="A185" s="21"/>
      <c r="B185" s="19"/>
      <c r="C185" s="22"/>
      <c r="D185" s="22"/>
      <c r="E185" s="22"/>
      <c r="F185" s="22"/>
      <c r="G185" s="22"/>
      <c r="H185" s="22"/>
      <c r="I185" s="22"/>
      <c r="J185" s="22"/>
      <c r="K185" s="22"/>
      <c r="L185" s="22"/>
      <c r="M185" s="22"/>
      <c r="N185" s="22"/>
      <c r="O185" s="22"/>
      <c r="P185" s="22"/>
      <c r="Q185" s="22"/>
      <c r="R185" s="22"/>
      <c r="S185" s="22"/>
      <c r="T185" s="22"/>
      <c r="U185" s="22"/>
      <c r="V185" s="19"/>
      <c r="W185" s="19"/>
      <c r="X185" s="19"/>
      <c r="Y185" s="19"/>
      <c r="Z185" s="19"/>
      <c r="AA185" s="19"/>
      <c r="AB185" s="19"/>
      <c r="AC185" s="19"/>
      <c r="AD185" s="19"/>
      <c r="AE185" s="19"/>
      <c r="AF185" s="19"/>
      <c r="AG185" s="19"/>
      <c r="AH185" s="19"/>
      <c r="AI185" s="19"/>
      <c r="AJ185" s="19"/>
      <c r="AK185" s="19"/>
      <c r="AL185" s="19"/>
      <c r="AM185" s="19"/>
    </row>
    <row r="186" spans="1:39" ht="15" customHeight="1" x14ac:dyDescent="0.15">
      <c r="A186" s="28"/>
      <c r="B186" s="19"/>
      <c r="C186" s="22"/>
      <c r="D186" s="22"/>
      <c r="E186" s="19"/>
      <c r="F186" s="19"/>
      <c r="G186" s="22"/>
      <c r="H186" s="22"/>
      <c r="I186" s="22"/>
      <c r="J186" s="30"/>
      <c r="K186" s="22"/>
      <c r="L186" s="30"/>
      <c r="M186" s="22"/>
      <c r="N186" s="22"/>
      <c r="O186" s="22"/>
      <c r="P186" s="22"/>
      <c r="Q186" s="22"/>
      <c r="R186" s="22"/>
      <c r="S186" s="29"/>
      <c r="T186" s="22"/>
      <c r="U186" s="22"/>
      <c r="V186" s="19"/>
      <c r="W186" s="19"/>
      <c r="X186" s="19"/>
      <c r="Y186" s="19"/>
      <c r="Z186" s="19"/>
      <c r="AA186" s="19"/>
      <c r="AB186" s="19"/>
      <c r="AC186" s="19"/>
      <c r="AD186" s="19"/>
      <c r="AE186" s="19"/>
      <c r="AF186" s="19"/>
      <c r="AG186" s="19"/>
      <c r="AH186" s="19"/>
      <c r="AI186" s="19"/>
      <c r="AJ186" s="19"/>
      <c r="AK186" s="19"/>
      <c r="AL186" s="19"/>
      <c r="AM186" s="19"/>
    </row>
    <row r="187" spans="1:39" ht="15" customHeight="1" x14ac:dyDescent="0.15">
      <c r="A187" s="21"/>
      <c r="B187" s="19"/>
      <c r="C187" s="22"/>
      <c r="D187" s="22"/>
      <c r="E187" s="19"/>
      <c r="F187" s="19"/>
      <c r="G187" s="22"/>
      <c r="H187" s="22"/>
      <c r="I187" s="30"/>
      <c r="J187" s="30"/>
      <c r="K187" s="22"/>
      <c r="L187" s="29"/>
      <c r="M187" s="22"/>
      <c r="N187" s="22"/>
      <c r="O187" s="22"/>
      <c r="P187" s="22"/>
      <c r="Q187" s="22"/>
      <c r="R187" s="22"/>
      <c r="S187" s="29"/>
      <c r="T187" s="22"/>
      <c r="U187" s="22"/>
      <c r="V187" s="19"/>
      <c r="W187" s="19"/>
      <c r="X187" s="19"/>
      <c r="Y187" s="19"/>
      <c r="Z187" s="19"/>
      <c r="AA187" s="19"/>
      <c r="AB187" s="19"/>
      <c r="AC187" s="19"/>
      <c r="AD187" s="19"/>
      <c r="AE187" s="19"/>
      <c r="AF187" s="19"/>
      <c r="AG187" s="19"/>
      <c r="AH187" s="19"/>
      <c r="AI187" s="19"/>
      <c r="AJ187" s="19"/>
      <c r="AK187" s="19"/>
      <c r="AL187" s="19"/>
      <c r="AM187" s="19"/>
    </row>
    <row r="188" spans="1:39" ht="15" customHeight="1" x14ac:dyDescent="0.15">
      <c r="A188" s="21"/>
      <c r="B188" s="19"/>
      <c r="C188" s="22"/>
      <c r="D188" s="22"/>
      <c r="E188" s="19"/>
      <c r="F188" s="19"/>
      <c r="G188" s="22"/>
      <c r="H188" s="22"/>
      <c r="I188" s="30"/>
      <c r="J188" s="30"/>
      <c r="K188" s="29"/>
      <c r="L188" s="22"/>
      <c r="M188" s="22"/>
      <c r="N188" s="22"/>
      <c r="O188" s="22"/>
      <c r="P188" s="22"/>
      <c r="Q188" s="22"/>
      <c r="R188" s="22"/>
      <c r="S188" s="29"/>
      <c r="T188" s="22"/>
      <c r="U188" s="22"/>
      <c r="V188" s="19"/>
      <c r="W188" s="19"/>
      <c r="X188" s="19"/>
      <c r="Y188" s="19"/>
      <c r="Z188" s="19"/>
      <c r="AA188" s="19"/>
      <c r="AB188" s="19"/>
      <c r="AC188" s="19"/>
      <c r="AD188" s="19"/>
      <c r="AE188" s="19"/>
      <c r="AF188" s="19"/>
      <c r="AG188" s="19"/>
      <c r="AH188" s="19"/>
      <c r="AI188" s="19"/>
      <c r="AJ188" s="19"/>
      <c r="AK188" s="19"/>
      <c r="AL188" s="19"/>
      <c r="AM188" s="19"/>
    </row>
    <row r="189" spans="1:39" ht="15" customHeight="1" x14ac:dyDescent="0.15">
      <c r="A189" s="21"/>
      <c r="B189" s="19"/>
      <c r="C189" s="22"/>
      <c r="D189" s="22"/>
      <c r="E189" s="19"/>
      <c r="F189" s="19"/>
      <c r="G189" s="22"/>
      <c r="H189" s="22"/>
      <c r="I189" s="30"/>
      <c r="J189" s="30"/>
      <c r="K189" s="30"/>
      <c r="L189" s="30"/>
      <c r="M189" s="30"/>
      <c r="N189" s="30"/>
      <c r="O189" s="22"/>
      <c r="P189" s="22"/>
      <c r="Q189" s="22"/>
      <c r="R189" s="22"/>
      <c r="S189" s="29"/>
      <c r="T189" s="22"/>
      <c r="U189" s="22"/>
      <c r="V189" s="19"/>
      <c r="W189" s="19"/>
      <c r="X189" s="19"/>
      <c r="Y189" s="19"/>
      <c r="Z189" s="19"/>
      <c r="AA189" s="19"/>
      <c r="AB189" s="19"/>
      <c r="AC189" s="19"/>
      <c r="AD189" s="19"/>
      <c r="AE189" s="19"/>
      <c r="AF189" s="19"/>
      <c r="AG189" s="19"/>
      <c r="AH189" s="19"/>
      <c r="AI189" s="19"/>
      <c r="AJ189" s="19"/>
      <c r="AK189" s="19"/>
      <c r="AL189" s="19"/>
      <c r="AM189" s="19"/>
    </row>
    <row r="190" spans="1:39" ht="15" customHeight="1" x14ac:dyDescent="0.15">
      <c r="A190" s="21"/>
      <c r="B190" s="19"/>
      <c r="C190" s="22"/>
      <c r="D190" s="22"/>
      <c r="E190" s="19"/>
      <c r="F190" s="19"/>
      <c r="G190" s="22"/>
      <c r="H190" s="22"/>
      <c r="I190" s="30"/>
      <c r="J190" s="30"/>
      <c r="K190" s="29"/>
      <c r="L190" s="29"/>
      <c r="M190" s="30"/>
      <c r="N190" s="30"/>
      <c r="O190" s="22"/>
      <c r="P190" s="22"/>
      <c r="Q190" s="22"/>
      <c r="R190" s="22"/>
      <c r="S190" s="29"/>
      <c r="T190" s="22"/>
      <c r="U190" s="22"/>
      <c r="V190" s="19"/>
      <c r="W190" s="19"/>
      <c r="X190" s="19"/>
      <c r="Y190" s="19"/>
      <c r="Z190" s="19"/>
      <c r="AA190" s="19"/>
      <c r="AB190" s="19"/>
      <c r="AC190" s="19"/>
      <c r="AD190" s="19"/>
      <c r="AE190" s="19"/>
      <c r="AF190" s="19"/>
      <c r="AG190" s="19"/>
      <c r="AH190" s="19"/>
      <c r="AI190" s="19"/>
      <c r="AJ190" s="19"/>
      <c r="AK190" s="19"/>
      <c r="AL190" s="19"/>
      <c r="AM190" s="19"/>
    </row>
    <row r="191" spans="1:39" ht="15" customHeight="1" x14ac:dyDescent="0.15">
      <c r="A191" s="21"/>
      <c r="B191" s="19"/>
      <c r="C191" s="22"/>
      <c r="D191" s="22"/>
      <c r="E191" s="19"/>
      <c r="F191" s="19"/>
      <c r="G191" s="22"/>
      <c r="H191" s="22"/>
      <c r="I191" s="22"/>
      <c r="J191" s="22"/>
      <c r="K191" s="30"/>
      <c r="L191" s="30"/>
      <c r="M191" s="30"/>
      <c r="N191" s="30"/>
      <c r="O191" s="22"/>
      <c r="P191" s="22"/>
      <c r="Q191" s="22"/>
      <c r="R191" s="22"/>
      <c r="S191" s="29"/>
      <c r="T191" s="22"/>
      <c r="U191" s="22"/>
      <c r="V191" s="19"/>
      <c r="W191" s="19"/>
      <c r="X191" s="19"/>
      <c r="Y191" s="19"/>
      <c r="Z191" s="19"/>
      <c r="AA191" s="19"/>
      <c r="AB191" s="19"/>
      <c r="AC191" s="19"/>
      <c r="AD191" s="19"/>
      <c r="AE191" s="19"/>
      <c r="AF191" s="19"/>
      <c r="AG191" s="19"/>
      <c r="AH191" s="19"/>
      <c r="AI191" s="19"/>
      <c r="AJ191" s="19"/>
      <c r="AK191" s="19"/>
      <c r="AL191" s="19"/>
      <c r="AM191" s="19"/>
    </row>
    <row r="192" spans="1:39" ht="15" customHeight="1" x14ac:dyDescent="0.15">
      <c r="A192" s="21"/>
      <c r="B192" s="19"/>
      <c r="C192" s="22"/>
      <c r="D192" s="22"/>
      <c r="E192" s="19"/>
      <c r="F192" s="19"/>
      <c r="G192" s="22"/>
      <c r="H192" s="22"/>
      <c r="I192" s="22"/>
      <c r="J192" s="22"/>
      <c r="K192" s="30"/>
      <c r="L192" s="30"/>
      <c r="M192" s="22"/>
      <c r="N192" s="22"/>
      <c r="O192" s="30"/>
      <c r="P192" s="30"/>
      <c r="Q192" s="22"/>
      <c r="R192" s="22"/>
      <c r="S192" s="29"/>
      <c r="T192" s="22"/>
      <c r="U192" s="22"/>
      <c r="V192" s="19"/>
      <c r="W192" s="19"/>
      <c r="X192" s="19"/>
      <c r="Y192" s="19"/>
      <c r="Z192" s="19"/>
      <c r="AA192" s="19"/>
      <c r="AB192" s="19"/>
      <c r="AC192" s="19"/>
      <c r="AD192" s="19"/>
      <c r="AE192" s="19"/>
      <c r="AF192" s="19"/>
      <c r="AG192" s="19"/>
      <c r="AH192" s="19"/>
      <c r="AI192" s="19"/>
      <c r="AJ192" s="19"/>
      <c r="AK192" s="19"/>
      <c r="AL192" s="19"/>
      <c r="AM192" s="19"/>
    </row>
    <row r="193" spans="1:39" ht="15" customHeight="1" x14ac:dyDescent="0.15">
      <c r="A193" s="21"/>
      <c r="B193" s="19"/>
      <c r="C193" s="22"/>
      <c r="D193" s="22"/>
      <c r="E193" s="19"/>
      <c r="F193" s="19"/>
      <c r="G193" s="22"/>
      <c r="H193" s="22"/>
      <c r="I193" s="22"/>
      <c r="J193" s="22"/>
      <c r="K193" s="30"/>
      <c r="L193" s="30"/>
      <c r="M193" s="29"/>
      <c r="N193" s="22"/>
      <c r="O193" s="22"/>
      <c r="P193" s="22"/>
      <c r="Q193" s="22"/>
      <c r="R193" s="22"/>
      <c r="S193" s="29"/>
      <c r="T193" s="22"/>
      <c r="U193" s="22"/>
      <c r="V193" s="19"/>
      <c r="W193" s="19"/>
      <c r="X193" s="19"/>
      <c r="Y193" s="19"/>
      <c r="Z193" s="19"/>
      <c r="AA193" s="19"/>
      <c r="AB193" s="19"/>
      <c r="AC193" s="19"/>
      <c r="AD193" s="19"/>
      <c r="AE193" s="19"/>
      <c r="AF193" s="19"/>
      <c r="AG193" s="19"/>
      <c r="AH193" s="19"/>
      <c r="AI193" s="19"/>
      <c r="AJ193" s="19"/>
      <c r="AK193" s="19"/>
      <c r="AL193" s="19"/>
      <c r="AM193" s="19"/>
    </row>
    <row r="194" spans="1:39" ht="15" customHeight="1" x14ac:dyDescent="0.15">
      <c r="A194" s="21"/>
      <c r="B194" s="19"/>
      <c r="C194" s="22"/>
      <c r="D194" s="22"/>
      <c r="E194" s="19"/>
      <c r="F194" s="19"/>
      <c r="G194" s="22"/>
      <c r="H194" s="22"/>
      <c r="I194" s="22"/>
      <c r="J194" s="22"/>
      <c r="K194" s="30"/>
      <c r="L194" s="30"/>
      <c r="M194" s="30"/>
      <c r="N194" s="29"/>
      <c r="O194" s="22"/>
      <c r="P194" s="22"/>
      <c r="Q194" s="30"/>
      <c r="R194" s="30"/>
      <c r="S194" s="29"/>
      <c r="T194" s="22"/>
      <c r="U194" s="22"/>
      <c r="V194" s="19"/>
      <c r="W194" s="19"/>
      <c r="X194" s="19"/>
      <c r="Y194" s="19"/>
      <c r="Z194" s="19"/>
      <c r="AA194" s="19"/>
      <c r="AB194" s="19"/>
      <c r="AC194" s="19"/>
      <c r="AD194" s="19"/>
      <c r="AE194" s="19"/>
      <c r="AF194" s="19"/>
      <c r="AG194" s="19"/>
      <c r="AH194" s="19"/>
      <c r="AI194" s="19"/>
      <c r="AJ194" s="19"/>
      <c r="AK194" s="19"/>
      <c r="AL194" s="19"/>
      <c r="AM194" s="19"/>
    </row>
    <row r="195" spans="1:39" ht="15" customHeight="1" x14ac:dyDescent="0.15">
      <c r="A195" s="21"/>
      <c r="B195" s="19"/>
      <c r="C195" s="22"/>
      <c r="D195" s="22"/>
      <c r="E195" s="19"/>
      <c r="F195" s="19"/>
      <c r="G195" s="22"/>
      <c r="H195" s="22"/>
      <c r="I195" s="22"/>
      <c r="J195" s="22"/>
      <c r="K195" s="22"/>
      <c r="L195" s="22"/>
      <c r="M195" s="30"/>
      <c r="N195" s="30"/>
      <c r="O195" s="30"/>
      <c r="P195" s="22"/>
      <c r="Q195" s="22"/>
      <c r="R195" s="22"/>
      <c r="S195" s="29"/>
      <c r="T195" s="22"/>
      <c r="U195" s="22"/>
      <c r="V195" s="19"/>
      <c r="W195" s="19"/>
      <c r="X195" s="19"/>
      <c r="Y195" s="19"/>
      <c r="Z195" s="19"/>
      <c r="AA195" s="19"/>
      <c r="AB195" s="19"/>
      <c r="AC195" s="19"/>
      <c r="AD195" s="19"/>
      <c r="AE195" s="19"/>
      <c r="AF195" s="19"/>
      <c r="AG195" s="19"/>
      <c r="AH195" s="19"/>
      <c r="AI195" s="19"/>
      <c r="AJ195" s="19"/>
      <c r="AK195" s="19"/>
      <c r="AL195" s="19"/>
      <c r="AM195" s="19"/>
    </row>
    <row r="196" spans="1:39" ht="15" customHeight="1" x14ac:dyDescent="0.15">
      <c r="A196" s="21"/>
      <c r="B196" s="19"/>
      <c r="C196" s="22"/>
      <c r="D196" s="22"/>
      <c r="E196" s="19"/>
      <c r="F196" s="19"/>
      <c r="G196" s="22"/>
      <c r="H196" s="22"/>
      <c r="I196" s="22"/>
      <c r="J196" s="22"/>
      <c r="K196" s="22"/>
      <c r="L196" s="22"/>
      <c r="M196" s="30"/>
      <c r="N196" s="30"/>
      <c r="O196" s="30"/>
      <c r="P196" s="22"/>
      <c r="Q196" s="22"/>
      <c r="R196" s="22"/>
      <c r="S196" s="29"/>
      <c r="T196" s="22"/>
      <c r="U196" s="22"/>
      <c r="V196" s="19"/>
      <c r="W196" s="19"/>
      <c r="X196" s="19"/>
      <c r="Y196" s="19"/>
      <c r="Z196" s="19"/>
      <c r="AA196" s="19"/>
      <c r="AB196" s="19"/>
      <c r="AC196" s="19"/>
      <c r="AD196" s="19"/>
      <c r="AE196" s="19"/>
      <c r="AF196" s="19"/>
      <c r="AG196" s="19"/>
      <c r="AH196" s="19"/>
      <c r="AI196" s="19"/>
      <c r="AJ196" s="19"/>
      <c r="AK196" s="19"/>
      <c r="AL196" s="19"/>
      <c r="AM196" s="19"/>
    </row>
    <row r="197" spans="1:39" ht="15" customHeight="1" x14ac:dyDescent="0.15">
      <c r="A197" s="21"/>
      <c r="B197" s="23"/>
      <c r="C197" s="23"/>
      <c r="D197" s="23"/>
      <c r="E197" s="23"/>
      <c r="F197" s="23"/>
      <c r="G197" s="23"/>
      <c r="H197" s="23"/>
      <c r="I197" s="23"/>
      <c r="J197" s="23"/>
      <c r="K197" s="23"/>
      <c r="L197" s="23"/>
      <c r="M197" s="23"/>
      <c r="N197" s="23"/>
      <c r="O197" s="23"/>
      <c r="P197" s="23"/>
      <c r="Q197" s="23"/>
      <c r="R197" s="23"/>
      <c r="S197" s="23"/>
      <c r="T197" s="23"/>
      <c r="U197" s="23"/>
      <c r="V197" s="19"/>
      <c r="W197" s="19"/>
      <c r="X197" s="19"/>
      <c r="Y197" s="19"/>
      <c r="Z197" s="19"/>
      <c r="AA197" s="19"/>
      <c r="AB197" s="19"/>
      <c r="AC197" s="19"/>
      <c r="AD197" s="19"/>
      <c r="AE197" s="19"/>
      <c r="AF197" s="19"/>
      <c r="AG197" s="19"/>
      <c r="AH197" s="19"/>
      <c r="AI197" s="19"/>
      <c r="AJ197" s="19"/>
      <c r="AK197" s="19"/>
      <c r="AL197" s="19"/>
      <c r="AM197" s="19"/>
    </row>
    <row r="198" spans="1:39" ht="15" customHeight="1" x14ac:dyDescent="0.15">
      <c r="A198" s="21"/>
      <c r="B198" s="19"/>
      <c r="C198" s="19"/>
      <c r="D198" s="19"/>
      <c r="E198" s="19"/>
      <c r="F198" s="31"/>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row>
    <row r="199" spans="1:39" ht="15" customHeight="1" x14ac:dyDescent="0.15">
      <c r="A199" s="21"/>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row>
    <row r="200" spans="1:39" ht="15" customHeight="1" x14ac:dyDescent="0.15">
      <c r="A200" s="21"/>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row>
    <row r="201" spans="1:39" ht="15" customHeight="1" x14ac:dyDescent="0.15">
      <c r="A201" s="21"/>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row>
    <row r="202" spans="1:39" ht="15" customHeight="1" x14ac:dyDescent="0.15">
      <c r="A202" s="21"/>
      <c r="B202" s="19"/>
      <c r="C202" s="19"/>
      <c r="D202" s="29"/>
      <c r="E202" s="22"/>
      <c r="F202" s="22"/>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row>
    <row r="203" spans="1:39" ht="15" customHeight="1" x14ac:dyDescent="0.15">
      <c r="A203" s="21"/>
      <c r="B203" s="19"/>
      <c r="C203" s="22"/>
      <c r="D203" s="22"/>
      <c r="E203" s="22"/>
      <c r="F203" s="22"/>
      <c r="G203" s="22"/>
      <c r="H203" s="22"/>
      <c r="I203" s="22"/>
      <c r="J203" s="22"/>
      <c r="K203" s="22"/>
      <c r="L203" s="22"/>
      <c r="M203" s="22"/>
      <c r="N203" s="22"/>
      <c r="O203" s="22"/>
      <c r="P203" s="22"/>
      <c r="Q203" s="22"/>
      <c r="R203" s="22"/>
      <c r="S203" s="22"/>
      <c r="T203" s="22"/>
      <c r="U203" s="22"/>
      <c r="V203" s="19"/>
      <c r="W203" s="19"/>
      <c r="X203" s="19"/>
      <c r="Y203" s="19"/>
      <c r="Z203" s="19"/>
      <c r="AA203" s="19"/>
      <c r="AB203" s="19"/>
      <c r="AC203" s="19"/>
      <c r="AD203" s="19"/>
      <c r="AE203" s="19"/>
      <c r="AF203" s="19"/>
      <c r="AG203" s="19"/>
      <c r="AH203" s="19"/>
      <c r="AI203" s="19"/>
      <c r="AJ203" s="19"/>
      <c r="AK203" s="19"/>
      <c r="AL203" s="19"/>
      <c r="AM203" s="19"/>
    </row>
    <row r="204" spans="1:39" ht="15" customHeight="1" x14ac:dyDescent="0.15">
      <c r="A204" s="28"/>
      <c r="B204" s="19"/>
      <c r="C204" s="22"/>
      <c r="D204" s="22"/>
      <c r="E204" s="19"/>
      <c r="F204" s="19"/>
      <c r="G204" s="22"/>
      <c r="H204" s="22"/>
      <c r="I204" s="30"/>
      <c r="J204" s="30"/>
      <c r="K204" s="22"/>
      <c r="L204" s="22"/>
      <c r="M204" s="30"/>
      <c r="N204" s="30"/>
      <c r="O204" s="22"/>
      <c r="P204" s="22"/>
      <c r="Q204" s="22"/>
      <c r="R204" s="22"/>
      <c r="S204" s="29"/>
      <c r="T204" s="22"/>
      <c r="U204" s="22"/>
      <c r="V204" s="19"/>
      <c r="W204" s="19"/>
      <c r="X204" s="19"/>
      <c r="Y204" s="19"/>
      <c r="Z204" s="19"/>
      <c r="AA204" s="19"/>
      <c r="AB204" s="19"/>
      <c r="AC204" s="19"/>
      <c r="AD204" s="19"/>
      <c r="AE204" s="19"/>
      <c r="AF204" s="19"/>
      <c r="AG204" s="19"/>
      <c r="AH204" s="19"/>
      <c r="AI204" s="19"/>
      <c r="AJ204" s="19"/>
      <c r="AK204" s="19"/>
      <c r="AL204" s="19"/>
      <c r="AM204" s="19"/>
    </row>
    <row r="205" spans="1:39" ht="15" customHeight="1" x14ac:dyDescent="0.15">
      <c r="A205" s="21"/>
      <c r="B205" s="19"/>
      <c r="C205" s="22"/>
      <c r="D205" s="22"/>
      <c r="E205" s="19"/>
      <c r="F205" s="19"/>
      <c r="G205" s="22"/>
      <c r="H205" s="22"/>
      <c r="I205" s="30"/>
      <c r="J205" s="30"/>
      <c r="K205" s="22"/>
      <c r="L205" s="22"/>
      <c r="M205" s="30"/>
      <c r="N205" s="30"/>
      <c r="O205" s="22"/>
      <c r="P205" s="22"/>
      <c r="Q205" s="22"/>
      <c r="R205" s="22"/>
      <c r="S205" s="29"/>
      <c r="T205" s="22"/>
      <c r="U205" s="22"/>
      <c r="V205" s="19"/>
      <c r="W205" s="19"/>
      <c r="X205" s="19"/>
      <c r="Y205" s="19"/>
      <c r="Z205" s="19"/>
      <c r="AA205" s="19"/>
      <c r="AB205" s="19"/>
      <c r="AC205" s="19"/>
      <c r="AD205" s="19"/>
      <c r="AE205" s="19"/>
      <c r="AF205" s="19"/>
      <c r="AG205" s="19"/>
      <c r="AH205" s="19"/>
      <c r="AI205" s="19"/>
      <c r="AJ205" s="19"/>
      <c r="AK205" s="19"/>
      <c r="AL205" s="19"/>
      <c r="AM205" s="19"/>
    </row>
    <row r="206" spans="1:39" ht="15" customHeight="1" x14ac:dyDescent="0.15">
      <c r="A206" s="21"/>
      <c r="B206" s="19"/>
      <c r="C206" s="22"/>
      <c r="D206" s="22"/>
      <c r="E206" s="19"/>
      <c r="F206" s="19"/>
      <c r="G206" s="22"/>
      <c r="H206" s="22"/>
      <c r="I206" s="30"/>
      <c r="J206" s="30"/>
      <c r="K206" s="22"/>
      <c r="L206" s="22"/>
      <c r="M206" s="30"/>
      <c r="N206" s="30"/>
      <c r="O206" s="22"/>
      <c r="P206" s="22"/>
      <c r="Q206" s="22"/>
      <c r="R206" s="22"/>
      <c r="S206" s="29"/>
      <c r="T206" s="22"/>
      <c r="U206" s="22"/>
      <c r="V206" s="19"/>
      <c r="W206" s="19"/>
      <c r="X206" s="19"/>
      <c r="Y206" s="19"/>
      <c r="Z206" s="19"/>
      <c r="AA206" s="19"/>
      <c r="AB206" s="19"/>
      <c r="AC206" s="19"/>
      <c r="AD206" s="19"/>
      <c r="AE206" s="19"/>
      <c r="AF206" s="19"/>
      <c r="AG206" s="19"/>
      <c r="AH206" s="19"/>
      <c r="AI206" s="19"/>
      <c r="AJ206" s="19"/>
      <c r="AK206" s="19"/>
      <c r="AL206" s="19"/>
      <c r="AM206" s="19"/>
    </row>
    <row r="207" spans="1:39" ht="15" customHeight="1" x14ac:dyDescent="0.15">
      <c r="A207" s="21"/>
      <c r="B207" s="19"/>
      <c r="C207" s="22"/>
      <c r="D207" s="22"/>
      <c r="E207" s="19"/>
      <c r="F207" s="19"/>
      <c r="G207" s="22"/>
      <c r="H207" s="22"/>
      <c r="I207" s="30"/>
      <c r="J207" s="30"/>
      <c r="K207" s="22"/>
      <c r="L207" s="22"/>
      <c r="M207" s="22"/>
      <c r="N207" s="22"/>
      <c r="O207" s="30"/>
      <c r="P207" s="30"/>
      <c r="Q207" s="22"/>
      <c r="R207" s="22"/>
      <c r="S207" s="29"/>
      <c r="T207" s="22"/>
      <c r="U207" s="22"/>
      <c r="V207" s="19"/>
      <c r="W207" s="19"/>
      <c r="X207" s="19"/>
      <c r="Y207" s="19"/>
      <c r="Z207" s="19"/>
      <c r="AA207" s="19"/>
      <c r="AB207" s="19"/>
      <c r="AC207" s="19"/>
      <c r="AD207" s="19"/>
      <c r="AE207" s="19"/>
      <c r="AF207" s="19"/>
      <c r="AG207" s="19"/>
      <c r="AH207" s="19"/>
      <c r="AI207" s="19"/>
      <c r="AJ207" s="19"/>
      <c r="AK207" s="19"/>
      <c r="AL207" s="19"/>
      <c r="AM207" s="19"/>
    </row>
    <row r="208" spans="1:39" ht="15" customHeight="1" x14ac:dyDescent="0.15">
      <c r="A208" s="21"/>
      <c r="B208" s="19"/>
      <c r="C208" s="22"/>
      <c r="D208" s="22"/>
      <c r="E208" s="19"/>
      <c r="F208" s="19"/>
      <c r="G208" s="22"/>
      <c r="H208" s="22"/>
      <c r="I208" s="30"/>
      <c r="J208" s="30"/>
      <c r="K208" s="22"/>
      <c r="L208" s="22"/>
      <c r="M208" s="22"/>
      <c r="N208" s="22"/>
      <c r="O208" s="30"/>
      <c r="P208" s="30"/>
      <c r="Q208" s="22"/>
      <c r="R208" s="22"/>
      <c r="S208" s="29"/>
      <c r="T208" s="22"/>
      <c r="U208" s="22"/>
      <c r="V208" s="19"/>
      <c r="W208" s="19"/>
      <c r="X208" s="19"/>
      <c r="Y208" s="19"/>
      <c r="Z208" s="19"/>
      <c r="AA208" s="19"/>
      <c r="AB208" s="19"/>
      <c r="AC208" s="19"/>
      <c r="AD208" s="19"/>
      <c r="AE208" s="19"/>
      <c r="AF208" s="19"/>
      <c r="AG208" s="19"/>
      <c r="AH208" s="19"/>
      <c r="AI208" s="19"/>
      <c r="AJ208" s="19"/>
      <c r="AK208" s="19"/>
      <c r="AL208" s="19"/>
      <c r="AM208" s="19"/>
    </row>
    <row r="209" spans="1:39" ht="15" customHeight="1" x14ac:dyDescent="0.15">
      <c r="A209" s="21"/>
      <c r="B209" s="19"/>
      <c r="C209" s="22"/>
      <c r="D209" s="22"/>
      <c r="E209" s="19"/>
      <c r="F209" s="19"/>
      <c r="G209" s="22"/>
      <c r="H209" s="22"/>
      <c r="I209" s="22"/>
      <c r="J209" s="22"/>
      <c r="K209" s="22"/>
      <c r="L209" s="22"/>
      <c r="M209" s="22"/>
      <c r="N209" s="22"/>
      <c r="O209" s="30"/>
      <c r="P209" s="30"/>
      <c r="Q209" s="22"/>
      <c r="R209" s="22"/>
      <c r="S209" s="29"/>
      <c r="T209" s="22"/>
      <c r="U209" s="22"/>
      <c r="V209" s="19"/>
      <c r="W209" s="19"/>
      <c r="X209" s="19"/>
      <c r="Y209" s="19"/>
      <c r="Z209" s="19"/>
      <c r="AA209" s="19"/>
      <c r="AB209" s="19"/>
      <c r="AC209" s="19"/>
      <c r="AD209" s="19"/>
      <c r="AE209" s="19"/>
      <c r="AF209" s="19"/>
      <c r="AG209" s="19"/>
      <c r="AH209" s="19"/>
      <c r="AI209" s="19"/>
      <c r="AJ209" s="19"/>
      <c r="AK209" s="19"/>
      <c r="AL209" s="19"/>
      <c r="AM209" s="19"/>
    </row>
    <row r="210" spans="1:39" ht="15" customHeight="1" x14ac:dyDescent="0.15">
      <c r="A210" s="21"/>
      <c r="B210" s="19"/>
      <c r="C210" s="22"/>
      <c r="D210" s="22"/>
      <c r="E210" s="19"/>
      <c r="F210" s="19"/>
      <c r="G210" s="22"/>
      <c r="H210" s="22"/>
      <c r="I210" s="22"/>
      <c r="J210" s="22"/>
      <c r="K210" s="22"/>
      <c r="L210" s="22"/>
      <c r="M210" s="30"/>
      <c r="N210" s="30"/>
      <c r="O210" s="29"/>
      <c r="P210" s="29"/>
      <c r="Q210" s="22"/>
      <c r="R210" s="22"/>
      <c r="S210" s="29"/>
      <c r="T210" s="22"/>
      <c r="U210" s="22"/>
      <c r="V210" s="19"/>
      <c r="W210" s="19"/>
      <c r="X210" s="19"/>
      <c r="Y210" s="19"/>
      <c r="Z210" s="19"/>
      <c r="AA210" s="19"/>
      <c r="AB210" s="19"/>
      <c r="AC210" s="19"/>
      <c r="AD210" s="19"/>
      <c r="AE210" s="19"/>
      <c r="AF210" s="19"/>
      <c r="AG210" s="19"/>
      <c r="AH210" s="19"/>
      <c r="AI210" s="19"/>
      <c r="AJ210" s="19"/>
      <c r="AK210" s="19"/>
      <c r="AL210" s="19"/>
      <c r="AM210" s="19"/>
    </row>
    <row r="211" spans="1:39" ht="15" customHeight="1" x14ac:dyDescent="0.15">
      <c r="A211" s="21"/>
      <c r="B211" s="19"/>
      <c r="C211" s="22"/>
      <c r="D211" s="22"/>
      <c r="E211" s="19"/>
      <c r="F211" s="19"/>
      <c r="G211" s="22"/>
      <c r="H211" s="22"/>
      <c r="I211" s="22"/>
      <c r="J211" s="22"/>
      <c r="K211" s="22"/>
      <c r="L211" s="22"/>
      <c r="M211" s="30"/>
      <c r="N211" s="30"/>
      <c r="O211" s="22"/>
      <c r="P211" s="29"/>
      <c r="Q211" s="29"/>
      <c r="R211" s="29"/>
      <c r="S211" s="29"/>
      <c r="T211" s="22"/>
      <c r="U211" s="22"/>
      <c r="V211" s="19"/>
      <c r="W211" s="19"/>
      <c r="X211" s="19"/>
      <c r="Y211" s="19"/>
      <c r="Z211" s="19"/>
      <c r="AA211" s="19"/>
      <c r="AB211" s="19"/>
      <c r="AC211" s="19"/>
      <c r="AD211" s="19"/>
      <c r="AE211" s="19"/>
      <c r="AF211" s="19"/>
      <c r="AG211" s="19"/>
      <c r="AH211" s="19"/>
      <c r="AI211" s="19"/>
      <c r="AJ211" s="19"/>
      <c r="AK211" s="19"/>
      <c r="AL211" s="19"/>
      <c r="AM211" s="19"/>
    </row>
    <row r="212" spans="1:39" ht="15" customHeight="1" x14ac:dyDescent="0.15">
      <c r="A212" s="21"/>
      <c r="B212" s="19"/>
      <c r="C212" s="22"/>
      <c r="D212" s="22"/>
      <c r="E212" s="19"/>
      <c r="F212" s="19"/>
      <c r="G212" s="22"/>
      <c r="H212" s="22"/>
      <c r="I212" s="22"/>
      <c r="J212" s="22"/>
      <c r="K212" s="22"/>
      <c r="L212" s="22"/>
      <c r="M212" s="30"/>
      <c r="N212" s="30"/>
      <c r="O212" s="22"/>
      <c r="P212" s="22"/>
      <c r="Q212" s="29"/>
      <c r="R212" s="29"/>
      <c r="S212" s="29"/>
      <c r="T212" s="22"/>
      <c r="U212" s="22"/>
      <c r="V212" s="19"/>
      <c r="W212" s="19"/>
      <c r="X212" s="19"/>
      <c r="Y212" s="19"/>
      <c r="Z212" s="19"/>
      <c r="AA212" s="19"/>
      <c r="AB212" s="19"/>
      <c r="AC212" s="19"/>
      <c r="AD212" s="19"/>
      <c r="AE212" s="19"/>
      <c r="AF212" s="19"/>
      <c r="AG212" s="19"/>
      <c r="AH212" s="19"/>
      <c r="AI212" s="19"/>
      <c r="AJ212" s="19"/>
      <c r="AK212" s="19"/>
      <c r="AL212" s="19"/>
      <c r="AM212" s="19"/>
    </row>
    <row r="213" spans="1:39" ht="15" customHeight="1" x14ac:dyDescent="0.15">
      <c r="A213" s="21"/>
      <c r="B213" s="19"/>
      <c r="C213" s="22"/>
      <c r="D213" s="22"/>
      <c r="E213" s="19"/>
      <c r="F213" s="19"/>
      <c r="G213" s="22"/>
      <c r="H213" s="22"/>
      <c r="I213" s="22"/>
      <c r="J213" s="22"/>
      <c r="K213" s="22"/>
      <c r="L213" s="22"/>
      <c r="M213" s="30"/>
      <c r="N213" s="30"/>
      <c r="O213" s="30"/>
      <c r="P213" s="22"/>
      <c r="Q213" s="29"/>
      <c r="R213" s="22"/>
      <c r="S213" s="29"/>
      <c r="T213" s="22"/>
      <c r="U213" s="22"/>
      <c r="V213" s="19"/>
      <c r="W213" s="19"/>
      <c r="X213" s="19"/>
      <c r="Y213" s="19"/>
      <c r="Z213" s="19"/>
      <c r="AA213" s="19"/>
      <c r="AB213" s="19"/>
      <c r="AC213" s="19"/>
      <c r="AD213" s="19"/>
      <c r="AE213" s="19"/>
      <c r="AF213" s="19"/>
      <c r="AG213" s="19"/>
      <c r="AH213" s="19"/>
      <c r="AI213" s="19"/>
      <c r="AJ213" s="19"/>
      <c r="AK213" s="19"/>
      <c r="AL213" s="19"/>
      <c r="AM213" s="19"/>
    </row>
    <row r="214" spans="1:39" ht="15" customHeight="1" x14ac:dyDescent="0.15">
      <c r="A214" s="21"/>
      <c r="B214" s="19"/>
      <c r="C214" s="22"/>
      <c r="D214" s="22"/>
      <c r="E214" s="19"/>
      <c r="F214" s="19"/>
      <c r="G214" s="22"/>
      <c r="H214" s="22"/>
      <c r="I214" s="22"/>
      <c r="J214" s="22"/>
      <c r="K214" s="22"/>
      <c r="L214" s="22"/>
      <c r="M214" s="30"/>
      <c r="N214" s="30"/>
      <c r="O214" s="30"/>
      <c r="P214" s="30"/>
      <c r="Q214" s="30"/>
      <c r="R214" s="29"/>
      <c r="S214" s="29"/>
      <c r="T214" s="22"/>
      <c r="U214" s="22"/>
      <c r="V214" s="19"/>
      <c r="W214" s="19"/>
      <c r="X214" s="19"/>
      <c r="Y214" s="19"/>
      <c r="Z214" s="19"/>
      <c r="AA214" s="19"/>
      <c r="AB214" s="19"/>
      <c r="AC214" s="19"/>
      <c r="AD214" s="19"/>
      <c r="AE214" s="19"/>
      <c r="AF214" s="19"/>
      <c r="AG214" s="19"/>
      <c r="AH214" s="19"/>
      <c r="AI214" s="19"/>
      <c r="AJ214" s="19"/>
      <c r="AK214" s="19"/>
      <c r="AL214" s="19"/>
      <c r="AM214" s="19"/>
    </row>
    <row r="215" spans="1:39" ht="15" customHeight="1" x14ac:dyDescent="0.15">
      <c r="A215" s="21"/>
      <c r="B215" s="23"/>
      <c r="C215" s="23"/>
      <c r="D215" s="23"/>
      <c r="E215" s="23"/>
      <c r="F215" s="23"/>
      <c r="G215" s="23"/>
      <c r="H215" s="23"/>
      <c r="I215" s="23"/>
      <c r="J215" s="23"/>
      <c r="K215" s="23"/>
      <c r="L215" s="23"/>
      <c r="M215" s="23"/>
      <c r="N215" s="23"/>
      <c r="O215" s="23"/>
      <c r="P215" s="23"/>
      <c r="Q215" s="23"/>
      <c r="R215" s="23"/>
      <c r="S215" s="23"/>
      <c r="T215" s="23"/>
      <c r="U215" s="23"/>
      <c r="V215" s="19"/>
      <c r="W215" s="19"/>
      <c r="X215" s="19"/>
      <c r="Y215" s="19"/>
      <c r="Z215" s="19"/>
      <c r="AA215" s="19"/>
      <c r="AB215" s="19"/>
      <c r="AC215" s="19"/>
      <c r="AD215" s="19"/>
      <c r="AE215" s="19"/>
      <c r="AF215" s="19"/>
      <c r="AG215" s="19"/>
      <c r="AH215" s="19"/>
      <c r="AI215" s="19"/>
      <c r="AJ215" s="19"/>
      <c r="AK215" s="19"/>
      <c r="AL215" s="19"/>
      <c r="AM215" s="19"/>
    </row>
    <row r="216" spans="1:39" ht="15" customHeight="1" x14ac:dyDescent="0.15">
      <c r="A216" s="21"/>
      <c r="B216" s="19"/>
      <c r="C216" s="19"/>
      <c r="D216" s="19"/>
      <c r="E216" s="19"/>
      <c r="F216" s="31"/>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row>
    <row r="217" spans="1:39" ht="15" customHeight="1" x14ac:dyDescent="0.15">
      <c r="A217" s="21"/>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row>
    <row r="218" spans="1:39" ht="15" customHeight="1" x14ac:dyDescent="0.15">
      <c r="A218" s="21"/>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row>
    <row r="219" spans="1:39" ht="15" customHeight="1" x14ac:dyDescent="0.15">
      <c r="A219" s="21"/>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row>
    <row r="220" spans="1:39" ht="15" customHeight="1" x14ac:dyDescent="0.15">
      <c r="A220" s="21"/>
      <c r="B220" s="19"/>
      <c r="C220" s="19"/>
      <c r="D220" s="22"/>
      <c r="E220" s="22"/>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row>
    <row r="221" spans="1:39" ht="15" customHeight="1" x14ac:dyDescent="0.15">
      <c r="A221" s="21"/>
      <c r="B221" s="19"/>
      <c r="C221" s="22"/>
      <c r="D221" s="22"/>
      <c r="E221" s="22"/>
      <c r="F221" s="22"/>
      <c r="G221" s="22"/>
      <c r="H221" s="22"/>
      <c r="I221" s="22"/>
      <c r="J221" s="19"/>
      <c r="K221" s="19"/>
      <c r="L221" s="19"/>
      <c r="M221" s="19"/>
      <c r="N221" s="19"/>
      <c r="O221" s="19"/>
      <c r="P221" s="19"/>
      <c r="Q221" s="19"/>
      <c r="R221" s="19"/>
      <c r="S221" s="22"/>
      <c r="T221" s="22"/>
      <c r="U221" s="22"/>
      <c r="V221" s="19"/>
      <c r="W221" s="19"/>
      <c r="X221" s="19"/>
      <c r="Y221" s="19"/>
      <c r="Z221" s="19"/>
      <c r="AA221" s="19"/>
      <c r="AB221" s="19"/>
      <c r="AC221" s="19"/>
      <c r="AD221" s="19"/>
      <c r="AE221" s="19"/>
      <c r="AF221" s="19"/>
      <c r="AG221" s="19"/>
      <c r="AH221" s="19"/>
      <c r="AI221" s="19"/>
      <c r="AJ221" s="19"/>
      <c r="AK221" s="19"/>
      <c r="AL221" s="19"/>
      <c r="AM221" s="19"/>
    </row>
    <row r="222" spans="1:39" ht="15" customHeight="1" x14ac:dyDescent="0.15">
      <c r="A222" s="28"/>
      <c r="B222" s="19"/>
      <c r="C222" s="22"/>
      <c r="D222" s="22"/>
      <c r="E222" s="19"/>
      <c r="F222" s="19"/>
      <c r="G222" s="22"/>
      <c r="H222" s="22"/>
      <c r="I222" s="22"/>
      <c r="J222" s="19"/>
      <c r="K222" s="19"/>
      <c r="L222" s="19"/>
      <c r="M222" s="19"/>
      <c r="N222" s="19"/>
      <c r="O222" s="19"/>
      <c r="P222" s="19"/>
      <c r="Q222" s="19"/>
      <c r="R222" s="19"/>
      <c r="S222" s="22"/>
      <c r="T222" s="22"/>
      <c r="U222" s="22"/>
      <c r="V222" s="19"/>
      <c r="W222" s="19"/>
      <c r="X222" s="19"/>
      <c r="Y222" s="19"/>
      <c r="Z222" s="19"/>
      <c r="AA222" s="19"/>
      <c r="AB222" s="19"/>
      <c r="AC222" s="19"/>
      <c r="AD222" s="19"/>
      <c r="AE222" s="19"/>
      <c r="AF222" s="19"/>
      <c r="AG222" s="19"/>
      <c r="AH222" s="19"/>
      <c r="AI222" s="19"/>
      <c r="AJ222" s="19"/>
      <c r="AK222" s="19"/>
      <c r="AL222" s="19"/>
      <c r="AM222" s="19"/>
    </row>
    <row r="223" spans="1:39" ht="15" customHeight="1" x14ac:dyDescent="0.15">
      <c r="A223" s="21"/>
      <c r="B223" s="19"/>
      <c r="C223" s="22"/>
      <c r="D223" s="22"/>
      <c r="E223" s="19"/>
      <c r="F223" s="19"/>
      <c r="G223" s="22"/>
      <c r="H223" s="22"/>
      <c r="I223" s="22"/>
      <c r="J223" s="19"/>
      <c r="K223" s="19"/>
      <c r="L223" s="19"/>
      <c r="M223" s="19"/>
      <c r="N223" s="19"/>
      <c r="O223" s="19"/>
      <c r="P223" s="19"/>
      <c r="Q223" s="19"/>
      <c r="R223" s="19"/>
      <c r="S223" s="22"/>
      <c r="T223" s="22"/>
      <c r="U223" s="22"/>
      <c r="V223" s="19"/>
      <c r="W223" s="19"/>
      <c r="X223" s="19"/>
      <c r="Y223" s="19"/>
      <c r="Z223" s="19"/>
      <c r="AA223" s="19"/>
      <c r="AB223" s="19"/>
      <c r="AC223" s="19"/>
      <c r="AD223" s="19"/>
      <c r="AE223" s="19"/>
      <c r="AF223" s="19"/>
      <c r="AG223" s="19"/>
      <c r="AH223" s="19"/>
      <c r="AI223" s="19"/>
      <c r="AJ223" s="19"/>
      <c r="AK223" s="19"/>
      <c r="AL223" s="19"/>
      <c r="AM223" s="19"/>
    </row>
    <row r="224" spans="1:39" ht="15" customHeight="1" x14ac:dyDescent="0.15">
      <c r="A224" s="21"/>
      <c r="B224" s="19"/>
      <c r="C224" s="22"/>
      <c r="D224" s="22"/>
      <c r="E224" s="19"/>
      <c r="F224" s="19"/>
      <c r="G224" s="22"/>
      <c r="H224" s="22"/>
      <c r="I224" s="22"/>
      <c r="J224" s="19"/>
      <c r="K224" s="19"/>
      <c r="L224" s="19"/>
      <c r="M224" s="19"/>
      <c r="N224" s="19"/>
      <c r="O224" s="19"/>
      <c r="P224" s="19"/>
      <c r="Q224" s="19"/>
      <c r="R224" s="19"/>
      <c r="S224" s="22"/>
      <c r="T224" s="22"/>
      <c r="U224" s="22"/>
      <c r="V224" s="19"/>
      <c r="W224" s="19"/>
      <c r="X224" s="19"/>
      <c r="Y224" s="19"/>
      <c r="Z224" s="19"/>
      <c r="AA224" s="19"/>
      <c r="AB224" s="19"/>
      <c r="AC224" s="19"/>
      <c r="AD224" s="19"/>
      <c r="AE224" s="19"/>
      <c r="AF224" s="19"/>
      <c r="AG224" s="19"/>
      <c r="AH224" s="19"/>
      <c r="AI224" s="19"/>
      <c r="AJ224" s="19"/>
      <c r="AK224" s="19"/>
      <c r="AL224" s="19"/>
      <c r="AM224" s="19"/>
    </row>
    <row r="225" spans="1:39" ht="15" customHeight="1" x14ac:dyDescent="0.15">
      <c r="A225" s="21"/>
      <c r="B225" s="19"/>
      <c r="C225" s="22"/>
      <c r="D225" s="22"/>
      <c r="E225" s="19"/>
      <c r="F225" s="19"/>
      <c r="G225" s="22"/>
      <c r="H225" s="22"/>
      <c r="I225" s="22"/>
      <c r="J225" s="19"/>
      <c r="K225" s="19"/>
      <c r="L225" s="19"/>
      <c r="M225" s="19"/>
      <c r="N225" s="19"/>
      <c r="O225" s="19"/>
      <c r="P225" s="19"/>
      <c r="Q225" s="19"/>
      <c r="R225" s="19"/>
      <c r="S225" s="22"/>
      <c r="T225" s="22"/>
      <c r="U225" s="22"/>
      <c r="V225" s="19"/>
      <c r="W225" s="19"/>
      <c r="X225" s="19"/>
      <c r="Y225" s="19"/>
      <c r="Z225" s="19"/>
      <c r="AA225" s="19"/>
      <c r="AB225" s="19"/>
      <c r="AC225" s="19"/>
      <c r="AD225" s="19"/>
      <c r="AE225" s="19"/>
      <c r="AF225" s="19"/>
      <c r="AG225" s="19"/>
      <c r="AH225" s="19"/>
      <c r="AI225" s="19"/>
      <c r="AJ225" s="19"/>
      <c r="AK225" s="19"/>
      <c r="AL225" s="19"/>
      <c r="AM225" s="19"/>
    </row>
    <row r="226" spans="1:39" ht="15" customHeight="1" x14ac:dyDescent="0.15">
      <c r="A226" s="21"/>
      <c r="B226" s="19"/>
      <c r="C226" s="22"/>
      <c r="D226" s="22"/>
      <c r="E226" s="19"/>
      <c r="F226" s="19"/>
      <c r="G226" s="22"/>
      <c r="H226" s="22"/>
      <c r="I226" s="22"/>
      <c r="J226" s="19"/>
      <c r="K226" s="19"/>
      <c r="L226" s="19"/>
      <c r="M226" s="19"/>
      <c r="N226" s="19"/>
      <c r="O226" s="19"/>
      <c r="P226" s="19"/>
      <c r="Q226" s="19"/>
      <c r="R226" s="19"/>
      <c r="S226" s="22"/>
      <c r="T226" s="22"/>
      <c r="U226" s="22"/>
      <c r="V226" s="19"/>
      <c r="W226" s="19"/>
      <c r="X226" s="19"/>
      <c r="Y226" s="19"/>
      <c r="Z226" s="19"/>
      <c r="AA226" s="19"/>
      <c r="AB226" s="19"/>
      <c r="AC226" s="19"/>
      <c r="AD226" s="19"/>
      <c r="AE226" s="19"/>
      <c r="AF226" s="19"/>
      <c r="AG226" s="19"/>
      <c r="AH226" s="19"/>
      <c r="AI226" s="19"/>
      <c r="AJ226" s="19"/>
      <c r="AK226" s="19"/>
      <c r="AL226" s="19"/>
      <c r="AM226" s="19"/>
    </row>
    <row r="227" spans="1:39" ht="15" customHeight="1" x14ac:dyDescent="0.15">
      <c r="A227" s="21"/>
      <c r="B227" s="19"/>
      <c r="C227" s="22"/>
      <c r="D227" s="22"/>
      <c r="E227" s="19"/>
      <c r="F227" s="19"/>
      <c r="G227" s="22"/>
      <c r="H227" s="22"/>
      <c r="I227" s="22"/>
      <c r="J227" s="19"/>
      <c r="K227" s="19"/>
      <c r="L227" s="19"/>
      <c r="M227" s="19"/>
      <c r="N227" s="19"/>
      <c r="O227" s="19"/>
      <c r="P227" s="19"/>
      <c r="Q227" s="19"/>
      <c r="R227" s="19"/>
      <c r="S227" s="22"/>
      <c r="T227" s="22"/>
      <c r="U227" s="22"/>
      <c r="V227" s="19"/>
      <c r="W227" s="19"/>
      <c r="X227" s="19"/>
      <c r="Y227" s="19"/>
      <c r="Z227" s="19"/>
      <c r="AA227" s="19"/>
      <c r="AB227" s="19"/>
      <c r="AC227" s="19"/>
      <c r="AD227" s="19"/>
      <c r="AE227" s="19"/>
      <c r="AF227" s="19"/>
      <c r="AG227" s="19"/>
      <c r="AH227" s="19"/>
      <c r="AI227" s="19"/>
      <c r="AJ227" s="19"/>
      <c r="AK227" s="19"/>
      <c r="AL227" s="19"/>
      <c r="AM227" s="19"/>
    </row>
    <row r="228" spans="1:39" ht="15" customHeight="1" x14ac:dyDescent="0.15">
      <c r="A228" s="21"/>
      <c r="B228" s="19"/>
      <c r="C228" s="22"/>
      <c r="D228" s="22"/>
      <c r="E228" s="19"/>
      <c r="F228" s="19"/>
      <c r="G228" s="22"/>
      <c r="H228" s="22"/>
      <c r="I228" s="22"/>
      <c r="J228" s="19"/>
      <c r="K228" s="19"/>
      <c r="L228" s="19"/>
      <c r="M228" s="19"/>
      <c r="N228" s="19"/>
      <c r="O228" s="19"/>
      <c r="P228" s="19"/>
      <c r="Q228" s="19"/>
      <c r="R228" s="19"/>
      <c r="S228" s="22"/>
      <c r="T228" s="22"/>
      <c r="U228" s="22"/>
      <c r="V228" s="19"/>
      <c r="W228" s="19"/>
      <c r="X228" s="19"/>
      <c r="Y228" s="19"/>
      <c r="Z228" s="19"/>
      <c r="AA228" s="19"/>
      <c r="AB228" s="19"/>
      <c r="AC228" s="19"/>
      <c r="AD228" s="19"/>
      <c r="AE228" s="19"/>
      <c r="AF228" s="19"/>
      <c r="AG228" s="19"/>
      <c r="AH228" s="19"/>
      <c r="AI228" s="19"/>
      <c r="AJ228" s="19"/>
      <c r="AK228" s="19"/>
      <c r="AL228" s="19"/>
      <c r="AM228" s="19"/>
    </row>
    <row r="229" spans="1:39" ht="15" customHeight="1" x14ac:dyDescent="0.15">
      <c r="A229" s="21"/>
      <c r="B229" s="19"/>
      <c r="C229" s="22"/>
      <c r="D229" s="22"/>
      <c r="E229" s="19"/>
      <c r="F229" s="19"/>
      <c r="G229" s="22"/>
      <c r="H229" s="22"/>
      <c r="I229" s="22"/>
      <c r="J229" s="19"/>
      <c r="K229" s="19"/>
      <c r="L229" s="19"/>
      <c r="M229" s="19"/>
      <c r="N229" s="19"/>
      <c r="O229" s="19"/>
      <c r="P229" s="19"/>
      <c r="Q229" s="19"/>
      <c r="R229" s="19"/>
      <c r="S229" s="22"/>
      <c r="T229" s="22"/>
      <c r="U229" s="22"/>
      <c r="V229" s="19"/>
      <c r="W229" s="19"/>
      <c r="X229" s="19"/>
      <c r="Y229" s="19"/>
      <c r="Z229" s="19"/>
      <c r="AA229" s="19"/>
      <c r="AB229" s="19"/>
      <c r="AC229" s="19"/>
      <c r="AD229" s="19"/>
      <c r="AE229" s="19"/>
      <c r="AF229" s="19"/>
      <c r="AG229" s="19"/>
      <c r="AH229" s="19"/>
      <c r="AI229" s="19"/>
      <c r="AJ229" s="19"/>
      <c r="AK229" s="19"/>
      <c r="AL229" s="19"/>
      <c r="AM229" s="19"/>
    </row>
    <row r="230" spans="1:39" ht="15" customHeight="1" x14ac:dyDescent="0.15">
      <c r="A230" s="21"/>
      <c r="B230" s="19"/>
      <c r="C230" s="22"/>
      <c r="D230" s="22"/>
      <c r="E230" s="19"/>
      <c r="F230" s="19"/>
      <c r="G230" s="22"/>
      <c r="H230" s="22"/>
      <c r="I230" s="22"/>
      <c r="J230" s="19"/>
      <c r="K230" s="19"/>
      <c r="L230" s="19"/>
      <c r="M230" s="19"/>
      <c r="N230" s="19"/>
      <c r="O230" s="19"/>
      <c r="P230" s="19"/>
      <c r="Q230" s="19"/>
      <c r="R230" s="19"/>
      <c r="S230" s="22"/>
      <c r="T230" s="22"/>
      <c r="U230" s="22"/>
      <c r="V230" s="19"/>
      <c r="W230" s="19"/>
      <c r="X230" s="19"/>
      <c r="Y230" s="19"/>
      <c r="Z230" s="19"/>
      <c r="AA230" s="19"/>
      <c r="AB230" s="19"/>
      <c r="AC230" s="19"/>
      <c r="AD230" s="19"/>
      <c r="AE230" s="19"/>
      <c r="AF230" s="19"/>
      <c r="AG230" s="19"/>
      <c r="AH230" s="19"/>
      <c r="AI230" s="19"/>
      <c r="AJ230" s="19"/>
      <c r="AK230" s="19"/>
      <c r="AL230" s="19"/>
      <c r="AM230" s="19"/>
    </row>
    <row r="231" spans="1:39" ht="15" customHeight="1" x14ac:dyDescent="0.15">
      <c r="A231" s="21"/>
      <c r="B231" s="19"/>
      <c r="C231" s="22"/>
      <c r="D231" s="22"/>
      <c r="E231" s="19"/>
      <c r="F231" s="19"/>
      <c r="G231" s="22"/>
      <c r="H231" s="22"/>
      <c r="I231" s="22"/>
      <c r="J231" s="19"/>
      <c r="K231" s="19"/>
      <c r="L231" s="19"/>
      <c r="M231" s="19"/>
      <c r="N231" s="19"/>
      <c r="O231" s="19"/>
      <c r="P231" s="19"/>
      <c r="Q231" s="19"/>
      <c r="R231" s="19"/>
      <c r="S231" s="22"/>
      <c r="T231" s="22"/>
      <c r="U231" s="22"/>
      <c r="V231" s="19"/>
      <c r="W231" s="19"/>
      <c r="X231" s="19"/>
      <c r="Y231" s="19"/>
      <c r="Z231" s="19"/>
      <c r="AA231" s="19"/>
      <c r="AB231" s="19"/>
      <c r="AC231" s="19"/>
      <c r="AD231" s="19"/>
      <c r="AE231" s="19"/>
      <c r="AF231" s="19"/>
      <c r="AG231" s="19"/>
      <c r="AH231" s="19"/>
      <c r="AI231" s="19"/>
      <c r="AJ231" s="19"/>
      <c r="AK231" s="19"/>
      <c r="AL231" s="19"/>
      <c r="AM231" s="19"/>
    </row>
    <row r="232" spans="1:39" ht="15" customHeight="1" x14ac:dyDescent="0.15">
      <c r="A232" s="21"/>
      <c r="B232" s="19"/>
      <c r="C232" s="22"/>
      <c r="D232" s="22"/>
      <c r="E232" s="19"/>
      <c r="F232" s="19"/>
      <c r="G232" s="22"/>
      <c r="H232" s="22"/>
      <c r="I232" s="22"/>
      <c r="J232" s="19"/>
      <c r="K232" s="19"/>
      <c r="L232" s="19"/>
      <c r="M232" s="19"/>
      <c r="N232" s="19"/>
      <c r="O232" s="19"/>
      <c r="P232" s="19"/>
      <c r="Q232" s="19"/>
      <c r="R232" s="19"/>
      <c r="S232" s="22"/>
      <c r="T232" s="22"/>
      <c r="U232" s="22"/>
      <c r="V232" s="19"/>
      <c r="W232" s="19"/>
      <c r="X232" s="19"/>
      <c r="Y232" s="19"/>
      <c r="Z232" s="19"/>
      <c r="AA232" s="19"/>
      <c r="AB232" s="19"/>
      <c r="AC232" s="19"/>
      <c r="AD232" s="19"/>
      <c r="AE232" s="19"/>
      <c r="AF232" s="19"/>
      <c r="AG232" s="19"/>
      <c r="AH232" s="19"/>
      <c r="AI232" s="19"/>
      <c r="AJ232" s="19"/>
      <c r="AK232" s="19"/>
      <c r="AL232" s="19"/>
      <c r="AM232" s="19"/>
    </row>
    <row r="233" spans="1:39" ht="15" customHeight="1" x14ac:dyDescent="0.15">
      <c r="A233" s="21"/>
      <c r="B233" s="23"/>
      <c r="C233" s="23"/>
      <c r="D233" s="23"/>
      <c r="E233" s="23"/>
      <c r="F233" s="23"/>
      <c r="G233" s="23"/>
      <c r="H233" s="23"/>
      <c r="I233" s="23"/>
      <c r="J233" s="23"/>
      <c r="K233" s="23"/>
      <c r="L233" s="23"/>
      <c r="M233" s="23"/>
      <c r="N233" s="23"/>
      <c r="O233" s="23"/>
      <c r="P233" s="23"/>
      <c r="Q233" s="23"/>
      <c r="R233" s="23"/>
      <c r="S233" s="23"/>
      <c r="T233" s="23"/>
      <c r="U233" s="23"/>
      <c r="V233" s="19"/>
      <c r="W233" s="19"/>
      <c r="X233" s="19"/>
      <c r="Y233" s="19"/>
      <c r="Z233" s="19"/>
      <c r="AA233" s="19"/>
      <c r="AB233" s="19"/>
      <c r="AC233" s="19"/>
      <c r="AD233" s="19"/>
      <c r="AE233" s="19"/>
      <c r="AF233" s="19"/>
      <c r="AG233" s="19"/>
      <c r="AH233" s="19"/>
      <c r="AI233" s="19"/>
      <c r="AJ233" s="19"/>
      <c r="AK233" s="19"/>
      <c r="AL233" s="19"/>
      <c r="AM233" s="19"/>
    </row>
    <row r="234" spans="1:39" ht="15" customHeight="1" x14ac:dyDescent="0.15">
      <c r="A234" s="21"/>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row>
    <row r="235" spans="1:39" ht="15" customHeight="1" x14ac:dyDescent="0.15">
      <c r="A235" s="21"/>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row>
    <row r="236" spans="1:39" ht="15" customHeight="1" x14ac:dyDescent="0.15">
      <c r="A236" s="21"/>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row>
    <row r="237" spans="1:39" ht="15" customHeight="1" x14ac:dyDescent="0.15">
      <c r="A237" s="21"/>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row>
    <row r="238" spans="1:39" ht="15" customHeight="1" x14ac:dyDescent="0.15">
      <c r="A238" s="21"/>
      <c r="B238" s="19"/>
      <c r="C238" s="22"/>
      <c r="D238" s="22"/>
      <c r="E238" s="22"/>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row>
    <row r="239" spans="1:39" ht="15" customHeight="1" x14ac:dyDescent="0.15">
      <c r="A239" s="21"/>
      <c r="B239" s="19"/>
      <c r="C239" s="22"/>
      <c r="D239" s="22"/>
      <c r="E239" s="22"/>
      <c r="F239" s="19"/>
      <c r="G239" s="22"/>
      <c r="H239" s="22"/>
      <c r="I239" s="22"/>
      <c r="J239" s="19"/>
      <c r="K239" s="19"/>
      <c r="L239" s="19"/>
      <c r="M239" s="19"/>
      <c r="N239" s="19"/>
      <c r="O239" s="19"/>
      <c r="P239" s="19"/>
      <c r="Q239" s="19"/>
      <c r="R239" s="19"/>
      <c r="S239" s="22"/>
      <c r="T239" s="22"/>
      <c r="U239" s="22"/>
      <c r="V239" s="19"/>
      <c r="W239" s="19"/>
      <c r="X239" s="19"/>
      <c r="Y239" s="19"/>
      <c r="Z239" s="19"/>
      <c r="AA239" s="19"/>
      <c r="AB239" s="19"/>
      <c r="AC239" s="19"/>
      <c r="AD239" s="19"/>
      <c r="AE239" s="19"/>
      <c r="AF239" s="19"/>
      <c r="AG239" s="19"/>
      <c r="AH239" s="19"/>
      <c r="AI239" s="19"/>
      <c r="AJ239" s="19"/>
      <c r="AK239" s="19"/>
      <c r="AL239" s="19"/>
      <c r="AM239" s="19"/>
    </row>
    <row r="240" spans="1:39" ht="15" customHeight="1" x14ac:dyDescent="0.15">
      <c r="A240" s="21"/>
      <c r="B240" s="19"/>
      <c r="C240" s="22"/>
      <c r="D240" s="22"/>
      <c r="E240" s="19"/>
      <c r="F240" s="19"/>
      <c r="G240" s="22"/>
      <c r="H240" s="22"/>
      <c r="I240" s="22"/>
      <c r="J240" s="19"/>
      <c r="K240" s="19"/>
      <c r="L240" s="19"/>
      <c r="M240" s="19"/>
      <c r="N240" s="19"/>
      <c r="O240" s="19"/>
      <c r="P240" s="19"/>
      <c r="Q240" s="19"/>
      <c r="R240" s="19"/>
      <c r="S240" s="19"/>
      <c r="T240" s="19"/>
      <c r="U240" s="22"/>
      <c r="V240" s="19"/>
      <c r="W240" s="19"/>
      <c r="X240" s="19"/>
      <c r="Y240" s="19"/>
      <c r="Z240" s="19"/>
      <c r="AA240" s="19"/>
      <c r="AB240" s="19"/>
      <c r="AC240" s="19"/>
      <c r="AD240" s="19"/>
      <c r="AE240" s="19"/>
      <c r="AF240" s="19"/>
      <c r="AG240" s="19"/>
      <c r="AH240" s="19"/>
      <c r="AI240" s="19"/>
      <c r="AJ240" s="19"/>
      <c r="AK240" s="19"/>
      <c r="AL240" s="19"/>
      <c r="AM240" s="19"/>
    </row>
    <row r="241" spans="1:39" ht="15" customHeight="1" x14ac:dyDescent="0.15">
      <c r="A241" s="21"/>
      <c r="B241" s="19"/>
      <c r="C241" s="22"/>
      <c r="D241" s="22"/>
      <c r="E241" s="19"/>
      <c r="F241" s="19"/>
      <c r="G241" s="22"/>
      <c r="H241" s="22"/>
      <c r="I241" s="22"/>
      <c r="J241" s="19"/>
      <c r="K241" s="19"/>
      <c r="L241" s="19"/>
      <c r="M241" s="19"/>
      <c r="N241" s="19"/>
      <c r="O241" s="19"/>
      <c r="P241" s="19"/>
      <c r="Q241" s="19"/>
      <c r="R241" s="19"/>
      <c r="S241" s="19"/>
      <c r="T241" s="19"/>
      <c r="U241" s="22"/>
      <c r="V241" s="19"/>
      <c r="W241" s="19"/>
      <c r="X241" s="19"/>
      <c r="Y241" s="19"/>
      <c r="Z241" s="19"/>
      <c r="AA241" s="19"/>
      <c r="AB241" s="19"/>
      <c r="AC241" s="19"/>
      <c r="AD241" s="19"/>
      <c r="AE241" s="19"/>
      <c r="AF241" s="19"/>
      <c r="AG241" s="19"/>
      <c r="AH241" s="19"/>
      <c r="AI241" s="19"/>
      <c r="AJ241" s="19"/>
      <c r="AK241" s="19"/>
      <c r="AL241" s="19"/>
      <c r="AM241" s="19"/>
    </row>
    <row r="242" spans="1:39" ht="15" customHeight="1" x14ac:dyDescent="0.15">
      <c r="A242" s="21"/>
      <c r="B242" s="19"/>
      <c r="C242" s="22"/>
      <c r="D242" s="22"/>
      <c r="E242" s="19"/>
      <c r="F242" s="19"/>
      <c r="G242" s="22"/>
      <c r="H242" s="22"/>
      <c r="I242" s="22"/>
      <c r="J242" s="19"/>
      <c r="K242" s="19"/>
      <c r="L242" s="19"/>
      <c r="M242" s="19"/>
      <c r="N242" s="19"/>
      <c r="O242" s="19"/>
      <c r="P242" s="19"/>
      <c r="Q242" s="19"/>
      <c r="R242" s="19"/>
      <c r="S242" s="19"/>
      <c r="T242" s="19"/>
      <c r="U242" s="22"/>
      <c r="V242" s="19"/>
      <c r="W242" s="19"/>
      <c r="X242" s="19"/>
      <c r="Y242" s="19"/>
      <c r="Z242" s="19"/>
      <c r="AA242" s="19"/>
      <c r="AB242" s="19"/>
      <c r="AC242" s="19"/>
      <c r="AD242" s="19"/>
      <c r="AE242" s="19"/>
      <c r="AF242" s="19"/>
      <c r="AG242" s="19"/>
      <c r="AH242" s="19"/>
      <c r="AI242" s="19"/>
      <c r="AJ242" s="19"/>
      <c r="AK242" s="19"/>
      <c r="AL242" s="19"/>
      <c r="AM242" s="19"/>
    </row>
    <row r="243" spans="1:39" ht="15" customHeight="1" x14ac:dyDescent="0.15">
      <c r="A243" s="21"/>
      <c r="B243" s="19"/>
      <c r="C243" s="22"/>
      <c r="D243" s="22"/>
      <c r="E243" s="19"/>
      <c r="F243" s="19"/>
      <c r="G243" s="22"/>
      <c r="H243" s="22"/>
      <c r="I243" s="22"/>
      <c r="J243" s="19"/>
      <c r="K243" s="19"/>
      <c r="L243" s="19"/>
      <c r="M243" s="19"/>
      <c r="N243" s="19"/>
      <c r="O243" s="19"/>
      <c r="P243" s="19"/>
      <c r="Q243" s="19"/>
      <c r="R243" s="19"/>
      <c r="S243" s="19"/>
      <c r="T243" s="19"/>
      <c r="U243" s="22"/>
      <c r="V243" s="19"/>
      <c r="W243" s="19"/>
      <c r="X243" s="19"/>
      <c r="Y243" s="19"/>
      <c r="Z243" s="19"/>
      <c r="AA243" s="19"/>
      <c r="AB243" s="19"/>
      <c r="AC243" s="19"/>
      <c r="AD243" s="19"/>
      <c r="AE243" s="19"/>
      <c r="AF243" s="19"/>
      <c r="AG243" s="19"/>
      <c r="AH243" s="19"/>
      <c r="AI243" s="19"/>
      <c r="AJ243" s="19"/>
      <c r="AK243" s="19"/>
      <c r="AL243" s="19"/>
      <c r="AM243" s="19"/>
    </row>
    <row r="244" spans="1:39" ht="15" customHeight="1" x14ac:dyDescent="0.15">
      <c r="A244" s="21"/>
      <c r="B244" s="19"/>
      <c r="C244" s="22"/>
      <c r="D244" s="22"/>
      <c r="E244" s="19"/>
      <c r="F244" s="19"/>
      <c r="G244" s="22"/>
      <c r="H244" s="22"/>
      <c r="I244" s="22"/>
      <c r="J244" s="19"/>
      <c r="K244" s="19"/>
      <c r="L244" s="19"/>
      <c r="M244" s="19"/>
      <c r="N244" s="19"/>
      <c r="O244" s="19"/>
      <c r="P244" s="19"/>
      <c r="Q244" s="19"/>
      <c r="R244" s="19"/>
      <c r="S244" s="19"/>
      <c r="T244" s="19"/>
      <c r="U244" s="22"/>
      <c r="V244" s="19"/>
      <c r="W244" s="19"/>
      <c r="X244" s="19"/>
      <c r="Y244" s="19"/>
      <c r="Z244" s="19"/>
      <c r="AA244" s="19"/>
      <c r="AB244" s="19"/>
      <c r="AC244" s="19"/>
      <c r="AD244" s="19"/>
      <c r="AE244" s="19"/>
      <c r="AF244" s="19"/>
      <c r="AG244" s="19"/>
      <c r="AH244" s="19"/>
      <c r="AI244" s="19"/>
      <c r="AJ244" s="19"/>
      <c r="AK244" s="19"/>
      <c r="AL244" s="19"/>
      <c r="AM244" s="19"/>
    </row>
    <row r="245" spans="1:39" ht="15" customHeight="1" x14ac:dyDescent="0.15">
      <c r="A245" s="21"/>
      <c r="B245" s="19"/>
      <c r="C245" s="22"/>
      <c r="D245" s="22"/>
      <c r="E245" s="19"/>
      <c r="F245" s="19"/>
      <c r="G245" s="22"/>
      <c r="H245" s="22"/>
      <c r="I245" s="22"/>
      <c r="J245" s="19"/>
      <c r="K245" s="19"/>
      <c r="L245" s="19"/>
      <c r="M245" s="19"/>
      <c r="N245" s="19"/>
      <c r="O245" s="19"/>
      <c r="P245" s="19"/>
      <c r="Q245" s="19"/>
      <c r="R245" s="19"/>
      <c r="S245" s="19"/>
      <c r="T245" s="19"/>
      <c r="U245" s="22"/>
      <c r="V245" s="19"/>
      <c r="W245" s="19"/>
      <c r="X245" s="19"/>
      <c r="Y245" s="19"/>
      <c r="Z245" s="19"/>
      <c r="AA245" s="19"/>
      <c r="AB245" s="19"/>
      <c r="AC245" s="19"/>
      <c r="AD245" s="19"/>
      <c r="AE245" s="19"/>
      <c r="AF245" s="19"/>
      <c r="AG245" s="19"/>
      <c r="AH245" s="19"/>
      <c r="AI245" s="19"/>
      <c r="AJ245" s="19"/>
      <c r="AK245" s="19"/>
      <c r="AL245" s="19"/>
      <c r="AM245" s="19"/>
    </row>
    <row r="246" spans="1:39" ht="15" customHeight="1" x14ac:dyDescent="0.15">
      <c r="A246" s="21"/>
      <c r="B246" s="19"/>
      <c r="C246" s="22"/>
      <c r="D246" s="22"/>
      <c r="E246" s="19"/>
      <c r="F246" s="19"/>
      <c r="G246" s="22"/>
      <c r="H246" s="22"/>
      <c r="I246" s="22"/>
      <c r="J246" s="19"/>
      <c r="K246" s="19"/>
      <c r="L246" s="19"/>
      <c r="M246" s="19"/>
      <c r="N246" s="19"/>
      <c r="O246" s="19"/>
      <c r="P246" s="19"/>
      <c r="Q246" s="19"/>
      <c r="R246" s="19"/>
      <c r="S246" s="19"/>
      <c r="T246" s="19"/>
      <c r="U246" s="22"/>
      <c r="V246" s="19"/>
      <c r="W246" s="19"/>
      <c r="X246" s="19"/>
      <c r="Y246" s="19"/>
      <c r="Z246" s="19"/>
      <c r="AA246" s="19"/>
      <c r="AB246" s="19"/>
      <c r="AC246" s="19"/>
      <c r="AD246" s="19"/>
      <c r="AE246" s="19"/>
      <c r="AF246" s="19"/>
      <c r="AG246" s="19"/>
      <c r="AH246" s="19"/>
      <c r="AI246" s="19"/>
      <c r="AJ246" s="19"/>
      <c r="AK246" s="19"/>
      <c r="AL246" s="19"/>
      <c r="AM246" s="19"/>
    </row>
    <row r="247" spans="1:39" ht="15" customHeight="1" x14ac:dyDescent="0.15">
      <c r="A247" s="21"/>
      <c r="B247" s="19"/>
      <c r="C247" s="22"/>
      <c r="D247" s="22"/>
      <c r="E247" s="19"/>
      <c r="F247" s="19"/>
      <c r="G247" s="22"/>
      <c r="H247" s="22"/>
      <c r="I247" s="22"/>
      <c r="J247" s="19"/>
      <c r="K247" s="19"/>
      <c r="L247" s="19"/>
      <c r="M247" s="19"/>
      <c r="N247" s="19"/>
      <c r="O247" s="19"/>
      <c r="P247" s="19"/>
      <c r="Q247" s="19"/>
      <c r="R247" s="19"/>
      <c r="S247" s="19"/>
      <c r="T247" s="19"/>
      <c r="U247" s="22"/>
      <c r="V247" s="19"/>
      <c r="W247" s="19"/>
      <c r="X247" s="19"/>
      <c r="Y247" s="19"/>
      <c r="Z247" s="19"/>
      <c r="AA247" s="19"/>
      <c r="AB247" s="19"/>
      <c r="AC247" s="19"/>
      <c r="AD247" s="19"/>
      <c r="AE247" s="19"/>
      <c r="AF247" s="19"/>
      <c r="AG247" s="19"/>
      <c r="AH247" s="19"/>
      <c r="AI247" s="19"/>
      <c r="AJ247" s="19"/>
      <c r="AK247" s="19"/>
      <c r="AL247" s="19"/>
      <c r="AM247" s="19"/>
    </row>
    <row r="248" spans="1:39" ht="15" customHeight="1" x14ac:dyDescent="0.15">
      <c r="A248" s="21"/>
      <c r="B248" s="19"/>
      <c r="C248" s="22"/>
      <c r="D248" s="22"/>
      <c r="E248" s="19"/>
      <c r="F248" s="19"/>
      <c r="G248" s="22"/>
      <c r="H248" s="22"/>
      <c r="I248" s="22"/>
      <c r="J248" s="19"/>
      <c r="K248" s="19"/>
      <c r="L248" s="19"/>
      <c r="M248" s="19"/>
      <c r="N248" s="19"/>
      <c r="O248" s="19"/>
      <c r="P248" s="19"/>
      <c r="Q248" s="19"/>
      <c r="R248" s="19"/>
      <c r="S248" s="19"/>
      <c r="T248" s="19"/>
      <c r="U248" s="22"/>
      <c r="V248" s="19"/>
      <c r="W248" s="19"/>
      <c r="X248" s="19"/>
      <c r="Y248" s="19"/>
      <c r="Z248" s="19"/>
      <c r="AA248" s="19"/>
      <c r="AB248" s="19"/>
      <c r="AC248" s="19"/>
      <c r="AD248" s="19"/>
      <c r="AE248" s="19"/>
      <c r="AF248" s="19"/>
      <c r="AG248" s="19"/>
      <c r="AH248" s="19"/>
      <c r="AI248" s="19"/>
      <c r="AJ248" s="19"/>
      <c r="AK248" s="19"/>
      <c r="AL248" s="19"/>
      <c r="AM248" s="19"/>
    </row>
    <row r="249" spans="1:39" ht="15" customHeight="1" x14ac:dyDescent="0.15">
      <c r="A249" s="21"/>
      <c r="B249" s="19"/>
      <c r="C249" s="22"/>
      <c r="D249" s="22"/>
      <c r="E249" s="19"/>
      <c r="F249" s="19"/>
      <c r="G249" s="22"/>
      <c r="H249" s="22"/>
      <c r="I249" s="22"/>
      <c r="J249" s="19"/>
      <c r="K249" s="19"/>
      <c r="L249" s="19"/>
      <c r="M249" s="19"/>
      <c r="N249" s="19"/>
      <c r="O249" s="19"/>
      <c r="P249" s="19"/>
      <c r="Q249" s="19"/>
      <c r="R249" s="19"/>
      <c r="S249" s="19"/>
      <c r="T249" s="19"/>
      <c r="U249" s="22"/>
      <c r="V249" s="19"/>
      <c r="W249" s="19"/>
      <c r="X249" s="19"/>
      <c r="Y249" s="19"/>
      <c r="Z249" s="19"/>
      <c r="AA249" s="19"/>
      <c r="AB249" s="19"/>
      <c r="AC249" s="19"/>
      <c r="AD249" s="19"/>
      <c r="AE249" s="19"/>
      <c r="AF249" s="19"/>
      <c r="AG249" s="19"/>
      <c r="AH249" s="19"/>
      <c r="AI249" s="19"/>
      <c r="AJ249" s="19"/>
      <c r="AK249" s="19"/>
      <c r="AL249" s="19"/>
      <c r="AM249" s="19"/>
    </row>
    <row r="250" spans="1:39" ht="15" customHeight="1" x14ac:dyDescent="0.15">
      <c r="A250" s="21"/>
      <c r="B250" s="19"/>
      <c r="C250" s="22"/>
      <c r="D250" s="22"/>
      <c r="E250" s="19"/>
      <c r="F250" s="19"/>
      <c r="G250" s="22"/>
      <c r="H250" s="22"/>
      <c r="I250" s="22"/>
      <c r="J250" s="19"/>
      <c r="K250" s="19"/>
      <c r="L250" s="19"/>
      <c r="M250" s="19"/>
      <c r="N250" s="19"/>
      <c r="O250" s="19"/>
      <c r="P250" s="19"/>
      <c r="Q250" s="19"/>
      <c r="R250" s="19"/>
      <c r="S250" s="19"/>
      <c r="T250" s="19"/>
      <c r="U250" s="22"/>
      <c r="V250" s="19"/>
      <c r="W250" s="19"/>
      <c r="X250" s="19"/>
      <c r="Y250" s="19"/>
      <c r="Z250" s="19"/>
      <c r="AA250" s="19"/>
      <c r="AB250" s="19"/>
      <c r="AC250" s="19"/>
      <c r="AD250" s="19"/>
      <c r="AE250" s="19"/>
      <c r="AF250" s="19"/>
      <c r="AG250" s="19"/>
      <c r="AH250" s="19"/>
      <c r="AI250" s="19"/>
      <c r="AJ250" s="19"/>
      <c r="AK250" s="19"/>
      <c r="AL250" s="19"/>
      <c r="AM250" s="19"/>
    </row>
    <row r="251" spans="1:39" ht="15" customHeight="1" x14ac:dyDescent="0.15">
      <c r="A251" s="21"/>
      <c r="B251" s="23"/>
      <c r="C251" s="23"/>
      <c r="D251" s="23"/>
      <c r="E251" s="23"/>
      <c r="F251" s="23"/>
      <c r="G251" s="23"/>
      <c r="H251" s="23"/>
      <c r="I251" s="23"/>
      <c r="J251" s="23"/>
      <c r="K251" s="23"/>
      <c r="L251" s="23"/>
      <c r="M251" s="23"/>
      <c r="N251" s="23"/>
      <c r="O251" s="23"/>
      <c r="P251" s="23"/>
      <c r="Q251" s="23"/>
      <c r="R251" s="23"/>
      <c r="S251" s="23"/>
      <c r="T251" s="23"/>
      <c r="U251" s="23"/>
      <c r="V251" s="23"/>
      <c r="W251" s="19"/>
      <c r="X251" s="19"/>
      <c r="Y251" s="19"/>
      <c r="Z251" s="19"/>
      <c r="AA251" s="19"/>
      <c r="AB251" s="19"/>
      <c r="AC251" s="19"/>
      <c r="AD251" s="19"/>
      <c r="AE251" s="19"/>
      <c r="AF251" s="19"/>
      <c r="AG251" s="19"/>
      <c r="AH251" s="19"/>
      <c r="AI251" s="19"/>
      <c r="AJ251" s="19"/>
      <c r="AK251" s="19"/>
      <c r="AL251" s="19"/>
      <c r="AM251" s="19"/>
    </row>
    <row r="252" spans="1:39" ht="15" customHeight="1" x14ac:dyDescent="0.15">
      <c r="A252" s="21"/>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row>
    <row r="253" spans="1:39" ht="15" customHeight="1" x14ac:dyDescent="0.15">
      <c r="A253" s="21"/>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row>
    <row r="254" spans="1:39" ht="15" customHeight="1" x14ac:dyDescent="0.15">
      <c r="A254" s="21"/>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row>
    <row r="255" spans="1:39" ht="15" customHeight="1" x14ac:dyDescent="0.15">
      <c r="A255" s="21"/>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row>
    <row r="256" spans="1:39" ht="15" customHeight="1" x14ac:dyDescent="0.15">
      <c r="A256" s="21"/>
      <c r="B256" s="29"/>
      <c r="C256" s="29"/>
      <c r="D256" s="29"/>
      <c r="E256" s="29"/>
      <c r="F256" s="29"/>
      <c r="G256" s="29"/>
      <c r="H256" s="29"/>
      <c r="I256" s="29"/>
      <c r="J256" s="29"/>
      <c r="K256" s="29"/>
      <c r="L256" s="29"/>
      <c r="M256" s="2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row>
    <row r="257" spans="1:39" ht="15" customHeight="1" x14ac:dyDescent="0.15">
      <c r="A257" s="21"/>
      <c r="B257" s="29"/>
      <c r="C257" s="29"/>
      <c r="D257" s="29"/>
      <c r="E257" s="29"/>
      <c r="F257" s="29"/>
      <c r="G257" s="29"/>
      <c r="H257" s="29"/>
      <c r="I257" s="29"/>
      <c r="J257" s="29"/>
      <c r="K257" s="29"/>
      <c r="L257" s="29"/>
      <c r="M257" s="29"/>
      <c r="N257" s="22"/>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row>
    <row r="258" spans="1:39" ht="15" customHeight="1" x14ac:dyDescent="0.15">
      <c r="A258" s="21"/>
      <c r="B258" s="29"/>
      <c r="C258" s="29"/>
      <c r="D258" s="29"/>
      <c r="E258" s="29"/>
      <c r="F258" s="29"/>
      <c r="G258" s="29"/>
      <c r="H258" s="29"/>
      <c r="I258" s="29"/>
      <c r="J258" s="29"/>
      <c r="K258" s="29"/>
      <c r="L258" s="29"/>
      <c r="M258" s="29"/>
      <c r="N258" s="22"/>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row>
    <row r="259" spans="1:39" ht="15" customHeight="1" x14ac:dyDescent="0.15">
      <c r="A259" s="21"/>
      <c r="B259" s="29"/>
      <c r="C259" s="29"/>
      <c r="D259" s="29"/>
      <c r="E259" s="29"/>
      <c r="F259" s="29"/>
      <c r="G259" s="29"/>
      <c r="H259" s="29"/>
      <c r="I259" s="29"/>
      <c r="J259" s="29"/>
      <c r="K259" s="29"/>
      <c r="L259" s="29"/>
      <c r="M259" s="29"/>
      <c r="N259" s="22"/>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row>
    <row r="260" spans="1:39" ht="15" customHeight="1" x14ac:dyDescent="0.15">
      <c r="A260" s="21"/>
      <c r="B260" s="29"/>
      <c r="C260" s="22"/>
      <c r="D260" s="22"/>
      <c r="E260" s="22"/>
      <c r="F260" s="22"/>
      <c r="G260" s="22"/>
      <c r="H260" s="22"/>
      <c r="I260" s="22"/>
      <c r="J260" s="22"/>
      <c r="K260" s="22"/>
      <c r="L260" s="22"/>
      <c r="M260" s="22"/>
      <c r="N260" s="22"/>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row>
    <row r="261" spans="1:39" ht="15" customHeight="1" x14ac:dyDescent="0.15">
      <c r="A261" s="21"/>
      <c r="B261" s="29"/>
      <c r="C261" s="22"/>
      <c r="D261" s="22"/>
      <c r="E261" s="22"/>
      <c r="F261" s="22"/>
      <c r="G261" s="22"/>
      <c r="H261" s="22"/>
      <c r="I261" s="22"/>
      <c r="J261" s="22"/>
      <c r="K261" s="22"/>
      <c r="L261" s="22"/>
      <c r="M261" s="22"/>
      <c r="N261" s="22"/>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row>
    <row r="262" spans="1:39" ht="15" customHeight="1" x14ac:dyDescent="0.15">
      <c r="A262" s="21"/>
      <c r="B262" s="29"/>
      <c r="C262" s="22"/>
      <c r="D262" s="22"/>
      <c r="E262" s="22"/>
      <c r="F262" s="22"/>
      <c r="G262" s="22"/>
      <c r="H262" s="22"/>
      <c r="I262" s="22"/>
      <c r="J262" s="22"/>
      <c r="K262" s="22"/>
      <c r="L262" s="22"/>
      <c r="M262" s="22"/>
      <c r="N262" s="22"/>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row>
    <row r="263" spans="1:39" ht="15" customHeight="1" x14ac:dyDescent="0.15">
      <c r="A263" s="21"/>
      <c r="B263" s="29"/>
      <c r="C263" s="22"/>
      <c r="D263" s="22"/>
      <c r="E263" s="22"/>
      <c r="F263" s="22"/>
      <c r="G263" s="22"/>
      <c r="H263" s="22"/>
      <c r="I263" s="22"/>
      <c r="J263" s="22"/>
      <c r="K263" s="22"/>
      <c r="L263" s="22"/>
      <c r="M263" s="22"/>
      <c r="N263" s="22"/>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row>
    <row r="264" spans="1:39" ht="15" customHeight="1" x14ac:dyDescent="0.15">
      <c r="A264" s="21"/>
      <c r="B264" s="29"/>
      <c r="C264" s="22"/>
      <c r="D264" s="22"/>
      <c r="E264" s="22"/>
      <c r="F264" s="22"/>
      <c r="G264" s="22"/>
      <c r="H264" s="22"/>
      <c r="I264" s="22"/>
      <c r="J264" s="22"/>
      <c r="K264" s="22"/>
      <c r="L264" s="22"/>
      <c r="M264" s="22"/>
      <c r="N264" s="22"/>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row>
    <row r="265" spans="1:39" ht="15" customHeight="1" x14ac:dyDescent="0.15">
      <c r="A265" s="21"/>
      <c r="B265" s="29"/>
      <c r="C265" s="22"/>
      <c r="D265" s="22"/>
      <c r="E265" s="22"/>
      <c r="F265" s="22"/>
      <c r="G265" s="22"/>
      <c r="H265" s="22"/>
      <c r="I265" s="22"/>
      <c r="J265" s="22"/>
      <c r="K265" s="22"/>
      <c r="L265" s="22"/>
      <c r="M265" s="22"/>
      <c r="N265" s="22"/>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row>
    <row r="266" spans="1:39" ht="15" customHeight="1" x14ac:dyDescent="0.15">
      <c r="A266" s="21"/>
      <c r="B266" s="29"/>
      <c r="C266" s="22"/>
      <c r="D266" s="22"/>
      <c r="E266" s="22"/>
      <c r="F266" s="22"/>
      <c r="G266" s="22"/>
      <c r="H266" s="22"/>
      <c r="I266" s="22"/>
      <c r="J266" s="22"/>
      <c r="K266" s="22"/>
      <c r="L266" s="22"/>
      <c r="M266" s="22"/>
      <c r="N266" s="22"/>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row>
    <row r="267" spans="1:39" ht="15" customHeight="1" x14ac:dyDescent="0.15">
      <c r="A267" s="21"/>
      <c r="B267" s="29"/>
      <c r="C267" s="22"/>
      <c r="D267" s="22"/>
      <c r="E267" s="22"/>
      <c r="F267" s="22"/>
      <c r="G267" s="22"/>
      <c r="H267" s="22"/>
      <c r="I267" s="22"/>
      <c r="J267" s="22"/>
      <c r="K267" s="22"/>
      <c r="L267" s="22"/>
      <c r="M267" s="22"/>
      <c r="N267" s="22"/>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row>
    <row r="268" spans="1:39" ht="15" customHeight="1" x14ac:dyDescent="0.15">
      <c r="A268" s="21"/>
      <c r="B268" s="29"/>
      <c r="C268" s="22"/>
      <c r="D268" s="22"/>
      <c r="E268" s="22"/>
      <c r="F268" s="22"/>
      <c r="G268" s="22"/>
      <c r="H268" s="22"/>
      <c r="I268" s="22"/>
      <c r="J268" s="22"/>
      <c r="K268" s="22"/>
      <c r="L268" s="22"/>
      <c r="M268" s="22"/>
      <c r="N268" s="22"/>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row>
    <row r="269" spans="1:39" ht="15" customHeight="1" x14ac:dyDescent="0.15">
      <c r="A269" s="21"/>
      <c r="B269" s="29"/>
      <c r="C269" s="22"/>
      <c r="D269" s="22"/>
      <c r="E269" s="22"/>
      <c r="F269" s="22"/>
      <c r="G269" s="22"/>
      <c r="H269" s="22"/>
      <c r="I269" s="22"/>
      <c r="J269" s="22"/>
      <c r="K269" s="22"/>
      <c r="L269" s="22"/>
      <c r="M269" s="22"/>
      <c r="N269" s="22"/>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row>
    <row r="270" spans="1:39" ht="15" customHeight="1" x14ac:dyDescent="0.15">
      <c r="A270" s="21"/>
      <c r="B270" s="29"/>
      <c r="C270" s="22"/>
      <c r="D270" s="22"/>
      <c r="E270" s="22"/>
      <c r="F270" s="22"/>
      <c r="G270" s="22"/>
      <c r="H270" s="22"/>
      <c r="I270" s="22"/>
      <c r="J270" s="22"/>
      <c r="K270" s="22"/>
      <c r="L270" s="22"/>
      <c r="M270" s="22"/>
      <c r="N270" s="22"/>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row>
    <row r="271" spans="1:39" ht="15" customHeight="1" x14ac:dyDescent="0.15">
      <c r="A271" s="21"/>
      <c r="B271" s="29"/>
      <c r="C271" s="22"/>
      <c r="D271" s="22"/>
      <c r="E271" s="22"/>
      <c r="F271" s="22"/>
      <c r="G271" s="22"/>
      <c r="H271" s="22"/>
      <c r="I271" s="22"/>
      <c r="J271" s="22"/>
      <c r="K271" s="22"/>
      <c r="L271" s="22"/>
      <c r="M271" s="22"/>
      <c r="N271" s="22"/>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row>
    <row r="272" spans="1:39" ht="15" customHeight="1" x14ac:dyDescent="0.15">
      <c r="A272" s="21"/>
      <c r="B272" s="29"/>
      <c r="C272" s="22"/>
      <c r="D272" s="22"/>
      <c r="E272" s="22"/>
      <c r="F272" s="22"/>
      <c r="G272" s="22"/>
      <c r="H272" s="22"/>
      <c r="I272" s="22"/>
      <c r="J272" s="22"/>
      <c r="K272" s="22"/>
      <c r="L272" s="22"/>
      <c r="M272" s="22"/>
      <c r="N272" s="22"/>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row>
    <row r="273" spans="1:39" ht="15" customHeight="1" x14ac:dyDescent="0.15">
      <c r="A273" s="21"/>
      <c r="B273" s="29"/>
      <c r="C273" s="22"/>
      <c r="D273" s="22"/>
      <c r="E273" s="22"/>
      <c r="F273" s="22"/>
      <c r="G273" s="22"/>
      <c r="H273" s="22"/>
      <c r="I273" s="22"/>
      <c r="J273" s="22"/>
      <c r="K273" s="22"/>
      <c r="L273" s="22"/>
      <c r="M273" s="22"/>
      <c r="N273" s="22"/>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row>
    <row r="274" spans="1:39" ht="15" customHeight="1" x14ac:dyDescent="0.15">
      <c r="A274" s="21"/>
      <c r="B274" s="22"/>
      <c r="C274" s="22"/>
      <c r="D274" s="22"/>
      <c r="E274" s="22"/>
      <c r="F274" s="22"/>
      <c r="G274" s="22"/>
      <c r="H274" s="22"/>
      <c r="I274" s="22"/>
      <c r="J274" s="22"/>
      <c r="K274" s="22"/>
      <c r="L274" s="22"/>
      <c r="M274" s="22"/>
      <c r="N274" s="22"/>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row>
    <row r="275" spans="1:39" ht="15" customHeight="1" x14ac:dyDescent="0.15">
      <c r="A275" s="21"/>
      <c r="B275" s="19"/>
      <c r="C275" s="19"/>
      <c r="D275" s="19"/>
      <c r="E275" s="19"/>
      <c r="F275" s="19"/>
      <c r="G275" s="19"/>
      <c r="H275" s="19"/>
      <c r="I275" s="19"/>
      <c r="J275" s="19"/>
      <c r="K275" s="19"/>
      <c r="L275" s="19"/>
      <c r="M275" s="19"/>
      <c r="N275" s="22"/>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row>
    <row r="276" spans="1:39" ht="15" customHeight="1" x14ac:dyDescent="0.15">
      <c r="A276" s="21"/>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row>
    <row r="277" spans="1:39" ht="15" customHeight="1" x14ac:dyDescent="0.15">
      <c r="A277" s="21"/>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row>
    <row r="278" spans="1:39" ht="15" customHeight="1" x14ac:dyDescent="0.15">
      <c r="A278" s="21"/>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row>
    <row r="279" spans="1:39" ht="15" customHeight="1" x14ac:dyDescent="0.15">
      <c r="A279" s="21"/>
      <c r="B279" s="19"/>
      <c r="C279" s="22"/>
      <c r="D279" s="22"/>
      <c r="E279" s="22"/>
      <c r="F279" s="22"/>
      <c r="G279" s="22"/>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row>
    <row r="280" spans="1:39" ht="15" customHeight="1" x14ac:dyDescent="0.15">
      <c r="A280" s="21"/>
      <c r="B280" s="22"/>
      <c r="C280" s="22"/>
      <c r="D280" s="22"/>
      <c r="E280" s="22"/>
      <c r="F280" s="22"/>
      <c r="G280" s="22"/>
      <c r="H280" s="22"/>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row>
    <row r="281" spans="1:39" ht="15" customHeight="1" x14ac:dyDescent="0.15">
      <c r="A281" s="21"/>
      <c r="B281" s="22"/>
      <c r="C281" s="22"/>
      <c r="D281" s="22"/>
      <c r="E281" s="22"/>
      <c r="F281" s="22"/>
      <c r="G281" s="22"/>
      <c r="H281" s="22"/>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row>
    <row r="282" spans="1:39" ht="15" customHeight="1" x14ac:dyDescent="0.15">
      <c r="A282" s="21"/>
      <c r="B282" s="29"/>
      <c r="C282" s="22"/>
      <c r="D282" s="22"/>
      <c r="E282" s="22"/>
      <c r="F282" s="22"/>
      <c r="G282" s="29"/>
      <c r="H282" s="22"/>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row>
    <row r="283" spans="1:39" ht="15" customHeight="1" x14ac:dyDescent="0.15">
      <c r="A283" s="21"/>
      <c r="B283" s="22"/>
      <c r="C283" s="22"/>
      <c r="D283" s="22"/>
      <c r="E283" s="22"/>
      <c r="F283" s="22"/>
      <c r="G283" s="22"/>
      <c r="H283" s="22"/>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row>
    <row r="284" spans="1:39" ht="15" customHeight="1" x14ac:dyDescent="0.15">
      <c r="A284" s="21"/>
      <c r="B284" s="22"/>
      <c r="C284" s="22"/>
      <c r="D284" s="22"/>
      <c r="E284" s="22"/>
      <c r="F284" s="22"/>
      <c r="G284" s="22"/>
      <c r="H284" s="22"/>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row>
    <row r="285" spans="1:39" ht="15" customHeight="1" x14ac:dyDescent="0.15">
      <c r="A285" s="21"/>
      <c r="B285" s="22"/>
      <c r="C285" s="22"/>
      <c r="D285" s="22"/>
      <c r="E285" s="22"/>
      <c r="F285" s="22"/>
      <c r="G285" s="22"/>
      <c r="H285" s="22"/>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row>
    <row r="286" spans="1:39" ht="15" customHeight="1" x14ac:dyDescent="0.15">
      <c r="A286" s="21"/>
      <c r="B286" s="22"/>
      <c r="C286" s="22"/>
      <c r="D286" s="22"/>
      <c r="E286" s="22"/>
      <c r="F286" s="22"/>
      <c r="G286" s="22"/>
      <c r="H286" s="22"/>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row>
    <row r="287" spans="1:39" ht="15" customHeight="1" x14ac:dyDescent="0.15">
      <c r="A287" s="21"/>
      <c r="B287" s="22"/>
      <c r="C287" s="22"/>
      <c r="D287" s="22"/>
      <c r="E287" s="22"/>
      <c r="F287" s="22"/>
      <c r="G287" s="22"/>
      <c r="H287" s="22"/>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row>
    <row r="288" spans="1:39" ht="15" customHeight="1" x14ac:dyDescent="0.15">
      <c r="A288" s="21"/>
      <c r="B288" s="22"/>
      <c r="C288" s="22"/>
      <c r="D288" s="22"/>
      <c r="E288" s="22"/>
      <c r="F288" s="22"/>
      <c r="G288" s="22"/>
      <c r="H288" s="22"/>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row>
    <row r="289" spans="1:39" ht="15" customHeight="1" x14ac:dyDescent="0.15">
      <c r="A289" s="21"/>
      <c r="B289" s="22"/>
      <c r="C289" s="22"/>
      <c r="D289" s="22"/>
      <c r="E289" s="22"/>
      <c r="F289" s="22"/>
      <c r="G289" s="22"/>
      <c r="H289" s="22"/>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row>
    <row r="290" spans="1:39" ht="15" customHeight="1" x14ac:dyDescent="0.15">
      <c r="A290" s="21"/>
      <c r="B290" s="22"/>
      <c r="C290" s="22"/>
      <c r="D290" s="22"/>
      <c r="E290" s="22"/>
      <c r="F290" s="22"/>
      <c r="G290" s="22"/>
      <c r="H290" s="22"/>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row>
    <row r="291" spans="1:39" ht="15" customHeight="1" x14ac:dyDescent="0.15">
      <c r="A291" s="21"/>
      <c r="B291" s="22"/>
      <c r="C291" s="22"/>
      <c r="D291" s="22"/>
      <c r="E291" s="22"/>
      <c r="F291" s="22"/>
      <c r="G291" s="22"/>
      <c r="H291" s="22"/>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row>
    <row r="292" spans="1:39" ht="15" customHeight="1" x14ac:dyDescent="0.15">
      <c r="A292" s="21"/>
      <c r="B292" s="22"/>
      <c r="C292" s="22"/>
      <c r="D292" s="22"/>
      <c r="E292" s="22"/>
      <c r="F292" s="22"/>
      <c r="G292" s="22"/>
      <c r="H292" s="22"/>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row>
    <row r="293" spans="1:39" ht="15" customHeight="1" x14ac:dyDescent="0.15">
      <c r="A293" s="21"/>
      <c r="B293" s="22"/>
      <c r="C293" s="22"/>
      <c r="D293" s="22"/>
      <c r="E293" s="22"/>
      <c r="F293" s="22"/>
      <c r="G293" s="22"/>
      <c r="H293" s="22"/>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row>
    <row r="294" spans="1:39" ht="15" customHeight="1" x14ac:dyDescent="0.15">
      <c r="A294" s="21"/>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row>
    <row r="295" spans="1:39" ht="15" customHeight="1" x14ac:dyDescent="0.15">
      <c r="A295" s="21"/>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row>
    <row r="296" spans="1:39" ht="15" customHeight="1" x14ac:dyDescent="0.15">
      <c r="A296" s="21"/>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row>
    <row r="297" spans="1:39" ht="15" customHeight="1" x14ac:dyDescent="0.15">
      <c r="A297" s="21"/>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row>
    <row r="298" spans="1:39" ht="15" customHeight="1" x14ac:dyDescent="0.15">
      <c r="A298" s="20"/>
      <c r="B298" s="22"/>
      <c r="C298" s="22"/>
      <c r="D298" s="22"/>
      <c r="E298" s="22"/>
      <c r="F298" s="22"/>
      <c r="G298" s="22"/>
      <c r="H298" s="22"/>
      <c r="I298" s="22"/>
      <c r="J298" s="22"/>
      <c r="K298" s="22"/>
      <c r="L298" s="22"/>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row>
    <row r="299" spans="1:39" ht="15" customHeight="1" x14ac:dyDescent="0.15">
      <c r="A299" s="19"/>
      <c r="B299" s="22"/>
      <c r="C299" s="22"/>
      <c r="D299" s="22"/>
      <c r="E299" s="22"/>
      <c r="F299" s="22"/>
      <c r="G299" s="22"/>
      <c r="H299" s="22"/>
      <c r="I299" s="22"/>
      <c r="J299" s="22"/>
      <c r="K299" s="22"/>
      <c r="L299" s="2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row>
    <row r="300" spans="1:39" ht="15" customHeight="1" x14ac:dyDescent="0.15">
      <c r="A300" s="19"/>
      <c r="B300" s="22"/>
      <c r="C300" s="22"/>
      <c r="D300" s="22"/>
      <c r="E300" s="22"/>
      <c r="F300" s="22"/>
      <c r="G300" s="22"/>
      <c r="H300" s="22"/>
      <c r="I300" s="22"/>
      <c r="J300" s="22"/>
      <c r="K300" s="22"/>
      <c r="L300" s="2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row>
    <row r="301" spans="1:39" ht="15" customHeight="1" x14ac:dyDescent="0.15">
      <c r="A301" s="28"/>
      <c r="B301" s="22"/>
      <c r="C301" s="22"/>
      <c r="D301" s="22"/>
      <c r="E301" s="22"/>
      <c r="F301" s="22"/>
      <c r="G301" s="22"/>
      <c r="H301" s="22"/>
      <c r="I301" s="22"/>
      <c r="J301" s="22"/>
      <c r="K301" s="22"/>
      <c r="L301" s="2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row>
    <row r="302" spans="1:39" ht="15" customHeight="1" x14ac:dyDescent="0.15">
      <c r="A302" s="19"/>
      <c r="B302" s="22"/>
      <c r="C302" s="22"/>
      <c r="D302" s="22"/>
      <c r="E302" s="22"/>
      <c r="F302" s="22"/>
      <c r="G302" s="22"/>
      <c r="H302" s="22"/>
      <c r="I302" s="22"/>
      <c r="J302" s="22"/>
      <c r="K302" s="22"/>
      <c r="L302" s="2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row>
    <row r="303" spans="1:39" ht="15" customHeight="1" x14ac:dyDescent="0.15">
      <c r="A303" s="19"/>
      <c r="B303" s="22"/>
      <c r="C303" s="22"/>
      <c r="D303" s="22"/>
      <c r="E303" s="22"/>
      <c r="F303" s="22"/>
      <c r="G303" s="22"/>
      <c r="H303" s="22"/>
      <c r="I303" s="22"/>
      <c r="J303" s="22"/>
      <c r="K303" s="22"/>
      <c r="L303" s="22"/>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row>
    <row r="304" spans="1:39" ht="15" customHeight="1" x14ac:dyDescent="0.15">
      <c r="A304" s="19"/>
      <c r="B304" s="22"/>
      <c r="C304" s="22"/>
      <c r="D304" s="22"/>
      <c r="E304" s="22"/>
      <c r="F304" s="22"/>
      <c r="G304" s="22"/>
      <c r="H304" s="22"/>
      <c r="I304" s="22"/>
      <c r="J304" s="22"/>
      <c r="K304" s="22"/>
      <c r="L304" s="22"/>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row>
    <row r="305" spans="1:39" ht="15" customHeight="1" x14ac:dyDescent="0.15">
      <c r="A305" s="19"/>
      <c r="B305" s="22"/>
      <c r="C305" s="22"/>
      <c r="D305" s="22"/>
      <c r="E305" s="22"/>
      <c r="F305" s="22"/>
      <c r="G305" s="22"/>
      <c r="H305" s="22"/>
      <c r="I305" s="22"/>
      <c r="J305" s="22"/>
      <c r="K305" s="22"/>
      <c r="L305" s="22"/>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row>
    <row r="306" spans="1:39" ht="15" customHeight="1" x14ac:dyDescent="0.15">
      <c r="A306" s="19"/>
      <c r="B306" s="22"/>
      <c r="C306" s="22"/>
      <c r="D306" s="22"/>
      <c r="E306" s="22"/>
      <c r="F306" s="22"/>
      <c r="G306" s="22"/>
      <c r="H306" s="22"/>
      <c r="I306" s="22"/>
      <c r="J306" s="22"/>
      <c r="K306" s="22"/>
      <c r="L306" s="22"/>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row>
    <row r="307" spans="1:39" ht="15" customHeight="1" x14ac:dyDescent="0.15">
      <c r="A307" s="19"/>
      <c r="B307" s="22"/>
      <c r="C307" s="22"/>
      <c r="D307" s="22"/>
      <c r="E307" s="22"/>
      <c r="F307" s="22"/>
      <c r="G307" s="22"/>
      <c r="H307" s="22"/>
      <c r="I307" s="22"/>
      <c r="J307" s="22"/>
      <c r="K307" s="22"/>
      <c r="L307" s="22"/>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row>
    <row r="308" spans="1:39" ht="15" customHeight="1" x14ac:dyDescent="0.15">
      <c r="A308" s="19"/>
      <c r="B308" s="22"/>
      <c r="C308" s="22"/>
      <c r="D308" s="22"/>
      <c r="E308" s="22"/>
      <c r="F308" s="22"/>
      <c r="G308" s="22"/>
      <c r="H308" s="22"/>
      <c r="I308" s="22"/>
      <c r="J308" s="22"/>
      <c r="K308" s="22"/>
      <c r="L308" s="22"/>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row>
    <row r="309" spans="1:39" ht="15" customHeight="1" x14ac:dyDescent="0.15">
      <c r="A309" s="19"/>
      <c r="B309" s="22"/>
      <c r="C309" s="22"/>
      <c r="D309" s="19"/>
      <c r="E309" s="22"/>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row>
    <row r="310" spans="1:39" ht="15" customHeight="1" x14ac:dyDescent="0.1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row>
    <row r="311" spans="1:39" ht="15" customHeight="1" x14ac:dyDescent="0.15">
      <c r="A311" s="19"/>
      <c r="B311" s="22"/>
      <c r="C311" s="22"/>
      <c r="D311" s="22"/>
      <c r="E311" s="22"/>
      <c r="F311" s="22"/>
      <c r="G311" s="22"/>
      <c r="H311" s="22"/>
      <c r="I311" s="22"/>
      <c r="J311" s="22"/>
      <c r="K311" s="22"/>
      <c r="L311" s="2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row>
    <row r="312" spans="1:39" ht="15" customHeight="1" x14ac:dyDescent="0.15">
      <c r="A312" s="19"/>
      <c r="B312" s="22"/>
      <c r="C312" s="22"/>
      <c r="D312" s="22"/>
      <c r="E312" s="22"/>
      <c r="F312" s="22"/>
      <c r="G312" s="22"/>
      <c r="H312" s="22"/>
      <c r="I312" s="22"/>
      <c r="J312" s="22"/>
      <c r="K312" s="22"/>
      <c r="L312" s="2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row>
    <row r="313" spans="1:39" ht="15" customHeight="1" x14ac:dyDescent="0.15">
      <c r="A313" s="28"/>
      <c r="B313" s="22"/>
      <c r="C313" s="22"/>
      <c r="D313" s="22"/>
      <c r="E313" s="22"/>
      <c r="F313" s="22"/>
      <c r="G313" s="22"/>
      <c r="H313" s="22"/>
      <c r="I313" s="22"/>
      <c r="J313" s="22"/>
      <c r="K313" s="22"/>
      <c r="L313" s="2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row>
    <row r="314" spans="1:39" ht="15" customHeight="1" x14ac:dyDescent="0.15">
      <c r="A314" s="19"/>
      <c r="B314" s="22"/>
      <c r="C314" s="22"/>
      <c r="D314" s="22"/>
      <c r="E314" s="22"/>
      <c r="F314" s="22"/>
      <c r="G314" s="22"/>
      <c r="H314" s="22"/>
      <c r="I314" s="22"/>
      <c r="J314" s="22"/>
      <c r="K314" s="22"/>
      <c r="L314" s="2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row>
    <row r="315" spans="1:39" ht="15" customHeight="1" x14ac:dyDescent="0.15">
      <c r="A315" s="19"/>
      <c r="B315" s="22"/>
      <c r="C315" s="29"/>
      <c r="D315" s="29"/>
      <c r="E315" s="22"/>
      <c r="F315" s="29"/>
      <c r="G315" s="22"/>
      <c r="H315" s="29"/>
      <c r="I315" s="22"/>
      <c r="J315" s="22"/>
      <c r="K315" s="22"/>
      <c r="L315" s="2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row>
    <row r="316" spans="1:39" ht="15" customHeight="1" x14ac:dyDescent="0.15">
      <c r="A316" s="19"/>
      <c r="B316" s="22"/>
      <c r="C316" s="22"/>
      <c r="D316" s="22"/>
      <c r="E316" s="22"/>
      <c r="F316" s="22"/>
      <c r="G316" s="22"/>
      <c r="H316" s="22"/>
      <c r="I316" s="22"/>
      <c r="J316" s="22"/>
      <c r="K316" s="22"/>
      <c r="L316" s="22"/>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row>
    <row r="317" spans="1:39" ht="15" customHeight="1" x14ac:dyDescent="0.15">
      <c r="A317" s="19"/>
      <c r="B317" s="22"/>
      <c r="C317" s="22"/>
      <c r="D317" s="22"/>
      <c r="E317" s="22"/>
      <c r="F317" s="22"/>
      <c r="G317" s="22"/>
      <c r="H317" s="22"/>
      <c r="I317" s="22"/>
      <c r="J317" s="22"/>
      <c r="K317" s="22"/>
      <c r="L317" s="22"/>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row>
    <row r="318" spans="1:39" ht="15" customHeight="1" x14ac:dyDescent="0.15">
      <c r="A318" s="19"/>
      <c r="B318" s="22"/>
      <c r="C318" s="22"/>
      <c r="D318" s="22"/>
      <c r="E318" s="22"/>
      <c r="F318" s="22"/>
      <c r="G318" s="22"/>
      <c r="H318" s="22"/>
      <c r="I318" s="22"/>
      <c r="J318" s="22"/>
      <c r="K318" s="22"/>
      <c r="L318" s="22"/>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row>
    <row r="319" spans="1:39" ht="15" customHeight="1" x14ac:dyDescent="0.15">
      <c r="A319" s="19"/>
      <c r="B319" s="22"/>
      <c r="C319" s="22"/>
      <c r="D319" s="22"/>
      <c r="E319" s="22"/>
      <c r="F319" s="22"/>
      <c r="G319" s="22"/>
      <c r="H319" s="22"/>
      <c r="I319" s="22"/>
      <c r="J319" s="22"/>
      <c r="K319" s="22"/>
      <c r="L319" s="22"/>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row>
    <row r="320" spans="1:39" ht="15" customHeight="1" x14ac:dyDescent="0.15">
      <c r="A320" s="19"/>
      <c r="B320" s="22"/>
      <c r="C320" s="22"/>
      <c r="D320" s="22"/>
      <c r="E320" s="22"/>
      <c r="F320" s="22"/>
      <c r="G320" s="22"/>
      <c r="H320" s="22"/>
      <c r="I320" s="22"/>
      <c r="J320" s="22"/>
      <c r="K320" s="22"/>
      <c r="L320" s="22"/>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row>
    <row r="321" spans="1:39" ht="15" customHeight="1" x14ac:dyDescent="0.15">
      <c r="A321" s="19"/>
      <c r="B321" s="22"/>
      <c r="C321" s="29"/>
      <c r="D321" s="29"/>
      <c r="E321" s="22"/>
      <c r="F321" s="29"/>
      <c r="G321" s="29"/>
      <c r="H321" s="29"/>
      <c r="I321" s="29"/>
      <c r="J321" s="22"/>
      <c r="K321" s="29"/>
      <c r="L321" s="2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row>
    <row r="322" spans="1:39" ht="15" customHeight="1" x14ac:dyDescent="0.15">
      <c r="A322" s="19"/>
      <c r="B322" s="22"/>
      <c r="C322" s="22"/>
      <c r="D322" s="19"/>
      <c r="E322" s="22"/>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row>
    <row r="323" spans="1:39" ht="15" customHeight="1" x14ac:dyDescent="0.1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row>
    <row r="324" spans="1:39" ht="15" customHeight="1" x14ac:dyDescent="0.15">
      <c r="A324" s="19"/>
      <c r="B324" s="22"/>
      <c r="C324" s="22"/>
      <c r="D324" s="22"/>
      <c r="E324" s="22"/>
      <c r="F324" s="22"/>
      <c r="G324" s="22"/>
      <c r="H324" s="22"/>
      <c r="I324" s="22"/>
      <c r="J324" s="22"/>
      <c r="K324" s="22"/>
      <c r="L324" s="2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row>
    <row r="325" spans="1:39" ht="15" customHeight="1" x14ac:dyDescent="0.15">
      <c r="A325" s="19"/>
      <c r="B325" s="22"/>
      <c r="C325" s="22"/>
      <c r="D325" s="22"/>
      <c r="E325" s="22"/>
      <c r="F325" s="22"/>
      <c r="G325" s="22"/>
      <c r="H325" s="22"/>
      <c r="I325" s="22"/>
      <c r="J325" s="22"/>
      <c r="K325" s="22"/>
      <c r="L325" s="22"/>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row>
    <row r="326" spans="1:39" ht="15" customHeight="1" x14ac:dyDescent="0.15">
      <c r="A326" s="28"/>
      <c r="B326" s="22"/>
      <c r="C326" s="22"/>
      <c r="D326" s="22"/>
      <c r="E326" s="22"/>
      <c r="F326" s="22"/>
      <c r="G326" s="22"/>
      <c r="H326" s="22"/>
      <c r="I326" s="22"/>
      <c r="J326" s="22"/>
      <c r="K326" s="22"/>
      <c r="L326" s="22"/>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row>
    <row r="327" spans="1:39" ht="15" customHeight="1" x14ac:dyDescent="0.15">
      <c r="A327" s="19"/>
      <c r="B327" s="22"/>
      <c r="C327" s="22"/>
      <c r="D327" s="22"/>
      <c r="E327" s="22"/>
      <c r="F327" s="22"/>
      <c r="G327" s="22"/>
      <c r="H327" s="22"/>
      <c r="I327" s="22"/>
      <c r="J327" s="22"/>
      <c r="K327" s="22"/>
      <c r="L327" s="22"/>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row>
    <row r="328" spans="1:39" ht="15" customHeight="1" x14ac:dyDescent="0.15">
      <c r="A328" s="19"/>
      <c r="B328" s="22"/>
      <c r="C328" s="22"/>
      <c r="D328" s="22"/>
      <c r="E328" s="22"/>
      <c r="F328" s="22"/>
      <c r="G328" s="22"/>
      <c r="H328" s="22"/>
      <c r="I328" s="22"/>
      <c r="J328" s="22"/>
      <c r="K328" s="22"/>
      <c r="L328" s="22"/>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row>
    <row r="329" spans="1:39" ht="15" customHeight="1" x14ac:dyDescent="0.15">
      <c r="A329" s="19"/>
      <c r="B329" s="22"/>
      <c r="C329" s="29"/>
      <c r="D329" s="22"/>
      <c r="E329" s="22"/>
      <c r="F329" s="29"/>
      <c r="G329" s="29"/>
      <c r="H329" s="29"/>
      <c r="I329" s="22"/>
      <c r="J329" s="22"/>
      <c r="K329" s="29"/>
      <c r="L329" s="2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row>
    <row r="330" spans="1:39" ht="15" customHeight="1" x14ac:dyDescent="0.15">
      <c r="A330" s="19"/>
      <c r="B330" s="22"/>
      <c r="C330" s="22"/>
      <c r="D330" s="29"/>
      <c r="E330" s="22"/>
      <c r="F330" s="29"/>
      <c r="G330" s="29"/>
      <c r="H330" s="29"/>
      <c r="I330" s="29"/>
      <c r="J330" s="22"/>
      <c r="K330" s="29"/>
      <c r="L330" s="2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row>
    <row r="331" spans="1:39" ht="15" customHeight="1" x14ac:dyDescent="0.1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row>
    <row r="332" spans="1:39" ht="15" customHeight="1" x14ac:dyDescent="0.15">
      <c r="A332" s="19"/>
      <c r="B332" s="22"/>
      <c r="C332" s="22"/>
      <c r="D332" s="22"/>
      <c r="E332" s="22"/>
      <c r="F332" s="22"/>
      <c r="G332" s="22"/>
      <c r="H332" s="22"/>
      <c r="I332" s="22"/>
      <c r="J332" s="22"/>
      <c r="K332" s="22"/>
      <c r="L332" s="2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row>
    <row r="333" spans="1:39" ht="15" customHeight="1" x14ac:dyDescent="0.15">
      <c r="A333" s="31"/>
      <c r="B333" s="22"/>
      <c r="C333" s="22"/>
      <c r="D333" s="22"/>
      <c r="E333" s="22"/>
      <c r="F333" s="22"/>
      <c r="G333" s="22"/>
      <c r="H333" s="22"/>
      <c r="I333" s="22"/>
      <c r="J333" s="22"/>
      <c r="K333" s="22"/>
      <c r="L333" s="22"/>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row>
    <row r="334" spans="1:39" ht="15" customHeight="1" x14ac:dyDescent="0.15">
      <c r="A334" s="28"/>
      <c r="B334" s="22"/>
      <c r="C334" s="22"/>
      <c r="D334" s="22"/>
      <c r="E334" s="22"/>
      <c r="F334" s="22"/>
      <c r="G334" s="22"/>
      <c r="H334" s="22"/>
      <c r="I334" s="22"/>
      <c r="J334" s="22"/>
      <c r="K334" s="22"/>
      <c r="L334" s="22"/>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row>
    <row r="335" spans="1:39" ht="15" customHeight="1" x14ac:dyDescent="0.15">
      <c r="A335" s="19"/>
      <c r="B335" s="22"/>
      <c r="C335" s="22"/>
      <c r="D335" s="22"/>
      <c r="E335" s="22"/>
      <c r="F335" s="22"/>
      <c r="G335" s="22"/>
      <c r="H335" s="22"/>
      <c r="I335" s="22"/>
      <c r="J335" s="22"/>
      <c r="K335" s="22"/>
      <c r="L335" s="22"/>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row>
    <row r="336" spans="1:39" ht="15" customHeight="1" x14ac:dyDescent="0.15">
      <c r="A336" s="19"/>
      <c r="B336" s="22"/>
      <c r="C336" s="22"/>
      <c r="D336" s="22"/>
      <c r="E336" s="22"/>
      <c r="F336" s="22"/>
      <c r="G336" s="22"/>
      <c r="H336" s="22"/>
      <c r="I336" s="22"/>
      <c r="J336" s="22"/>
      <c r="K336" s="22"/>
      <c r="L336" s="22"/>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row>
    <row r="337" spans="1:39" ht="15" customHeight="1" x14ac:dyDescent="0.15">
      <c r="A337" s="19"/>
      <c r="B337" s="22"/>
      <c r="C337" s="22"/>
      <c r="D337" s="22"/>
      <c r="E337" s="22"/>
      <c r="F337" s="22"/>
      <c r="G337" s="22"/>
      <c r="H337" s="22"/>
      <c r="I337" s="22"/>
      <c r="J337" s="22"/>
      <c r="K337" s="22"/>
      <c r="L337" s="22"/>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row>
    <row r="338" spans="1:39" ht="15" customHeight="1" x14ac:dyDescent="0.15">
      <c r="A338" s="19"/>
      <c r="B338" s="22"/>
      <c r="C338" s="22"/>
      <c r="D338" s="22"/>
      <c r="E338" s="22"/>
      <c r="F338" s="22"/>
      <c r="G338" s="22"/>
      <c r="H338" s="22"/>
      <c r="I338" s="22"/>
      <c r="J338" s="22"/>
      <c r="K338" s="22"/>
      <c r="L338" s="22"/>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row>
    <row r="339" spans="1:39" ht="15" customHeight="1" x14ac:dyDescent="0.15">
      <c r="A339" s="19"/>
      <c r="B339" s="22"/>
      <c r="C339" s="22"/>
      <c r="D339" s="19"/>
      <c r="E339" s="22"/>
      <c r="F339" s="22"/>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row>
    <row r="340" spans="1:39" ht="15" customHeight="1" x14ac:dyDescent="0.15">
      <c r="A340" s="19"/>
      <c r="B340" s="22"/>
      <c r="C340" s="22"/>
      <c r="D340" s="19"/>
      <c r="E340" s="22"/>
      <c r="F340" s="22"/>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row>
    <row r="341" spans="1:39" ht="15" customHeight="1" x14ac:dyDescent="0.15">
      <c r="A341" s="19"/>
      <c r="B341" s="22"/>
      <c r="C341" s="22"/>
      <c r="D341" s="22"/>
      <c r="E341" s="22"/>
      <c r="F341" s="22"/>
      <c r="G341" s="22"/>
      <c r="H341" s="22"/>
      <c r="I341" s="22"/>
      <c r="J341" s="22"/>
      <c r="K341" s="22"/>
      <c r="L341" s="2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row>
    <row r="342" spans="1:39" ht="15" customHeight="1" x14ac:dyDescent="0.15">
      <c r="A342" s="19"/>
      <c r="B342" s="22"/>
      <c r="C342" s="22"/>
      <c r="D342" s="22"/>
      <c r="E342" s="22"/>
      <c r="F342" s="22"/>
      <c r="G342" s="22"/>
      <c r="H342" s="22"/>
      <c r="I342" s="22"/>
      <c r="J342" s="22"/>
      <c r="K342" s="22"/>
      <c r="L342" s="22"/>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row>
    <row r="343" spans="1:39" ht="15" customHeight="1" x14ac:dyDescent="0.15">
      <c r="A343" s="28"/>
      <c r="B343" s="22"/>
      <c r="C343" s="22"/>
      <c r="D343" s="22"/>
      <c r="E343" s="22"/>
      <c r="F343" s="22"/>
      <c r="G343" s="22"/>
      <c r="H343" s="22"/>
      <c r="I343" s="22"/>
      <c r="J343" s="22"/>
      <c r="K343" s="22"/>
      <c r="L343" s="22"/>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row>
    <row r="344" spans="1:39" ht="15" customHeight="1" x14ac:dyDescent="0.15">
      <c r="A344" s="19"/>
      <c r="B344" s="22"/>
      <c r="C344" s="22"/>
      <c r="D344" s="22"/>
      <c r="E344" s="22"/>
      <c r="F344" s="22"/>
      <c r="G344" s="22"/>
      <c r="H344" s="22"/>
      <c r="I344" s="22"/>
      <c r="J344" s="22"/>
      <c r="K344" s="22"/>
      <c r="L344" s="22"/>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row>
    <row r="345" spans="1:39" ht="15" customHeight="1" x14ac:dyDescent="0.15">
      <c r="A345" s="19"/>
      <c r="B345" s="22"/>
      <c r="C345" s="22"/>
      <c r="D345" s="22"/>
      <c r="E345" s="22"/>
      <c r="F345" s="22"/>
      <c r="G345" s="22"/>
      <c r="H345" s="22"/>
      <c r="I345" s="22"/>
      <c r="J345" s="22"/>
      <c r="K345" s="22"/>
      <c r="L345" s="22"/>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row>
    <row r="346" spans="1:39" ht="15" customHeight="1" x14ac:dyDescent="0.15">
      <c r="A346" s="19"/>
      <c r="B346" s="22"/>
      <c r="C346" s="22"/>
      <c r="D346" s="22"/>
      <c r="E346" s="22"/>
      <c r="F346" s="22"/>
      <c r="G346" s="22"/>
      <c r="H346" s="22"/>
      <c r="I346" s="22"/>
      <c r="J346" s="22"/>
      <c r="K346" s="22"/>
      <c r="L346" s="22"/>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row>
    <row r="347" spans="1:39" ht="15" customHeight="1" x14ac:dyDescent="0.15">
      <c r="A347" s="19"/>
      <c r="B347" s="22"/>
      <c r="C347" s="29"/>
      <c r="D347" s="29"/>
      <c r="E347" s="22"/>
      <c r="F347" s="22"/>
      <c r="G347" s="22"/>
      <c r="H347" s="22"/>
      <c r="I347" s="22"/>
      <c r="J347" s="22"/>
      <c r="K347" s="22"/>
      <c r="L347" s="22"/>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row>
    <row r="348" spans="1:39" ht="15" customHeight="1" x14ac:dyDescent="0.15">
      <c r="A348" s="19"/>
      <c r="B348" s="22"/>
      <c r="C348" s="22"/>
      <c r="D348" s="19"/>
      <c r="E348" s="22"/>
      <c r="F348" s="22"/>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row>
    <row r="349" spans="1:39" ht="15" customHeight="1" x14ac:dyDescent="0.1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row>
    <row r="350" spans="1:39" ht="15" customHeight="1" x14ac:dyDescent="0.15">
      <c r="A350" s="19"/>
      <c r="B350" s="22"/>
      <c r="C350" s="22"/>
      <c r="D350" s="22"/>
      <c r="E350" s="22"/>
      <c r="F350" s="22"/>
      <c r="G350" s="22"/>
      <c r="H350" s="22"/>
      <c r="I350" s="22"/>
      <c r="J350" s="22"/>
      <c r="K350" s="22"/>
      <c r="L350" s="2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row>
    <row r="351" spans="1:39" ht="15" customHeight="1" x14ac:dyDescent="0.15">
      <c r="A351" s="19"/>
      <c r="B351" s="22"/>
      <c r="C351" s="22"/>
      <c r="D351" s="22"/>
      <c r="E351" s="22"/>
      <c r="F351" s="22"/>
      <c r="G351" s="22"/>
      <c r="H351" s="22"/>
      <c r="I351" s="22"/>
      <c r="J351" s="22"/>
      <c r="K351" s="22"/>
      <c r="L351" s="22"/>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row>
    <row r="352" spans="1:39" ht="15" customHeight="1" x14ac:dyDescent="0.15">
      <c r="A352" s="28"/>
      <c r="B352" s="22"/>
      <c r="C352" s="22"/>
      <c r="D352" s="22"/>
      <c r="E352" s="22"/>
      <c r="F352" s="22"/>
      <c r="G352" s="22"/>
      <c r="H352" s="22"/>
      <c r="I352" s="22"/>
      <c r="J352" s="22"/>
      <c r="K352" s="22"/>
      <c r="L352" s="22"/>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row>
    <row r="353" spans="1:39" ht="15" customHeight="1" x14ac:dyDescent="0.15">
      <c r="A353" s="19"/>
      <c r="B353" s="22"/>
      <c r="C353" s="22"/>
      <c r="D353" s="22"/>
      <c r="E353" s="22"/>
      <c r="F353" s="22"/>
      <c r="G353" s="22"/>
      <c r="H353" s="22"/>
      <c r="I353" s="22"/>
      <c r="J353" s="22"/>
      <c r="K353" s="22"/>
      <c r="L353" s="22"/>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row>
    <row r="354" spans="1:39" ht="15" customHeight="1" x14ac:dyDescent="0.15">
      <c r="A354" s="19"/>
      <c r="B354" s="22"/>
      <c r="C354" s="22"/>
      <c r="D354" s="22"/>
      <c r="E354" s="22"/>
      <c r="F354" s="22"/>
      <c r="G354" s="22"/>
      <c r="H354" s="22"/>
      <c r="I354" s="22"/>
      <c r="J354" s="22"/>
      <c r="K354" s="22"/>
      <c r="L354" s="22"/>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row>
    <row r="355" spans="1:39" ht="15" customHeight="1" x14ac:dyDescent="0.15">
      <c r="A355" s="19"/>
      <c r="B355" s="22"/>
      <c r="C355" s="22"/>
      <c r="D355" s="22"/>
      <c r="E355" s="22"/>
      <c r="F355" s="22"/>
      <c r="G355" s="22"/>
      <c r="H355" s="22"/>
      <c r="I355" s="22"/>
      <c r="J355" s="22"/>
      <c r="K355" s="22"/>
      <c r="L355" s="22"/>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row>
    <row r="356" spans="1:39" ht="15" customHeight="1" x14ac:dyDescent="0.15">
      <c r="A356" s="19"/>
      <c r="B356" s="22"/>
      <c r="C356" s="22"/>
      <c r="D356" s="22"/>
      <c r="E356" s="22"/>
      <c r="F356" s="22"/>
      <c r="G356" s="22"/>
      <c r="H356" s="22"/>
      <c r="I356" s="22"/>
      <c r="J356" s="22"/>
      <c r="K356" s="22"/>
      <c r="L356" s="22"/>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row>
    <row r="357" spans="1:39" ht="15" customHeight="1" x14ac:dyDescent="0.15">
      <c r="A357" s="19"/>
      <c r="B357" s="22"/>
      <c r="C357" s="22"/>
      <c r="D357" s="22"/>
      <c r="E357" s="22"/>
      <c r="F357" s="22"/>
      <c r="G357" s="22"/>
      <c r="H357" s="22"/>
      <c r="I357" s="22"/>
      <c r="J357" s="22"/>
      <c r="K357" s="22"/>
      <c r="L357" s="22"/>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row>
    <row r="358" spans="1:39" ht="15" customHeight="1" x14ac:dyDescent="0.15">
      <c r="A358" s="19"/>
      <c r="B358" s="22"/>
      <c r="C358" s="22"/>
      <c r="D358" s="22"/>
      <c r="E358" s="22"/>
      <c r="F358" s="22"/>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row>
    <row r="359" spans="1:39" ht="15" customHeight="1" x14ac:dyDescent="0.1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row>
    <row r="360" spans="1:39" ht="15" customHeight="1" x14ac:dyDescent="0.15">
      <c r="A360" s="19"/>
      <c r="B360" s="22"/>
      <c r="C360" s="22"/>
      <c r="D360" s="22"/>
      <c r="E360" s="22"/>
      <c r="F360" s="22"/>
      <c r="G360" s="22"/>
      <c r="H360" s="22"/>
      <c r="I360" s="22"/>
      <c r="J360" s="22"/>
      <c r="K360" s="22"/>
      <c r="L360" s="2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row>
    <row r="361" spans="1:39" ht="15" customHeight="1" x14ac:dyDescent="0.15">
      <c r="A361" s="19"/>
      <c r="B361" s="22"/>
      <c r="C361" s="22"/>
      <c r="D361" s="22"/>
      <c r="E361" s="22"/>
      <c r="F361" s="22"/>
      <c r="G361" s="22"/>
      <c r="H361" s="22"/>
      <c r="I361" s="22"/>
      <c r="J361" s="22"/>
      <c r="K361" s="22"/>
      <c r="L361" s="22"/>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row>
    <row r="362" spans="1:39" ht="15" customHeight="1" x14ac:dyDescent="0.15">
      <c r="A362" s="28"/>
      <c r="B362" s="22"/>
      <c r="C362" s="22"/>
      <c r="D362" s="22"/>
      <c r="E362" s="22"/>
      <c r="F362" s="22"/>
      <c r="G362" s="22"/>
      <c r="H362" s="22"/>
      <c r="I362" s="22"/>
      <c r="J362" s="22"/>
      <c r="K362" s="22"/>
      <c r="L362" s="22"/>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row>
    <row r="363" spans="1:39" ht="15" customHeight="1" x14ac:dyDescent="0.15">
      <c r="A363" s="19"/>
      <c r="B363" s="22"/>
      <c r="C363" s="22"/>
      <c r="D363" s="22"/>
      <c r="E363" s="22"/>
      <c r="F363" s="22"/>
      <c r="G363" s="22"/>
      <c r="H363" s="22"/>
      <c r="I363" s="22"/>
      <c r="J363" s="22"/>
      <c r="K363" s="22"/>
      <c r="L363" s="22"/>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row>
    <row r="364" spans="1:39" ht="15" customHeight="1" x14ac:dyDescent="0.15">
      <c r="A364" s="19"/>
      <c r="B364" s="22"/>
      <c r="C364" s="22"/>
      <c r="D364" s="22"/>
      <c r="E364" s="22"/>
      <c r="F364" s="22"/>
      <c r="G364" s="22"/>
      <c r="H364" s="22"/>
      <c r="I364" s="22"/>
      <c r="J364" s="22"/>
      <c r="K364" s="22"/>
      <c r="L364" s="22"/>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row>
    <row r="365" spans="1:39" ht="15" customHeight="1" x14ac:dyDescent="0.15">
      <c r="A365" s="19"/>
      <c r="B365" s="22"/>
      <c r="C365" s="22"/>
      <c r="D365" s="22"/>
      <c r="E365" s="22"/>
      <c r="F365" s="22"/>
      <c r="G365" s="22"/>
      <c r="H365" s="22"/>
      <c r="I365" s="22"/>
      <c r="J365" s="22"/>
      <c r="K365" s="22"/>
      <c r="L365" s="22"/>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row>
    <row r="366" spans="1:39" ht="15" customHeight="1" x14ac:dyDescent="0.15">
      <c r="A366" s="19"/>
      <c r="B366" s="22"/>
      <c r="C366" s="22"/>
      <c r="D366" s="22"/>
      <c r="E366" s="22"/>
      <c r="F366" s="22"/>
      <c r="G366" s="22"/>
      <c r="H366" s="22"/>
      <c r="I366" s="22"/>
      <c r="J366" s="22"/>
      <c r="K366" s="22"/>
      <c r="L366" s="22"/>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row>
    <row r="367" spans="1:39" ht="15" customHeight="1" x14ac:dyDescent="0.15">
      <c r="A367" s="19"/>
      <c r="B367" s="22"/>
      <c r="C367" s="22"/>
      <c r="D367" s="22"/>
      <c r="E367" s="22"/>
      <c r="F367" s="22"/>
      <c r="G367" s="22"/>
      <c r="H367" s="22"/>
      <c r="I367" s="22"/>
      <c r="J367" s="22"/>
      <c r="K367" s="22"/>
      <c r="L367" s="22"/>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row>
    <row r="368" spans="1:39" ht="15" customHeight="1" x14ac:dyDescent="0.15">
      <c r="A368" s="19"/>
      <c r="B368" s="22"/>
      <c r="C368" s="29"/>
      <c r="D368" s="29"/>
      <c r="E368" s="29"/>
      <c r="F368" s="29"/>
      <c r="G368" s="22"/>
      <c r="H368" s="22"/>
      <c r="I368" s="29"/>
      <c r="J368" s="29"/>
      <c r="K368" s="29"/>
      <c r="L368" s="22"/>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row>
    <row r="369" spans="1:39" ht="15" customHeight="1" x14ac:dyDescent="0.15">
      <c r="A369" s="19"/>
      <c r="B369" s="22"/>
      <c r="C369" s="22"/>
      <c r="D369" s="22"/>
      <c r="E369" s="22"/>
      <c r="F369" s="22"/>
      <c r="G369" s="22"/>
      <c r="H369" s="22"/>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row>
    <row r="370" spans="1:39" ht="15" customHeight="1" x14ac:dyDescent="0.1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row>
    <row r="371" spans="1:39" ht="15" customHeight="1" x14ac:dyDescent="0.15">
      <c r="A371" s="19"/>
      <c r="B371" s="22"/>
      <c r="C371" s="22"/>
      <c r="D371" s="22"/>
      <c r="E371" s="22"/>
      <c r="F371" s="22"/>
      <c r="G371" s="22"/>
      <c r="H371" s="22"/>
      <c r="I371" s="22"/>
      <c r="J371" s="22"/>
      <c r="K371" s="22"/>
      <c r="L371" s="2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row>
    <row r="372" spans="1:39" ht="15" customHeight="1" x14ac:dyDescent="0.15">
      <c r="A372" s="19"/>
      <c r="B372" s="22"/>
      <c r="C372" s="22"/>
      <c r="D372" s="22"/>
      <c r="E372" s="22"/>
      <c r="F372" s="22"/>
      <c r="G372" s="22"/>
      <c r="H372" s="22"/>
      <c r="I372" s="22"/>
      <c r="J372" s="22"/>
      <c r="K372" s="22"/>
      <c r="L372" s="22"/>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row>
    <row r="373" spans="1:39" ht="15" customHeight="1" x14ac:dyDescent="0.15">
      <c r="A373" s="28"/>
      <c r="B373" s="22"/>
      <c r="C373" s="22"/>
      <c r="D373" s="22"/>
      <c r="E373" s="22"/>
      <c r="F373" s="22"/>
      <c r="G373" s="22"/>
      <c r="H373" s="22"/>
      <c r="I373" s="22"/>
      <c r="J373" s="22"/>
      <c r="K373" s="22"/>
      <c r="L373" s="22"/>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row>
    <row r="374" spans="1:39" ht="15" customHeight="1" x14ac:dyDescent="0.15">
      <c r="A374" s="19"/>
      <c r="B374" s="22"/>
      <c r="C374" s="22"/>
      <c r="D374" s="22"/>
      <c r="E374" s="22"/>
      <c r="F374" s="22"/>
      <c r="G374" s="22"/>
      <c r="H374" s="22"/>
      <c r="I374" s="22"/>
      <c r="J374" s="22"/>
      <c r="K374" s="22"/>
      <c r="L374" s="22"/>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row>
    <row r="375" spans="1:39" ht="15" customHeight="1" x14ac:dyDescent="0.15">
      <c r="A375" s="19"/>
      <c r="B375" s="22"/>
      <c r="C375" s="22"/>
      <c r="D375" s="22"/>
      <c r="E375" s="22"/>
      <c r="F375" s="22"/>
      <c r="G375" s="22"/>
      <c r="H375" s="22"/>
      <c r="I375" s="22"/>
      <c r="J375" s="22"/>
      <c r="K375" s="22"/>
      <c r="L375" s="22"/>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row>
    <row r="376" spans="1:39" ht="15" customHeight="1" x14ac:dyDescent="0.15">
      <c r="A376" s="19"/>
      <c r="B376" s="22"/>
      <c r="C376" s="22"/>
      <c r="D376" s="22"/>
      <c r="E376" s="22"/>
      <c r="F376" s="22"/>
      <c r="G376" s="22"/>
      <c r="H376" s="22"/>
      <c r="I376" s="22"/>
      <c r="J376" s="22"/>
      <c r="K376" s="22"/>
      <c r="L376" s="22"/>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row>
    <row r="377" spans="1:39" ht="15" customHeight="1" x14ac:dyDescent="0.15">
      <c r="A377" s="19"/>
      <c r="B377" s="22"/>
      <c r="C377" s="22"/>
      <c r="D377" s="22"/>
      <c r="E377" s="22"/>
      <c r="F377" s="22"/>
      <c r="G377" s="22"/>
      <c r="H377" s="22"/>
      <c r="I377" s="22"/>
      <c r="J377" s="22"/>
      <c r="K377" s="22"/>
      <c r="L377" s="22"/>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row>
    <row r="378" spans="1:39" ht="15" customHeight="1" x14ac:dyDescent="0.15">
      <c r="A378" s="19"/>
      <c r="B378" s="22"/>
      <c r="C378" s="22"/>
      <c r="D378" s="22"/>
      <c r="E378" s="22"/>
      <c r="F378" s="22"/>
      <c r="G378" s="22"/>
      <c r="H378" s="22"/>
      <c r="I378" s="22"/>
      <c r="J378" s="22"/>
      <c r="K378" s="22"/>
      <c r="L378" s="22"/>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row>
    <row r="379" spans="1:39" ht="15" customHeight="1" x14ac:dyDescent="0.15">
      <c r="A379" s="19"/>
      <c r="B379" s="22"/>
      <c r="C379" s="22"/>
      <c r="D379" s="22"/>
      <c r="E379" s="22"/>
      <c r="F379" s="22"/>
      <c r="G379" s="22"/>
      <c r="H379" s="22"/>
      <c r="I379" s="22"/>
      <c r="J379" s="22"/>
      <c r="K379" s="22"/>
      <c r="L379" s="22"/>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row>
    <row r="380" spans="1:39" ht="15" customHeight="1" x14ac:dyDescent="0.15">
      <c r="A380" s="19"/>
      <c r="B380" s="22"/>
      <c r="C380" s="22"/>
      <c r="D380" s="22"/>
      <c r="E380" s="22"/>
      <c r="F380" s="22"/>
      <c r="G380" s="22"/>
      <c r="H380" s="22"/>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row>
    <row r="381" spans="1:39" ht="15" customHeight="1" x14ac:dyDescent="0.1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row>
    <row r="382" spans="1:39" ht="15" customHeight="1" x14ac:dyDescent="0.15">
      <c r="A382" s="19"/>
      <c r="B382" s="22"/>
      <c r="C382" s="22"/>
      <c r="D382" s="22"/>
      <c r="E382" s="22"/>
      <c r="F382" s="22"/>
      <c r="G382" s="22"/>
      <c r="H382" s="22"/>
      <c r="I382" s="22"/>
      <c r="J382" s="22"/>
      <c r="K382" s="22"/>
      <c r="L382" s="2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row>
    <row r="383" spans="1:39" ht="15" customHeight="1" x14ac:dyDescent="0.15">
      <c r="A383" s="31"/>
      <c r="B383" s="22"/>
      <c r="C383" s="22"/>
      <c r="D383" s="22"/>
      <c r="E383" s="22"/>
      <c r="F383" s="22"/>
      <c r="G383" s="22"/>
      <c r="H383" s="22"/>
      <c r="I383" s="22"/>
      <c r="J383" s="22"/>
      <c r="K383" s="22"/>
      <c r="L383" s="22"/>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row>
    <row r="384" spans="1:39" ht="15" customHeight="1" x14ac:dyDescent="0.15">
      <c r="A384" s="28"/>
      <c r="B384" s="22"/>
      <c r="C384" s="22"/>
      <c r="D384" s="22"/>
      <c r="E384" s="22"/>
      <c r="F384" s="22"/>
      <c r="G384" s="22"/>
      <c r="H384" s="22"/>
      <c r="I384" s="22"/>
      <c r="J384" s="22"/>
      <c r="K384" s="22"/>
      <c r="L384" s="22"/>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row>
    <row r="385" spans="1:39" ht="15" customHeight="1" x14ac:dyDescent="0.15">
      <c r="A385" s="19"/>
      <c r="B385" s="22"/>
      <c r="C385" s="22"/>
      <c r="D385" s="22"/>
      <c r="E385" s="22"/>
      <c r="F385" s="22"/>
      <c r="G385" s="22"/>
      <c r="H385" s="22"/>
      <c r="I385" s="22"/>
      <c r="J385" s="22"/>
      <c r="K385" s="22"/>
      <c r="L385" s="22"/>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row>
    <row r="386" spans="1:39" ht="15" customHeight="1" x14ac:dyDescent="0.15">
      <c r="A386" s="19"/>
      <c r="B386" s="22"/>
      <c r="C386" s="22"/>
      <c r="D386" s="22"/>
      <c r="E386" s="22"/>
      <c r="F386" s="22"/>
      <c r="G386" s="22"/>
      <c r="H386" s="22"/>
      <c r="I386" s="22"/>
      <c r="J386" s="22"/>
      <c r="K386" s="22"/>
      <c r="L386" s="22"/>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row>
    <row r="387" spans="1:39" ht="15" customHeight="1" x14ac:dyDescent="0.15">
      <c r="A387" s="19"/>
      <c r="B387" s="22"/>
      <c r="C387" s="22"/>
      <c r="D387" s="22"/>
      <c r="E387" s="22"/>
      <c r="F387" s="22"/>
      <c r="G387" s="22"/>
      <c r="H387" s="22"/>
      <c r="I387" s="22"/>
      <c r="J387" s="22"/>
      <c r="K387" s="22"/>
      <c r="L387" s="22"/>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row>
    <row r="388" spans="1:39" ht="15" customHeight="1" x14ac:dyDescent="0.15">
      <c r="A388" s="19"/>
      <c r="B388" s="22"/>
      <c r="C388" s="22"/>
      <c r="D388" s="22"/>
      <c r="E388" s="22"/>
      <c r="F388" s="22"/>
      <c r="G388" s="22"/>
      <c r="H388" s="22"/>
      <c r="I388" s="22"/>
      <c r="J388" s="22"/>
      <c r="K388" s="22"/>
      <c r="L388" s="22"/>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row>
    <row r="389" spans="1:39" ht="15" customHeight="1" x14ac:dyDescent="0.15">
      <c r="A389" s="19"/>
      <c r="B389" s="22"/>
      <c r="C389" s="22"/>
      <c r="D389" s="22"/>
      <c r="E389" s="22"/>
      <c r="F389" s="22"/>
      <c r="G389" s="22"/>
      <c r="H389" s="22"/>
      <c r="I389" s="22"/>
      <c r="J389" s="22"/>
      <c r="K389" s="22"/>
      <c r="L389" s="22"/>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row>
    <row r="390" spans="1:39" ht="15" customHeight="1" x14ac:dyDescent="0.15">
      <c r="A390" s="19"/>
      <c r="B390" s="22"/>
      <c r="C390" s="22"/>
      <c r="D390" s="22"/>
      <c r="E390" s="22"/>
      <c r="F390" s="22"/>
      <c r="G390" s="22"/>
      <c r="H390" s="22"/>
      <c r="I390" s="22"/>
      <c r="J390" s="22"/>
      <c r="K390" s="22"/>
      <c r="L390" s="22"/>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row>
    <row r="391" spans="1:39" ht="15" customHeight="1" x14ac:dyDescent="0.1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row>
    <row r="392" spans="1:39" ht="15" customHeight="1" x14ac:dyDescent="0.1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row>
    <row r="393" spans="1:39" ht="15" customHeight="1" x14ac:dyDescent="0.1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row>
    <row r="394" spans="1:39" ht="15" customHeight="1" x14ac:dyDescent="0.1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row>
    <row r="395" spans="1:39" ht="15" customHeight="1" x14ac:dyDescent="0.1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row>
    <row r="396" spans="1:39" ht="15" customHeight="1" x14ac:dyDescent="0.1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row>
    <row r="397" spans="1:39" ht="15" customHeight="1" x14ac:dyDescent="0.15">
      <c r="A397" s="28"/>
      <c r="B397" s="19"/>
      <c r="C397" s="19"/>
      <c r="D397" s="19"/>
      <c r="E397" s="260"/>
      <c r="F397" s="260"/>
      <c r="G397" s="260"/>
      <c r="H397" s="260"/>
      <c r="I397" s="19"/>
      <c r="J397" s="260"/>
      <c r="K397" s="260"/>
      <c r="L397" s="260"/>
      <c r="M397" s="260"/>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row>
    <row r="398" spans="1:39" ht="15" customHeight="1" x14ac:dyDescent="0.15">
      <c r="A398" s="19"/>
      <c r="B398" s="28"/>
      <c r="C398" s="22"/>
      <c r="D398" s="22"/>
      <c r="E398" s="22"/>
      <c r="F398" s="22"/>
      <c r="G398" s="22"/>
      <c r="H398" s="22"/>
      <c r="I398" s="22"/>
      <c r="J398" s="22"/>
      <c r="K398" s="22"/>
      <c r="L398" s="22"/>
      <c r="M398" s="22"/>
      <c r="N398" s="22"/>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row>
    <row r="399" spans="1:39" ht="15" customHeight="1" x14ac:dyDescent="0.15">
      <c r="A399" s="19"/>
      <c r="B399" s="31"/>
      <c r="C399" s="22"/>
      <c r="D399" s="22"/>
      <c r="E399" s="22"/>
      <c r="F399" s="22"/>
      <c r="G399" s="22"/>
      <c r="H399" s="22"/>
      <c r="I399" s="22"/>
      <c r="J399" s="22"/>
      <c r="K399" s="22"/>
      <c r="L399" s="22"/>
      <c r="M399" s="22"/>
      <c r="N399" s="22"/>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row>
    <row r="400" spans="1:39" ht="15" customHeight="1" x14ac:dyDescent="0.15">
      <c r="A400" s="19"/>
      <c r="B400" s="31"/>
      <c r="C400" s="22"/>
      <c r="D400" s="22"/>
      <c r="E400" s="22"/>
      <c r="F400" s="22"/>
      <c r="G400" s="22"/>
      <c r="H400" s="22"/>
      <c r="I400" s="22"/>
      <c r="J400" s="22"/>
      <c r="K400" s="22"/>
      <c r="L400" s="22"/>
      <c r="M400" s="22"/>
      <c r="N400" s="22"/>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row>
    <row r="401" spans="1:39" ht="15" customHeight="1" x14ac:dyDescent="0.15">
      <c r="A401" s="19"/>
      <c r="B401" s="31"/>
      <c r="C401" s="22"/>
      <c r="D401" s="22"/>
      <c r="E401" s="22"/>
      <c r="F401" s="22"/>
      <c r="G401" s="22"/>
      <c r="H401" s="22"/>
      <c r="I401" s="22"/>
      <c r="J401" s="22"/>
      <c r="K401" s="22"/>
      <c r="L401" s="22"/>
      <c r="M401" s="22"/>
      <c r="N401" s="22"/>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row>
    <row r="402" spans="1:39" ht="15" customHeight="1" x14ac:dyDescent="0.15">
      <c r="A402" s="19"/>
      <c r="B402" s="31"/>
      <c r="C402" s="22"/>
      <c r="D402" s="22"/>
      <c r="E402" s="29"/>
      <c r="F402" s="22"/>
      <c r="G402" s="29"/>
      <c r="H402" s="29"/>
      <c r="I402" s="29"/>
      <c r="J402" s="22"/>
      <c r="K402" s="22"/>
      <c r="L402" s="22"/>
      <c r="M402" s="22"/>
      <c r="N402" s="22"/>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row>
    <row r="403" spans="1:39" ht="15" customHeight="1" x14ac:dyDescent="0.15">
      <c r="A403" s="19"/>
      <c r="B403" s="31"/>
      <c r="C403" s="22"/>
      <c r="D403" s="22"/>
      <c r="E403" s="29"/>
      <c r="F403" s="22"/>
      <c r="G403" s="29"/>
      <c r="H403" s="29"/>
      <c r="I403" s="29"/>
      <c r="J403" s="22"/>
      <c r="K403" s="22"/>
      <c r="L403" s="22"/>
      <c r="M403" s="22"/>
      <c r="N403" s="22"/>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row>
    <row r="404" spans="1:39" ht="15" customHeight="1" x14ac:dyDescent="0.15">
      <c r="A404" s="19"/>
      <c r="B404" s="31"/>
      <c r="C404" s="22"/>
      <c r="D404" s="22"/>
      <c r="E404" s="22"/>
      <c r="F404" s="22"/>
      <c r="G404" s="22"/>
      <c r="H404" s="22"/>
      <c r="I404" s="22"/>
      <c r="J404" s="22"/>
      <c r="K404" s="22"/>
      <c r="L404" s="22"/>
      <c r="M404" s="22"/>
      <c r="N404" s="22"/>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row>
    <row r="405" spans="1:39" ht="15" customHeight="1" x14ac:dyDescent="0.15">
      <c r="A405" s="19"/>
      <c r="B405" s="31"/>
      <c r="C405" s="22"/>
      <c r="D405" s="22"/>
      <c r="E405" s="22"/>
      <c r="F405" s="22"/>
      <c r="G405" s="22"/>
      <c r="H405" s="22"/>
      <c r="I405" s="22"/>
      <c r="J405" s="22"/>
      <c r="K405" s="22"/>
      <c r="L405" s="22"/>
      <c r="M405" s="22"/>
      <c r="N405" s="22"/>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row>
    <row r="406" spans="1:39" ht="15" customHeight="1" x14ac:dyDescent="0.15">
      <c r="A406" s="19"/>
      <c r="B406" s="31"/>
      <c r="C406" s="22"/>
      <c r="D406" s="22"/>
      <c r="E406" s="22"/>
      <c r="F406" s="22"/>
      <c r="G406" s="22"/>
      <c r="H406" s="22"/>
      <c r="I406" s="22"/>
      <c r="J406" s="22"/>
      <c r="K406" s="22"/>
      <c r="L406" s="22"/>
      <c r="M406" s="22"/>
      <c r="N406" s="22"/>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row>
    <row r="407" spans="1:39" ht="15" customHeight="1" x14ac:dyDescent="0.15">
      <c r="A407" s="19"/>
      <c r="B407" s="31"/>
      <c r="C407" s="22"/>
      <c r="D407" s="22"/>
      <c r="E407" s="29"/>
      <c r="F407" s="22"/>
      <c r="G407" s="29"/>
      <c r="H407" s="29"/>
      <c r="I407" s="29"/>
      <c r="J407" s="22"/>
      <c r="K407" s="22"/>
      <c r="L407" s="22"/>
      <c r="M407" s="22"/>
      <c r="N407" s="22"/>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row>
    <row r="408" spans="1:39" ht="15" customHeight="1" x14ac:dyDescent="0.15">
      <c r="A408" s="19"/>
      <c r="B408" s="31"/>
      <c r="C408" s="22"/>
      <c r="D408" s="22"/>
      <c r="E408" s="29"/>
      <c r="F408" s="22"/>
      <c r="G408" s="29"/>
      <c r="H408" s="29"/>
      <c r="I408" s="29"/>
      <c r="J408" s="22"/>
      <c r="K408" s="22"/>
      <c r="L408" s="22"/>
      <c r="M408" s="22"/>
      <c r="N408" s="22"/>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row>
    <row r="409" spans="1:39" ht="15" customHeight="1" x14ac:dyDescent="0.15">
      <c r="A409" s="19"/>
      <c r="B409" s="19"/>
      <c r="C409" s="22"/>
      <c r="D409" s="22"/>
      <c r="E409" s="29"/>
      <c r="F409" s="22"/>
      <c r="G409" s="29"/>
      <c r="H409" s="29"/>
      <c r="I409" s="29"/>
      <c r="J409" s="22"/>
      <c r="K409" s="22"/>
      <c r="L409" s="22"/>
      <c r="M409" s="22"/>
      <c r="N409" s="22"/>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row>
    <row r="410" spans="1:39" ht="15" customHeight="1" x14ac:dyDescent="0.15">
      <c r="A410" s="19"/>
      <c r="B410" s="19"/>
      <c r="C410" s="22"/>
      <c r="D410" s="22"/>
      <c r="E410" s="29"/>
      <c r="F410" s="22"/>
      <c r="G410" s="29"/>
      <c r="H410" s="29"/>
      <c r="I410" s="29"/>
      <c r="J410" s="22"/>
      <c r="K410" s="22"/>
      <c r="L410" s="22"/>
      <c r="M410" s="22"/>
      <c r="N410" s="22"/>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row>
    <row r="411" spans="1:39" ht="15" customHeight="1" x14ac:dyDescent="0.15">
      <c r="A411" s="19"/>
      <c r="B411" s="19"/>
      <c r="C411" s="22"/>
      <c r="D411" s="22"/>
      <c r="E411" s="29"/>
      <c r="F411" s="22"/>
      <c r="G411" s="29"/>
      <c r="H411" s="29"/>
      <c r="I411" s="29"/>
      <c r="J411" s="22"/>
      <c r="K411" s="22"/>
      <c r="L411" s="22"/>
      <c r="M411" s="22"/>
      <c r="N411" s="22"/>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row>
    <row r="412" spans="1:39" ht="15" customHeight="1" x14ac:dyDescent="0.15">
      <c r="A412" s="19"/>
      <c r="B412" s="19"/>
      <c r="C412" s="22"/>
      <c r="D412" s="22"/>
      <c r="E412" s="29"/>
      <c r="F412" s="22"/>
      <c r="G412" s="29"/>
      <c r="H412" s="29"/>
      <c r="I412" s="29"/>
      <c r="J412" s="22"/>
      <c r="K412" s="22"/>
      <c r="L412" s="22"/>
      <c r="M412" s="22"/>
      <c r="N412" s="22"/>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row>
    <row r="413" spans="1:39" ht="15" customHeight="1" x14ac:dyDescent="0.15">
      <c r="A413" s="19"/>
      <c r="B413" s="19"/>
      <c r="C413" s="22"/>
      <c r="D413" s="22"/>
      <c r="E413" s="29"/>
      <c r="F413" s="22"/>
      <c r="G413" s="29"/>
      <c r="H413" s="29"/>
      <c r="I413" s="29"/>
      <c r="J413" s="22"/>
      <c r="K413" s="22"/>
      <c r="L413" s="22"/>
      <c r="M413" s="22"/>
      <c r="N413" s="22"/>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row>
    <row r="414" spans="1:39" ht="15" customHeight="1" x14ac:dyDescent="0.15">
      <c r="A414" s="19"/>
      <c r="B414" s="19"/>
      <c r="C414" s="22"/>
      <c r="D414" s="22"/>
      <c r="E414" s="29"/>
      <c r="F414" s="22"/>
      <c r="G414" s="29"/>
      <c r="H414" s="29"/>
      <c r="I414" s="29"/>
      <c r="J414" s="22"/>
      <c r="K414" s="22"/>
      <c r="L414" s="22"/>
      <c r="M414" s="22"/>
      <c r="N414" s="22"/>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row>
    <row r="415" spans="1:39" ht="15" customHeight="1" x14ac:dyDescent="0.15">
      <c r="A415" s="19"/>
      <c r="B415" s="31"/>
      <c r="C415" s="22"/>
      <c r="D415" s="22"/>
      <c r="E415" s="22"/>
      <c r="F415" s="22"/>
      <c r="G415" s="22"/>
      <c r="H415" s="22"/>
      <c r="I415" s="22"/>
      <c r="J415" s="22"/>
      <c r="K415" s="22"/>
      <c r="L415" s="22"/>
      <c r="M415" s="22"/>
      <c r="N415" s="22"/>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row>
    <row r="416" spans="1:39" ht="15" customHeight="1" x14ac:dyDescent="0.15">
      <c r="A416" s="19"/>
      <c r="B416" s="31"/>
      <c r="C416" s="22"/>
      <c r="D416" s="22"/>
      <c r="E416" s="22"/>
      <c r="F416" s="22"/>
      <c r="G416" s="22"/>
      <c r="H416" s="22"/>
      <c r="I416" s="22"/>
      <c r="J416" s="22"/>
      <c r="K416" s="22"/>
      <c r="L416" s="22"/>
      <c r="M416" s="22"/>
      <c r="N416" s="22"/>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row>
    <row r="417" spans="1:39" ht="15" customHeight="1" x14ac:dyDescent="0.15">
      <c r="A417" s="19"/>
      <c r="B417" s="31"/>
      <c r="C417" s="22"/>
      <c r="D417" s="22"/>
      <c r="E417" s="22"/>
      <c r="F417" s="22"/>
      <c r="G417" s="22"/>
      <c r="H417" s="22"/>
      <c r="I417" s="22"/>
      <c r="J417" s="22"/>
      <c r="K417" s="22"/>
      <c r="L417" s="22"/>
      <c r="M417" s="22"/>
      <c r="N417" s="22"/>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row>
    <row r="418" spans="1:39" ht="15" customHeight="1" x14ac:dyDescent="0.15">
      <c r="A418" s="19"/>
      <c r="B418" s="31"/>
      <c r="C418" s="22"/>
      <c r="D418" s="22"/>
      <c r="E418" s="22"/>
      <c r="F418" s="22"/>
      <c r="G418" s="22"/>
      <c r="H418" s="22"/>
      <c r="I418" s="22"/>
      <c r="J418" s="22"/>
      <c r="K418" s="22"/>
      <c r="L418" s="22"/>
      <c r="M418" s="22"/>
      <c r="N418" s="22"/>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row>
    <row r="419" spans="1:39" ht="15" customHeight="1" x14ac:dyDescent="0.15">
      <c r="A419" s="19"/>
      <c r="B419" s="31"/>
      <c r="C419" s="22"/>
      <c r="D419" s="22"/>
      <c r="E419" s="22"/>
      <c r="F419" s="22"/>
      <c r="G419" s="22"/>
      <c r="H419" s="22"/>
      <c r="I419" s="22"/>
      <c r="J419" s="22"/>
      <c r="K419" s="22"/>
      <c r="L419" s="22"/>
      <c r="M419" s="22"/>
      <c r="N419" s="22"/>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row>
    <row r="420" spans="1:39" ht="15" customHeight="1" x14ac:dyDescent="0.15">
      <c r="A420" s="19"/>
      <c r="B420" s="31"/>
      <c r="C420" s="22"/>
      <c r="D420" s="22"/>
      <c r="E420" s="22"/>
      <c r="F420" s="22"/>
      <c r="G420" s="22"/>
      <c r="H420" s="22"/>
      <c r="I420" s="22"/>
      <c r="J420" s="22"/>
      <c r="K420" s="22"/>
      <c r="L420" s="22"/>
      <c r="M420" s="22"/>
      <c r="N420" s="22"/>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row>
    <row r="421" spans="1:39" ht="15" customHeight="1" x14ac:dyDescent="0.15">
      <c r="A421" s="19"/>
      <c r="B421" s="31"/>
      <c r="C421" s="22"/>
      <c r="D421" s="22"/>
      <c r="E421" s="22"/>
      <c r="F421" s="22"/>
      <c r="G421" s="22"/>
      <c r="H421" s="22"/>
      <c r="I421" s="22"/>
      <c r="J421" s="22"/>
      <c r="K421" s="22"/>
      <c r="L421" s="22"/>
      <c r="M421" s="22"/>
      <c r="N421" s="22"/>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row>
    <row r="422" spans="1:39" ht="15" customHeight="1" x14ac:dyDescent="0.15">
      <c r="A422" s="19"/>
      <c r="B422" s="31"/>
      <c r="C422" s="22"/>
      <c r="D422" s="22"/>
      <c r="E422" s="22"/>
      <c r="F422" s="22"/>
      <c r="G422" s="22"/>
      <c r="H422" s="22"/>
      <c r="I422" s="22"/>
      <c r="J422" s="22"/>
      <c r="K422" s="22"/>
      <c r="L422" s="22"/>
      <c r="M422" s="22"/>
      <c r="N422" s="22"/>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row>
    <row r="423" spans="1:39" ht="15" customHeight="1" x14ac:dyDescent="0.1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row>
    <row r="424" spans="1:39" ht="15" customHeight="1" x14ac:dyDescent="0.1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row>
    <row r="425" spans="1:39" ht="15" customHeight="1" x14ac:dyDescent="0.1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row>
    <row r="426" spans="1:39" ht="15" customHeight="1" x14ac:dyDescent="0.1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row>
    <row r="427" spans="1:39" ht="15" customHeight="1" x14ac:dyDescent="0.15">
      <c r="A427" s="21"/>
      <c r="B427" s="19"/>
      <c r="C427" s="22"/>
      <c r="D427" s="22"/>
      <c r="E427" s="22"/>
      <c r="F427" s="22"/>
      <c r="G427" s="22"/>
      <c r="H427" s="22"/>
      <c r="I427" s="22"/>
      <c r="J427" s="22"/>
      <c r="K427" s="22"/>
      <c r="L427" s="2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row>
    <row r="428" spans="1:39" ht="15" customHeight="1" x14ac:dyDescent="0.15">
      <c r="A428" s="19"/>
      <c r="B428" s="19"/>
      <c r="C428" s="22"/>
      <c r="D428" s="22"/>
      <c r="E428" s="22"/>
      <c r="F428" s="22"/>
      <c r="G428" s="22"/>
      <c r="H428" s="22"/>
      <c r="I428" s="22"/>
      <c r="J428" s="22"/>
      <c r="K428" s="22"/>
      <c r="L428" s="22"/>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row>
    <row r="429" spans="1:39" ht="15" customHeight="1" x14ac:dyDescent="0.15">
      <c r="A429" s="19"/>
      <c r="B429" s="19"/>
      <c r="C429" s="22"/>
      <c r="D429" s="22"/>
      <c r="E429" s="22"/>
      <c r="F429" s="22"/>
      <c r="G429" s="22"/>
      <c r="H429" s="22"/>
      <c r="I429" s="22"/>
      <c r="J429" s="22"/>
      <c r="K429" s="22"/>
      <c r="L429" s="22"/>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row>
    <row r="430" spans="1:39" ht="15" customHeight="1" x14ac:dyDescent="0.15">
      <c r="A430" s="19"/>
      <c r="B430" s="19"/>
      <c r="C430" s="22"/>
      <c r="D430" s="22"/>
      <c r="E430" s="22"/>
      <c r="F430" s="22"/>
      <c r="G430" s="22"/>
      <c r="H430" s="22"/>
      <c r="I430" s="22"/>
      <c r="J430" s="22"/>
      <c r="K430" s="22"/>
      <c r="L430" s="22"/>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row>
    <row r="431" spans="1:39" ht="15" customHeight="1" x14ac:dyDescent="0.15">
      <c r="A431" s="19"/>
      <c r="B431" s="19"/>
      <c r="C431" s="22"/>
      <c r="D431" s="22"/>
      <c r="E431" s="22"/>
      <c r="F431" s="22"/>
      <c r="G431" s="22"/>
      <c r="H431" s="22"/>
      <c r="I431" s="22"/>
      <c r="J431" s="22"/>
      <c r="K431" s="22"/>
      <c r="L431" s="22"/>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row>
    <row r="432" spans="1:39" ht="15" customHeight="1" x14ac:dyDescent="0.15">
      <c r="A432" s="19"/>
      <c r="B432" s="19"/>
      <c r="C432" s="19"/>
      <c r="D432" s="22"/>
      <c r="E432" s="22"/>
      <c r="F432" s="22"/>
      <c r="G432" s="22"/>
      <c r="H432" s="22"/>
      <c r="I432" s="22"/>
      <c r="J432" s="22"/>
      <c r="K432" s="22"/>
      <c r="L432" s="22"/>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row>
    <row r="433" spans="1:39" ht="15" customHeight="1" x14ac:dyDescent="0.15">
      <c r="A433" s="19"/>
      <c r="B433" s="19"/>
      <c r="C433" s="19"/>
      <c r="D433" s="22"/>
      <c r="E433" s="22"/>
      <c r="F433" s="22"/>
      <c r="G433" s="22"/>
      <c r="H433" s="22"/>
      <c r="I433" s="22"/>
      <c r="J433" s="22"/>
      <c r="K433" s="22"/>
      <c r="L433" s="22"/>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row>
    <row r="434" spans="1:39" ht="15" customHeight="1" x14ac:dyDescent="0.15">
      <c r="A434" s="19"/>
      <c r="B434" s="19"/>
      <c r="C434" s="19"/>
      <c r="D434" s="22"/>
      <c r="E434" s="22"/>
      <c r="F434" s="22"/>
      <c r="G434" s="22"/>
      <c r="H434" s="22"/>
      <c r="I434" s="22"/>
      <c r="J434" s="22"/>
      <c r="K434" s="22"/>
      <c r="L434" s="22"/>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row>
    <row r="435" spans="1:39" ht="15" customHeight="1" x14ac:dyDescent="0.15">
      <c r="A435" s="19"/>
      <c r="B435" s="19"/>
      <c r="C435" s="19"/>
      <c r="D435" s="22"/>
      <c r="E435" s="22"/>
      <c r="F435" s="22"/>
      <c r="G435" s="22"/>
      <c r="H435" s="22"/>
      <c r="I435" s="22"/>
      <c r="J435" s="22"/>
      <c r="K435" s="22"/>
      <c r="L435" s="22"/>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row>
    <row r="436" spans="1:39" ht="15" customHeight="1" x14ac:dyDescent="0.15">
      <c r="A436" s="19"/>
      <c r="B436" s="19"/>
      <c r="C436" s="19"/>
      <c r="D436" s="22"/>
      <c r="E436" s="22"/>
      <c r="F436" s="22"/>
      <c r="G436" s="22"/>
      <c r="H436" s="22"/>
      <c r="I436" s="22"/>
      <c r="J436" s="22"/>
      <c r="K436" s="22"/>
      <c r="L436" s="22"/>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row>
    <row r="437" spans="1:39" ht="15" customHeight="1" x14ac:dyDescent="0.15">
      <c r="A437" s="19"/>
      <c r="B437" s="19"/>
      <c r="C437" s="19"/>
      <c r="D437" s="22"/>
      <c r="E437" s="22"/>
      <c r="F437" s="22"/>
      <c r="G437" s="22"/>
      <c r="H437" s="22"/>
      <c r="I437" s="22"/>
      <c r="J437" s="22"/>
      <c r="K437" s="22"/>
      <c r="L437" s="22"/>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row>
    <row r="438" spans="1:39" ht="15" customHeight="1" x14ac:dyDescent="0.15">
      <c r="A438" s="19"/>
      <c r="B438" s="19"/>
      <c r="C438" s="19"/>
      <c r="D438" s="22"/>
      <c r="E438" s="22"/>
      <c r="F438" s="22"/>
      <c r="G438" s="22"/>
      <c r="H438" s="22"/>
      <c r="I438" s="22"/>
      <c r="J438" s="22"/>
      <c r="K438" s="22"/>
      <c r="L438" s="22"/>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row>
    <row r="439" spans="1:39" ht="15" customHeight="1" x14ac:dyDescent="0.15">
      <c r="A439" s="19"/>
      <c r="B439" s="22"/>
      <c r="C439" s="22"/>
      <c r="D439" s="22"/>
      <c r="E439" s="22"/>
      <c r="F439" s="22"/>
      <c r="G439" s="22"/>
      <c r="H439" s="22"/>
      <c r="I439" s="22"/>
      <c r="J439" s="22"/>
      <c r="K439" s="22"/>
      <c r="L439" s="22"/>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row>
    <row r="440" spans="1:39" ht="15" customHeight="1" x14ac:dyDescent="0.1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row>
    <row r="441" spans="1:39" ht="15" customHeight="1" x14ac:dyDescent="0.1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row>
    <row r="442" spans="1:39" ht="15" customHeight="1" x14ac:dyDescent="0.1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row>
    <row r="443" spans="1:39" ht="15" customHeight="1" x14ac:dyDescent="0.1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row>
    <row r="444" spans="1:39" ht="15" customHeight="1" x14ac:dyDescent="0.15">
      <c r="A444" s="21"/>
      <c r="B444" s="22"/>
      <c r="C444" s="22"/>
      <c r="D444" s="22"/>
      <c r="E444" s="22"/>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row>
    <row r="445" spans="1:39" ht="15" customHeight="1" x14ac:dyDescent="0.15">
      <c r="A445" s="19"/>
      <c r="B445" s="32"/>
      <c r="C445" s="22"/>
      <c r="D445" s="22"/>
      <c r="E445" s="22"/>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row>
    <row r="446" spans="1:39" ht="15" customHeight="1" x14ac:dyDescent="0.15">
      <c r="A446" s="19"/>
      <c r="B446" s="32"/>
      <c r="C446" s="22"/>
      <c r="D446" s="22"/>
      <c r="E446" s="22"/>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row>
    <row r="447" spans="1:39" ht="15" customHeight="1" x14ac:dyDescent="0.15">
      <c r="A447" s="19"/>
      <c r="B447" s="32"/>
      <c r="C447" s="22"/>
      <c r="D447" s="22"/>
      <c r="E447" s="22"/>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row>
    <row r="448" spans="1:39" ht="15" customHeight="1" x14ac:dyDescent="0.15">
      <c r="A448" s="19"/>
      <c r="B448" s="32"/>
      <c r="C448" s="22"/>
      <c r="D448" s="22"/>
      <c r="E448" s="22"/>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row>
    <row r="449" spans="1:39" ht="15" customHeight="1" x14ac:dyDescent="0.15">
      <c r="A449" s="19"/>
      <c r="B449" s="32"/>
      <c r="C449" s="22"/>
      <c r="D449" s="22"/>
      <c r="E449" s="22"/>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row>
    <row r="450" spans="1:39" ht="15" customHeight="1" x14ac:dyDescent="0.15">
      <c r="A450" s="19"/>
      <c r="B450" s="32"/>
      <c r="C450" s="22"/>
      <c r="D450" s="22"/>
      <c r="E450" s="22"/>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row>
    <row r="451" spans="1:39" ht="15" customHeight="1" x14ac:dyDescent="0.15">
      <c r="A451" s="19"/>
      <c r="B451" s="22"/>
      <c r="C451" s="22"/>
      <c r="D451" s="22"/>
      <c r="E451" s="22"/>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row>
    <row r="452" spans="1:39" ht="15" customHeight="1" x14ac:dyDescent="0.1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row>
    <row r="453" spans="1:39" ht="15" customHeight="1" x14ac:dyDescent="0.1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row>
    <row r="454" spans="1:39" ht="15" customHeight="1" x14ac:dyDescent="0.1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row>
    <row r="455" spans="1:39" ht="15" customHeight="1" x14ac:dyDescent="0.1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row>
    <row r="456" spans="1:39" ht="15" customHeight="1" x14ac:dyDescent="0.15">
      <c r="A456" s="28"/>
      <c r="B456" s="19"/>
      <c r="C456" s="22"/>
      <c r="D456" s="22"/>
      <c r="E456" s="22"/>
      <c r="F456" s="22"/>
      <c r="G456" s="22"/>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row>
    <row r="457" spans="1:39" ht="15" customHeight="1" x14ac:dyDescent="0.15">
      <c r="A457" s="19"/>
      <c r="B457" s="19"/>
      <c r="C457" s="22"/>
      <c r="D457" s="22"/>
      <c r="E457" s="22"/>
      <c r="F457" s="22"/>
      <c r="G457" s="22"/>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row>
    <row r="458" spans="1:39" ht="15" customHeight="1" x14ac:dyDescent="0.15">
      <c r="A458" s="19"/>
      <c r="B458" s="19"/>
      <c r="C458" s="22"/>
      <c r="D458" s="22"/>
      <c r="E458" s="22"/>
      <c r="F458" s="22"/>
      <c r="G458" s="22"/>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row>
    <row r="459" spans="1:39" ht="15" customHeight="1" x14ac:dyDescent="0.15">
      <c r="A459" s="19"/>
      <c r="B459" s="19"/>
      <c r="C459" s="22"/>
      <c r="D459" s="22"/>
      <c r="E459" s="22"/>
      <c r="F459" s="22"/>
      <c r="G459" s="22"/>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row>
    <row r="460" spans="1:39" ht="15" customHeight="1" x14ac:dyDescent="0.15">
      <c r="A460" s="19"/>
      <c r="B460" s="19"/>
      <c r="C460" s="22"/>
      <c r="D460" s="22"/>
      <c r="E460" s="22"/>
      <c r="F460" s="22"/>
      <c r="G460" s="22"/>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row>
    <row r="461" spans="1:39" ht="15" customHeight="1" x14ac:dyDescent="0.15">
      <c r="A461" s="19"/>
      <c r="B461" s="19"/>
      <c r="C461" s="22"/>
      <c r="D461" s="22"/>
      <c r="E461" s="22"/>
      <c r="F461" s="22"/>
      <c r="G461" s="22"/>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row>
    <row r="462" spans="1:39" ht="15" customHeight="1" x14ac:dyDescent="0.15">
      <c r="A462" s="19"/>
      <c r="B462" s="19"/>
      <c r="C462" s="22"/>
      <c r="D462" s="22"/>
      <c r="E462" s="22"/>
      <c r="F462" s="22"/>
      <c r="G462" s="22"/>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row>
    <row r="463" spans="1:39" ht="15" customHeight="1" x14ac:dyDescent="0.15">
      <c r="A463" s="19"/>
      <c r="B463" s="19"/>
      <c r="C463" s="22"/>
      <c r="D463" s="22"/>
      <c r="E463" s="22"/>
      <c r="F463" s="22"/>
      <c r="G463" s="22"/>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row>
    <row r="464" spans="1:39" ht="15" customHeight="1" x14ac:dyDescent="0.15">
      <c r="A464" s="19"/>
      <c r="B464" s="19"/>
      <c r="C464" s="22"/>
      <c r="D464" s="22"/>
      <c r="E464" s="22"/>
      <c r="F464" s="22"/>
      <c r="G464" s="22"/>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row>
    <row r="465" spans="1:39" ht="15" customHeight="1" x14ac:dyDescent="0.15">
      <c r="A465" s="19"/>
      <c r="B465" s="19"/>
      <c r="C465" s="22"/>
      <c r="D465" s="22"/>
      <c r="E465" s="22"/>
      <c r="F465" s="22"/>
      <c r="G465" s="22"/>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row>
    <row r="466" spans="1:39" ht="15" customHeight="1" x14ac:dyDescent="0.15">
      <c r="A466" s="19"/>
      <c r="B466" s="19"/>
      <c r="C466" s="22"/>
      <c r="D466" s="22"/>
      <c r="E466" s="22"/>
      <c r="F466" s="22"/>
      <c r="G466" s="22"/>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row>
    <row r="467" spans="1:39" ht="15" customHeight="1" x14ac:dyDescent="0.15">
      <c r="A467" s="19"/>
      <c r="B467" s="19"/>
      <c r="C467" s="22"/>
      <c r="D467" s="22"/>
      <c r="E467" s="22"/>
      <c r="F467" s="22"/>
      <c r="G467" s="22"/>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row>
    <row r="468" spans="1:39" ht="15" customHeight="1" x14ac:dyDescent="0.15">
      <c r="A468" s="19"/>
      <c r="B468" s="22"/>
      <c r="C468" s="22"/>
      <c r="D468" s="22"/>
      <c r="E468" s="22"/>
      <c r="F468" s="22"/>
      <c r="G468" s="22"/>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row>
    <row r="469" spans="1:39" ht="15" customHeight="1" x14ac:dyDescent="0.1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row>
    <row r="470" spans="1:39" ht="15" customHeight="1" x14ac:dyDescent="0.1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row>
    <row r="471" spans="1:39" ht="15" customHeight="1" x14ac:dyDescent="0.1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row>
    <row r="472" spans="1:39" ht="15" customHeight="1" x14ac:dyDescent="0.1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row>
    <row r="473" spans="1:39" ht="15" customHeight="1" x14ac:dyDescent="0.15">
      <c r="A473" s="28"/>
      <c r="B473" s="19"/>
      <c r="C473" s="22"/>
      <c r="D473" s="22"/>
      <c r="E473" s="22"/>
      <c r="F473" s="22"/>
      <c r="G473" s="22"/>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row>
    <row r="474" spans="1:39" ht="15" customHeight="1" x14ac:dyDescent="0.15">
      <c r="A474" s="19"/>
      <c r="B474" s="19"/>
      <c r="C474" s="22"/>
      <c r="D474" s="22"/>
      <c r="E474" s="22"/>
      <c r="F474" s="22"/>
      <c r="G474" s="22"/>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row>
    <row r="475" spans="1:39" ht="15" customHeight="1" x14ac:dyDescent="0.15">
      <c r="A475" s="19"/>
      <c r="B475" s="19"/>
      <c r="C475" s="22"/>
      <c r="D475" s="22"/>
      <c r="E475" s="22"/>
      <c r="F475" s="22"/>
      <c r="G475" s="22"/>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row>
    <row r="476" spans="1:39" ht="15" customHeight="1" x14ac:dyDescent="0.15">
      <c r="A476" s="19"/>
      <c r="B476" s="19"/>
      <c r="C476" s="22"/>
      <c r="D476" s="22"/>
      <c r="E476" s="22"/>
      <c r="F476" s="22"/>
      <c r="G476" s="22"/>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row>
    <row r="477" spans="1:39" ht="15" customHeight="1" x14ac:dyDescent="0.15">
      <c r="A477" s="19"/>
      <c r="B477" s="19"/>
      <c r="C477" s="22"/>
      <c r="D477" s="22"/>
      <c r="E477" s="22"/>
      <c r="F477" s="22"/>
      <c r="G477" s="22"/>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row>
    <row r="478" spans="1:39" ht="15" customHeight="1" x14ac:dyDescent="0.15">
      <c r="A478" s="19"/>
      <c r="B478" s="19"/>
      <c r="C478" s="22"/>
      <c r="D478" s="22"/>
      <c r="E478" s="22"/>
      <c r="F478" s="22"/>
      <c r="G478" s="22"/>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row>
    <row r="479" spans="1:39" ht="15" customHeight="1" x14ac:dyDescent="0.15">
      <c r="A479" s="19"/>
      <c r="B479" s="19"/>
      <c r="C479" s="22"/>
      <c r="D479" s="22"/>
      <c r="E479" s="22"/>
      <c r="F479" s="22"/>
      <c r="G479" s="22"/>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row>
    <row r="480" spans="1:39" ht="15" customHeight="1" x14ac:dyDescent="0.15">
      <c r="A480" s="19"/>
      <c r="B480" s="19"/>
      <c r="C480" s="22"/>
      <c r="D480" s="22"/>
      <c r="E480" s="22"/>
      <c r="F480" s="22"/>
      <c r="G480" s="22"/>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row>
    <row r="481" spans="1:39" ht="15" customHeight="1" x14ac:dyDescent="0.15">
      <c r="A481" s="19"/>
      <c r="B481" s="19"/>
      <c r="C481" s="22"/>
      <c r="D481" s="22"/>
      <c r="E481" s="22"/>
      <c r="F481" s="22"/>
      <c r="G481" s="22"/>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row>
    <row r="482" spans="1:39" ht="15" customHeight="1" x14ac:dyDescent="0.15">
      <c r="A482" s="19"/>
      <c r="B482" s="19"/>
      <c r="C482" s="22"/>
      <c r="D482" s="22"/>
      <c r="E482" s="22"/>
      <c r="F482" s="22"/>
      <c r="G482" s="22"/>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row>
    <row r="483" spans="1:39" ht="15" customHeight="1" x14ac:dyDescent="0.15">
      <c r="A483" s="19"/>
      <c r="B483" s="19"/>
      <c r="C483" s="22"/>
      <c r="D483" s="22"/>
      <c r="E483" s="22"/>
      <c r="F483" s="22"/>
      <c r="G483" s="22"/>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row>
    <row r="484" spans="1:39" ht="15" customHeight="1" x14ac:dyDescent="0.15">
      <c r="A484" s="19"/>
      <c r="B484" s="19"/>
      <c r="C484" s="22"/>
      <c r="D484" s="22"/>
      <c r="E484" s="22"/>
      <c r="F484" s="22"/>
      <c r="G484" s="22"/>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row>
    <row r="485" spans="1:39" ht="15" customHeight="1" x14ac:dyDescent="0.15">
      <c r="A485" s="19"/>
      <c r="B485" s="22"/>
      <c r="C485" s="22"/>
      <c r="D485" s="22"/>
      <c r="E485" s="22"/>
      <c r="F485" s="22"/>
      <c r="G485" s="22"/>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row>
    <row r="486" spans="1:39" ht="15" customHeight="1" x14ac:dyDescent="0.1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row>
    <row r="487" spans="1:39" ht="15" customHeight="1" x14ac:dyDescent="0.1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row>
    <row r="488" spans="1:39" ht="15" customHeight="1" x14ac:dyDescent="0.1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row>
    <row r="489" spans="1:39" ht="15" customHeight="1" x14ac:dyDescent="0.1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row>
    <row r="490" spans="1:39" ht="15" customHeight="1" x14ac:dyDescent="0.15">
      <c r="A490" s="21"/>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row>
    <row r="491" spans="1:39" ht="15" customHeight="1" x14ac:dyDescent="0.1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row>
    <row r="492" spans="1:39" ht="15" customHeight="1" x14ac:dyDescent="0.1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row>
    <row r="493" spans="1:39" ht="15" customHeight="1" x14ac:dyDescent="0.15">
      <c r="A493" s="19"/>
      <c r="B493" s="19"/>
      <c r="C493" s="22"/>
      <c r="D493" s="22"/>
      <c r="E493" s="22"/>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row>
    <row r="494" spans="1:39" ht="15" customHeight="1" x14ac:dyDescent="0.15">
      <c r="A494" s="19"/>
      <c r="B494" s="19"/>
      <c r="C494" s="22"/>
      <c r="D494" s="22"/>
      <c r="E494" s="22"/>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row>
    <row r="495" spans="1:39" ht="15" customHeight="1" x14ac:dyDescent="0.15">
      <c r="A495" s="19"/>
      <c r="B495" s="19"/>
      <c r="C495" s="22"/>
      <c r="D495" s="22"/>
      <c r="E495" s="22"/>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row>
    <row r="496" spans="1:39" ht="15" customHeight="1" x14ac:dyDescent="0.15">
      <c r="A496" s="19"/>
      <c r="B496" s="19"/>
      <c r="C496" s="22"/>
      <c r="D496" s="22"/>
      <c r="E496" s="22"/>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row>
    <row r="497" spans="1:39" ht="15" customHeight="1" x14ac:dyDescent="0.1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row>
    <row r="498" spans="1:39" ht="15" customHeight="1" x14ac:dyDescent="0.1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row>
    <row r="499" spans="1:39" ht="15" customHeight="1" x14ac:dyDescent="0.1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row>
    <row r="500" spans="1:39" ht="15" customHeight="1" x14ac:dyDescent="0.1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row>
  </sheetData>
  <mergeCells count="26">
    <mergeCell ref="AC81:AD81"/>
    <mergeCell ref="E397:H397"/>
    <mergeCell ref="J397:M397"/>
    <mergeCell ref="D106:E106"/>
    <mergeCell ref="H106:I106"/>
    <mergeCell ref="F106:G106"/>
    <mergeCell ref="AA81:AB81"/>
    <mergeCell ref="G24:H24"/>
    <mergeCell ref="X70:Y70"/>
    <mergeCell ref="V72:V75"/>
    <mergeCell ref="D91:E91"/>
    <mergeCell ref="F91:G91"/>
    <mergeCell ref="G42:H42"/>
    <mergeCell ref="J24:K24"/>
    <mergeCell ref="H91:I91"/>
    <mergeCell ref="W81:X81"/>
    <mergeCell ref="Y81:Z81"/>
    <mergeCell ref="CU6:CX6"/>
    <mergeCell ref="CI6:CL6"/>
    <mergeCell ref="CM6:CP6"/>
    <mergeCell ref="CQ6:CT6"/>
    <mergeCell ref="BO6:BR6"/>
    <mergeCell ref="BS6:BV6"/>
    <mergeCell ref="BW6:BZ6"/>
    <mergeCell ref="CA6:CD6"/>
    <mergeCell ref="CE6:CH6"/>
  </mergeCells>
  <phoneticPr fontId="7" type="noConversion"/>
  <conditionalFormatting sqref="I152:R214">
    <cfRule type="cellIs" dxfId="0" priority="2" operator="equal">
      <formula>"* NON DISPONIBILE *"</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0167D8CDC38184BADF4B11838163D35" ma:contentTypeVersion="15" ma:contentTypeDescription="Create a new document." ma:contentTypeScope="" ma:versionID="e6e42ee2c58b7312df697c9cd55793e6">
  <xsd:schema xmlns:xsd="http://www.w3.org/2001/XMLSchema" xmlns:xs="http://www.w3.org/2001/XMLSchema" xmlns:p="http://schemas.microsoft.com/office/2006/metadata/properties" xmlns:ns2="04103430-418d-4931-a1ba-23697700df79" xmlns:ns3="768df9d6-b806-4404-9da7-d7c9b32cab72" targetNamespace="http://schemas.microsoft.com/office/2006/metadata/properties" ma:root="true" ma:fieldsID="6d37eee41bd6edf3196aaf09af468204" ns2:_="" ns3:_="">
    <xsd:import namespace="04103430-418d-4931-a1ba-23697700df79"/>
    <xsd:import namespace="768df9d6-b806-4404-9da7-d7c9b32cab7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103430-418d-4931-a1ba-23697700df7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c6fcffb3-a19b-4df0-aa7d-702b241ee012}" ma:internalName="TaxCatchAll" ma:showField="CatchAllData" ma:web="04103430-418d-4931-a1ba-23697700df7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68df9d6-b806-4404-9da7-d7c9b32cab7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a8e8640-98bd-4d29-a6fb-4aa9571fcf21"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04103430-418d-4931-a1ba-23697700df79" xsi:nil="true"/>
    <lcf76f155ced4ddcb4097134ff3c332f xmlns="768df9d6-b806-4404-9da7-d7c9b32cab72">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6ACD0240-1613-4DAE-8743-3AEB2D857327}">
  <ds:schemaRefs>
    <ds:schemaRef ds:uri="http://schemas.microsoft.com/sharepoint/v3/contenttype/forms"/>
  </ds:schemaRefs>
</ds:datastoreItem>
</file>

<file path=customXml/itemProps2.xml><?xml version="1.0" encoding="utf-8"?>
<ds:datastoreItem xmlns:ds="http://schemas.openxmlformats.org/officeDocument/2006/customXml" ds:itemID="{178C883E-0FC4-48AF-B85B-7196750BE7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103430-418d-4931-a1ba-23697700df79"/>
    <ds:schemaRef ds:uri="768df9d6-b806-4404-9da7-d7c9b32cab7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C4E7306-9530-4871-A194-32C7AB02897E}">
  <ds:schemaRefs>
    <ds:schemaRef ds:uri="http://schemas.microsoft.com/office/2006/metadata/properties"/>
    <ds:schemaRef ds:uri="http://schemas.microsoft.com/office/infopath/2007/PartnerControls"/>
    <ds:schemaRef ds:uri="04103430-418d-4931-a1ba-23697700df79"/>
    <ds:schemaRef ds:uri="768df9d6-b806-4404-9da7-d7c9b32cab72"/>
  </ds:schemaRefs>
</ds:datastoreItem>
</file>

<file path=customXml/itemProps4.xml><?xml version="1.0" encoding="utf-8"?>
<ds:datastoreItem xmlns:ds="http://schemas.openxmlformats.org/officeDocument/2006/customXml" ds:itemID="{28C95059-2FA7-4A08-8E60-BE38F49816B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8</vt:i4>
      </vt:variant>
      <vt:variant>
        <vt:lpstr>Intervalli denominati</vt:lpstr>
      </vt:variant>
      <vt:variant>
        <vt:i4>69</vt:i4>
      </vt:variant>
    </vt:vector>
  </HeadingPairs>
  <TitlesOfParts>
    <vt:vector size="77" baseType="lpstr">
      <vt:lpstr>Foglio1</vt:lpstr>
      <vt:lpstr>BOM Index</vt:lpstr>
      <vt:lpstr>Structured</vt:lpstr>
      <vt:lpstr>Parts only</vt:lpstr>
      <vt:lpstr>Label</vt:lpstr>
      <vt:lpstr>DIZIONARIO</vt:lpstr>
      <vt:lpstr>Q.tà totali-CT</vt:lpstr>
      <vt:lpstr>Dati</vt:lpstr>
      <vt:lpstr>'BOM Index'!Area_stampa</vt:lpstr>
      <vt:lpstr>ATEX_rating</vt:lpstr>
      <vt:lpstr>ATEX_tag</vt:lpstr>
      <vt:lpstr>attacco_parti</vt:lpstr>
      <vt:lpstr>attacco_tipo</vt:lpstr>
      <vt:lpstr>br_11</vt:lpstr>
      <vt:lpstr>br_15</vt:lpstr>
      <vt:lpstr>br_19</vt:lpstr>
      <vt:lpstr>br_21</vt:lpstr>
      <vt:lpstr>br_25</vt:lpstr>
      <vt:lpstr>br_30</vt:lpstr>
      <vt:lpstr>br_35</vt:lpstr>
      <vt:lpstr>br_40</vt:lpstr>
      <vt:lpstr>br_pnz</vt:lpstr>
      <vt:lpstr>bulloneria_sopp_A</vt:lpstr>
      <vt:lpstr>bulloneria_sopp_B</vt:lpstr>
      <vt:lpstr>calettatori_D</vt:lpstr>
      <vt:lpstr>calettatori_dati</vt:lpstr>
      <vt:lpstr>casse_cod</vt:lpstr>
      <vt:lpstr>casse_L</vt:lpstr>
      <vt:lpstr>catena_trasm_dati</vt:lpstr>
      <vt:lpstr>catena_trasm_passo</vt:lpstr>
      <vt:lpstr>catena_trasm_potenza</vt:lpstr>
      <vt:lpstr>cod_anno</vt:lpstr>
      <vt:lpstr>comando_dati</vt:lpstr>
      <vt:lpstr>curva_ang</vt:lpstr>
      <vt:lpstr>dimens</vt:lpstr>
      <vt:lpstr>disp_dati</vt:lpstr>
      <vt:lpstr>disp_tipi</vt:lpstr>
      <vt:lpstr>disp_tranc</vt:lpstr>
      <vt:lpstr>disp_tranc_opt</vt:lpstr>
      <vt:lpstr>forn</vt:lpstr>
      <vt:lpstr>gr_dati</vt:lpstr>
      <vt:lpstr>gr_tipi</vt:lpstr>
      <vt:lpstr>KA_alb_col</vt:lpstr>
      <vt:lpstr>KH_alb_col</vt:lpstr>
      <vt:lpstr>macchina_dati</vt:lpstr>
      <vt:lpstr>mat_trasp</vt:lpstr>
      <vt:lpstr>mat_trasp_opt</vt:lpstr>
      <vt:lpstr>molle</vt:lpstr>
      <vt:lpstr>mot_opt</vt:lpstr>
      <vt:lpstr>mot_opt_dati</vt:lpstr>
      <vt:lpstr>mrid_dati</vt:lpstr>
      <vt:lpstr>mrid_eq</vt:lpstr>
      <vt:lpstr>mrid_inst</vt:lpstr>
      <vt:lpstr>mrid_K_pos</vt:lpstr>
      <vt:lpstr>mrid_KA_A</vt:lpstr>
      <vt:lpstr>mrid_KA_B</vt:lpstr>
      <vt:lpstr>mrid_KH_A</vt:lpstr>
      <vt:lpstr>mrid_KH_B</vt:lpstr>
      <vt:lpstr>mrid_R_A</vt:lpstr>
      <vt:lpstr>mrid_R_B</vt:lpstr>
      <vt:lpstr>mrid_R_pos</vt:lpstr>
      <vt:lpstr>mrid_tipi</vt:lpstr>
      <vt:lpstr>mrid_tipi_K</vt:lpstr>
      <vt:lpstr>mrid_tipi_R</vt:lpstr>
      <vt:lpstr>ol_dati</vt:lpstr>
      <vt:lpstr>ol_tipi</vt:lpstr>
      <vt:lpstr>pannelli_bul</vt:lpstr>
      <vt:lpstr>potenza</vt:lpstr>
      <vt:lpstr>rinvio_dati</vt:lpstr>
      <vt:lpstr>sns_br</vt:lpstr>
      <vt:lpstr>sns_cr</vt:lpstr>
      <vt:lpstr>sns_int</vt:lpstr>
      <vt:lpstr>sopporti_dati</vt:lpstr>
      <vt:lpstr>sopporti_rnv_dati</vt:lpstr>
      <vt:lpstr>sopporti_tipi</vt:lpstr>
      <vt:lpstr>spec_curva</vt:lpstr>
      <vt:lpstr>std_forn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 Giuseppe Barozzi</dc:creator>
  <cp:lastModifiedBy>Gabriele Mariani</cp:lastModifiedBy>
  <cp:lastPrinted>2025-07-04T07:47:34Z</cp:lastPrinted>
  <dcterms:created xsi:type="dcterms:W3CDTF">2016-09-21T13:57:29Z</dcterms:created>
  <dcterms:modified xsi:type="dcterms:W3CDTF">2025-07-07T06:37:53Z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0x01010050167D8CDC38184BADF4B11838163D35</vt:lpwstr>
  </property>
  <property fmtid="{D5CDD505-2E9C-101B-9397-08002B2CF9AE}" pid="3" name="MediaServiceImageTags">
    <vt:lpwstr/>
  </property>
</Properties>
</file>